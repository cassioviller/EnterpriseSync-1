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IA-ME" sheetId="1" state="visible" r:id="rId1"/>
    <sheet xmlns:r="http://schemas.openxmlformats.org/officeDocument/2006/relationships" name="01_INSUMOS" sheetId="2" state="visible" r:id="rId2"/>
    <sheet xmlns:r="http://schemas.openxmlformats.org/officeDocument/2006/relationships" name="02_PRECOS_INSUMOS" sheetId="3" state="visible" r:id="rId3"/>
    <sheet xmlns:r="http://schemas.openxmlformats.org/officeDocument/2006/relationships" name="03_SERVICOS" sheetId="4" state="visible" r:id="rId4"/>
    <sheet xmlns:r="http://schemas.openxmlformats.org/officeDocument/2006/relationships" name="04_COMPOSICAO_SERVICOS" sheetId="5" state="visible" r:id="rId5"/>
    <sheet xmlns:r="http://schemas.openxmlformats.org/officeDocument/2006/relationships" name="05_ORCAMENTO_PROPOSTA" sheetId="6" state="visible" r:id="rId6"/>
    <sheet xmlns:r="http://schemas.openxmlformats.org/officeDocument/2006/relationships" name="06_VALIDACAO" sheetId="7" state="visible" r:id="rId7"/>
    <sheet xmlns:r="http://schemas.openxmlformats.org/officeDocument/2006/relationships" name="07_DE_PARA_ORIGIN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1F4E78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3" borderId="1" pivotButton="0" quotePrefix="0" xfId="0"/>
    <xf numFmtId="4" fontId="0" fillId="0" borderId="1" pivotButton="0" quotePrefix="0" xfId="0"/>
    <xf numFmtId="0" fontId="0" fillId="3" borderId="1" pivotButton="0" quotePrefix="0" xfId="0"/>
    <xf numFmtId="9" fontId="0" fillId="3" borderId="1" pivotButton="0" quotePrefix="0" xfId="0"/>
    <xf numFmtId="0" fontId="0" fillId="4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9" fontId="0" fillId="0" borderId="1" pivotButton="0" quotePrefix="0" xfId="0"/>
    <xf numFmtId="0" fontId="4" fillId="0" borderId="1" pivotButton="0" quotePrefix="0" xfId="0"/>
    <xf numFmtId="4" fontId="4" fillId="5" borderId="1" pivotButton="0" quotePrefix="0" xfId="0"/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app</author>
  </authors>
  <commentList>
    <comment ref="F3" authorId="0" shapeId="0">
      <text>
        <t>Preencher produtividade da equipe em m²/dia</t>
      </text>
    </comment>
    <comment ref="F4" authorId="0" shapeId="0">
      <text>
        <t>Preencher produtividade da equipe em m²/dia</t>
      </text>
    </comment>
    <comment ref="F5" authorId="0" shapeId="0">
      <text>
        <t>Preencher produtividade da equipe em un/dia</t>
      </text>
    </comment>
    <comment ref="F8" authorId="0" shapeId="0">
      <text>
        <t>Preencher produtividade da equipe em m²/dia</t>
      </text>
    </comment>
    <comment ref="F9" authorId="0" shapeId="0">
      <text>
        <t>Preencher produtividade da equipe em m²/dia</t>
      </text>
    </comment>
    <comment ref="F10" authorId="0" shapeId="0">
      <text>
        <t>Preencher produtividade da equipe em un/dia</t>
      </text>
    </comment>
    <comment ref="F11" authorId="0" shapeId="0">
      <text>
        <t>Preencher produtividade da equipe em m²/dia</t>
      </text>
    </comment>
    <comment ref="F12" authorId="0" shapeId="0">
      <text>
        <t>Preencher produtividade da equipe em m²/dia</t>
      </text>
    </comment>
    <comment ref="F14" authorId="0" shapeId="0">
      <text>
        <t>Preencher produtividade da equipe em m²/dia</t>
      </text>
    </comment>
    <comment ref="F15" authorId="0" shapeId="0">
      <text>
        <t>Preencher produtividade da equipe em un/dia</t>
      </text>
    </comment>
    <comment ref="F16" authorId="0" shapeId="0">
      <text>
        <t>Preencher produtividade da equipe em un/dia</t>
      </text>
    </comment>
    <comment ref="F17" authorId="0" shapeId="0">
      <text>
        <t>Preencher produtividade da equipe em un/dia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>
      <c r="B1" s="1" t="inlineStr">
        <is>
          <t>Orçamento Baia REV10 — base de custo TÉCNICA (formato do app)</t>
        </is>
      </c>
    </row>
    <row r="2"/>
    <row r="3">
      <c r="B3" s="2" t="inlineStr">
        <is>
          <t>COMO USAR: preencha as células AMARELO-FORTE de PRODUTIVIDADE em 03_SERVICOS (coluna F).</t>
        </is>
      </c>
    </row>
    <row r="4">
      <c r="B4" t="inlineStr">
        <is>
          <t xml:space="preserve">   Enquanto vazias, o coeficiente e o custo da M.O. ficam em branco. Ao digitar, tudo recalcula.</t>
        </is>
      </c>
    </row>
    <row r="5">
      <c r="B5" t="inlineStr">
        <is>
          <t xml:space="preserve">   Ajuste também os R$/h em 02_PRECOS e a equipe (linhas) em 04_COMPOSICAO conforme a realidade.</t>
        </is>
      </c>
    </row>
    <row r="6"/>
    <row r="7">
      <c r="B7" s="2" t="inlineStr">
        <is>
          <t>TRANSFORMAÇÃO: coef M.O. (h/un, por pessoa) = Horas/dia ÷ Produtividade (un/dia).</t>
        </is>
      </c>
    </row>
    <row r="8">
      <c r="B8" t="inlineStr">
        <is>
          <t xml:space="preserve">   custo/un = coef × preço · custo serviço = soma insumos · total = custo/un × qtd · obra = soma.</t>
        </is>
      </c>
    </row>
    <row r="9"/>
    <row r="10">
      <c r="B10" s="2" t="inlineStr">
        <is>
          <t>PREMISSA: Proposta Comercial = camada do cliente (inflada). Custo real = abas técnicas auditadas.</t>
        </is>
      </c>
    </row>
    <row r="11">
      <c r="B11" t="inlineStr">
        <is>
          <t xml:space="preserve">   3 itens já transformados (1.1, 1.5, 1.6) como exemplo; os demais aguardam sua produtividade.</t>
        </is>
      </c>
    </row>
    <row r="12"/>
    <row r="13">
      <c r="B13" s="2" t="inlineStr">
        <is>
          <t>QUANTIDADES: coluna E da Proposta. Em 1.1/1.10/1.12 a qtd física está dentro da fórmula de custo.</t>
        </is>
      </c>
    </row>
    <row r="14"/>
    <row r="15">
      <c r="B15" s="2" t="inlineStr">
        <is>
          <t>BDI: material vende por custo/(1-lucro); M.O. por custo/(1-imposto-lucro). % por item (col. K-AE).</t>
        </is>
      </c>
    </row>
    <row r="16"/>
    <row r="17">
      <c r="B17" s="2" t="inlineStr">
        <is>
          <t>LEGENDA: [transformado]=ok · [preencher prod.]=falta produtividade · [verba]/[pendente] · [erro planilha]=ver 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8" customWidth="1" min="4" max="4"/>
    <col width="40" customWidth="1" min="5" max="5"/>
  </cols>
  <sheetData>
    <row r="1">
      <c r="A1" s="3" t="inlineStr">
        <is>
          <t>id</t>
        </is>
      </c>
      <c r="B1" s="3" t="inlineStr">
        <is>
          <t>Nome do insumo</t>
        </is>
      </c>
      <c r="C1" s="3" t="inlineStr">
        <is>
          <t>Tipo</t>
        </is>
      </c>
      <c r="D1" s="3" t="inlineStr">
        <is>
          <t>Un.</t>
        </is>
      </c>
      <c r="E1" s="3" t="inlineStr">
        <is>
          <t>Observação</t>
        </is>
      </c>
    </row>
    <row r="2">
      <c r="A2" s="4" t="inlineStr">
        <is>
          <t>I01</t>
        </is>
      </c>
      <c r="B2" s="4" t="inlineStr">
        <is>
          <t>Aço LSF galvanizado Z275</t>
        </is>
      </c>
      <c r="C2" s="4" t="inlineStr">
        <is>
          <t>Material</t>
        </is>
      </c>
      <c r="D2" s="4" t="inlineStr">
        <is>
          <t>kg</t>
        </is>
      </c>
      <c r="E2" s="4" t="n"/>
    </row>
    <row r="3">
      <c r="A3" s="4" t="inlineStr">
        <is>
          <t>I02</t>
        </is>
      </c>
      <c r="B3" s="4" t="inlineStr">
        <is>
          <t>Fixadores/parafusos LSF</t>
        </is>
      </c>
      <c r="C3" s="4" t="inlineStr">
        <is>
          <t>Material</t>
        </is>
      </c>
      <c r="D3" s="4" t="inlineStr">
        <is>
          <t>vb</t>
        </is>
      </c>
      <c r="E3" s="4" t="n"/>
    </row>
    <row r="4">
      <c r="A4" s="4" t="inlineStr">
        <is>
          <t>I03</t>
        </is>
      </c>
      <c r="B4" s="4" t="inlineStr">
        <is>
          <t>Encarregado</t>
        </is>
      </c>
      <c r="C4" s="4" t="inlineStr">
        <is>
          <t>Mão de Obra</t>
        </is>
      </c>
      <c r="D4" s="4" t="inlineStr">
        <is>
          <t>h</t>
        </is>
      </c>
      <c r="E4" s="4" t="inlineStr">
        <is>
          <t>mão de obra por hora</t>
        </is>
      </c>
    </row>
    <row r="5">
      <c r="A5" s="4" t="inlineStr">
        <is>
          <t>I04</t>
        </is>
      </c>
      <c r="B5" s="4" t="inlineStr">
        <is>
          <t>Montador líder</t>
        </is>
      </c>
      <c r="C5" s="4" t="inlineStr">
        <is>
          <t>Mão de Obra</t>
        </is>
      </c>
      <c r="D5" s="4" t="inlineStr">
        <is>
          <t>h</t>
        </is>
      </c>
      <c r="E5" s="4" t="inlineStr">
        <is>
          <t>mão de obra por hora</t>
        </is>
      </c>
    </row>
    <row r="6">
      <c r="A6" s="4" t="inlineStr">
        <is>
          <t>I05</t>
        </is>
      </c>
      <c r="B6" s="4" t="inlineStr">
        <is>
          <t>Montador</t>
        </is>
      </c>
      <c r="C6" s="4" t="inlineStr">
        <is>
          <t>Mão de Obra</t>
        </is>
      </c>
      <c r="D6" s="4" t="inlineStr">
        <is>
          <t>h</t>
        </is>
      </c>
      <c r="E6" s="4" t="inlineStr">
        <is>
          <t>mão de obra por hora</t>
        </is>
      </c>
    </row>
    <row r="7">
      <c r="A7" s="4" t="inlineStr">
        <is>
          <t>I06</t>
        </is>
      </c>
      <c r="B7" s="4" t="inlineStr">
        <is>
          <t>Ajudante</t>
        </is>
      </c>
      <c r="C7" s="4" t="inlineStr">
        <is>
          <t>Mão de Obra</t>
        </is>
      </c>
      <c r="D7" s="4" t="inlineStr">
        <is>
          <t>h</t>
        </is>
      </c>
      <c r="E7" s="4" t="inlineStr">
        <is>
          <t>mão de obra por hora</t>
        </is>
      </c>
    </row>
    <row r="8">
      <c r="A8" s="4" t="inlineStr">
        <is>
          <t>I07</t>
        </is>
      </c>
      <c r="B8" s="4" t="inlineStr">
        <is>
          <t>Pintor</t>
        </is>
      </c>
      <c r="C8" s="4" t="inlineStr">
        <is>
          <t>Mão de Obra</t>
        </is>
      </c>
      <c r="D8" s="4" t="inlineStr">
        <is>
          <t>h</t>
        </is>
      </c>
      <c r="E8" s="4" t="inlineStr">
        <is>
          <t>mão de obra por hora</t>
        </is>
      </c>
    </row>
    <row r="9">
      <c r="A9" s="4" t="inlineStr">
        <is>
          <t>I08</t>
        </is>
      </c>
      <c r="B9" s="4" t="inlineStr">
        <is>
          <t>Stain (verba global)</t>
        </is>
      </c>
      <c r="C9" s="4" t="inlineStr">
        <is>
          <t>Material</t>
        </is>
      </c>
      <c r="D9" s="4" t="inlineStr">
        <is>
          <t>vb</t>
        </is>
      </c>
      <c r="E9" s="4" t="n"/>
    </row>
    <row r="10">
      <c r="A10" s="4" t="inlineStr">
        <is>
          <t>I09</t>
        </is>
      </c>
      <c r="B10" s="4" t="inlineStr">
        <is>
          <t>Ferragens/trilho portão</t>
        </is>
      </c>
      <c r="C10" s="4" t="inlineStr">
        <is>
          <t>Material</t>
        </is>
      </c>
      <c r="D10" s="4" t="inlineStr">
        <is>
          <t>un</t>
        </is>
      </c>
      <c r="E10" s="4" t="n"/>
    </row>
    <row r="11">
      <c r="A11" s="4" t="inlineStr">
        <is>
          <t>I10</t>
        </is>
      </c>
      <c r="B11" s="4" t="inlineStr">
        <is>
          <t>Pedreiro</t>
        </is>
      </c>
      <c r="C11" s="4" t="inlineStr">
        <is>
          <t>Mão de Obra</t>
        </is>
      </c>
      <c r="D11" s="4" t="inlineStr">
        <is>
          <t>h</t>
        </is>
      </c>
      <c r="E11" s="4" t="inlineStr">
        <is>
          <t>mão de obra por hora</t>
        </is>
      </c>
    </row>
    <row r="12">
      <c r="A12" s="4" t="inlineStr">
        <is>
          <t>I11</t>
        </is>
      </c>
      <c r="B12" s="4" t="inlineStr">
        <is>
          <t>Concreto usinado</t>
        </is>
      </c>
      <c r="C12" s="4" t="inlineStr">
        <is>
          <t>Material</t>
        </is>
      </c>
      <c r="D12" s="4" t="inlineStr">
        <is>
          <t>m³</t>
        </is>
      </c>
      <c r="E12" s="4" t="n"/>
    </row>
    <row r="13">
      <c r="A13" s="4" t="inlineStr">
        <is>
          <t>I12</t>
        </is>
      </c>
      <c r="B13" s="4" t="inlineStr">
        <is>
          <t>Extra/ferramenta concreto</t>
        </is>
      </c>
      <c r="C13" s="4" t="inlineStr">
        <is>
          <t>Material</t>
        </is>
      </c>
      <c r="D13" s="4" t="inlineStr">
        <is>
          <t>vb</t>
        </is>
      </c>
      <c r="E13" s="4" t="n"/>
    </row>
    <row r="14">
      <c r="A14" s="4" t="inlineStr">
        <is>
          <t>I13</t>
        </is>
      </c>
      <c r="B14" s="4" t="inlineStr">
        <is>
          <t>Taxa fixa concretagem</t>
        </is>
      </c>
      <c r="C14" s="4" t="inlineStr">
        <is>
          <t>Mão de Obra</t>
        </is>
      </c>
      <c r="D14" s="4" t="inlineStr">
        <is>
          <t>vb</t>
        </is>
      </c>
      <c r="E14" s="4" t="n"/>
    </row>
    <row r="15">
      <c r="A15" s="4" t="inlineStr">
        <is>
          <t>I14</t>
        </is>
      </c>
      <c r="B15" s="4" t="inlineStr">
        <is>
          <t>Ponto de luz (material)</t>
        </is>
      </c>
      <c r="C15" s="4" t="inlineStr">
        <is>
          <t>Material</t>
        </is>
      </c>
      <c r="D15" s="4" t="inlineStr">
        <is>
          <t>un</t>
        </is>
      </c>
      <c r="E15" s="4" t="n"/>
    </row>
    <row r="16">
      <c r="A16" s="4" t="inlineStr">
        <is>
          <t>I15</t>
        </is>
      </c>
      <c r="B16" s="4" t="inlineStr">
        <is>
          <t>Adicional elétrico</t>
        </is>
      </c>
      <c r="C16" s="4" t="inlineStr">
        <is>
          <t>Material</t>
        </is>
      </c>
      <c r="D16" s="4" t="inlineStr">
        <is>
          <t>vb</t>
        </is>
      </c>
      <c r="E16" s="4" t="n"/>
    </row>
    <row r="17">
      <c r="A17" s="4" t="inlineStr">
        <is>
          <t>I16</t>
        </is>
      </c>
      <c r="B17" s="4" t="inlineStr">
        <is>
          <t>Quadro/diversos</t>
        </is>
      </c>
      <c r="C17" s="4" t="inlineStr">
        <is>
          <t>Material</t>
        </is>
      </c>
      <c r="D17" s="4" t="inlineStr">
        <is>
          <t>vb</t>
        </is>
      </c>
      <c r="E17" s="4" t="n"/>
    </row>
    <row r="18">
      <c r="A18" s="4" t="inlineStr">
        <is>
          <t>I17</t>
        </is>
      </c>
      <c r="B18" s="4" t="inlineStr">
        <is>
          <t>M.O. instalação elétrica</t>
        </is>
      </c>
      <c r="C18" s="4" t="inlineStr">
        <is>
          <t>Mão de Obra</t>
        </is>
      </c>
      <c r="D18" s="4" t="inlineStr">
        <is>
          <t>vb</t>
        </is>
      </c>
      <c r="E18" s="4" t="n"/>
    </row>
    <row r="19">
      <c r="A19" s="4" t="inlineStr">
        <is>
          <t>I18</t>
        </is>
      </c>
      <c r="B19" s="4" t="inlineStr">
        <is>
          <t>Fixadores cercado</t>
        </is>
      </c>
      <c r="C19" s="4" t="inlineStr">
        <is>
          <t>Material</t>
        </is>
      </c>
      <c r="D19" s="4" t="inlineStr">
        <is>
          <t>un</t>
        </is>
      </c>
      <c r="E19" s="4" t="n"/>
    </row>
    <row r="20">
      <c r="A20" s="4" t="inlineStr">
        <is>
          <t>I19</t>
        </is>
      </c>
      <c r="B20" s="4" t="inlineStr">
        <is>
          <t>Material ponto hidráulico</t>
        </is>
      </c>
      <c r="C20" s="4" t="inlineStr">
        <is>
          <t>Material</t>
        </is>
      </c>
      <c r="D20" s="4" t="inlineStr">
        <is>
          <t>un</t>
        </is>
      </c>
      <c r="E20" s="4" t="n"/>
    </row>
    <row r="21">
      <c r="A21" s="4" t="inlineStr">
        <is>
          <t>I20</t>
        </is>
      </c>
      <c r="B21" s="4" t="inlineStr">
        <is>
          <t>Encanador</t>
        </is>
      </c>
      <c r="C21" s="4" t="inlineStr">
        <is>
          <t>Mão de Obra</t>
        </is>
      </c>
      <c r="D21" s="4" t="inlineStr">
        <is>
          <t>h</t>
        </is>
      </c>
      <c r="E21" s="4" t="inlineStr">
        <is>
          <t>mão de obra por hora</t>
        </is>
      </c>
    </row>
    <row r="22">
      <c r="A22" s="4" t="inlineStr">
        <is>
          <t>I21</t>
        </is>
      </c>
      <c r="B22" s="4" t="inlineStr">
        <is>
          <t>Material pacote complementar</t>
        </is>
      </c>
      <c r="C22" s="4" t="inlineStr">
        <is>
          <t>Material</t>
        </is>
      </c>
      <c r="D22" s="4" t="inlineStr">
        <is>
          <t>vb</t>
        </is>
      </c>
      <c r="E22" s="4" t="n"/>
    </row>
    <row r="23">
      <c r="A23" s="4" t="inlineStr">
        <is>
          <t>I22</t>
        </is>
      </c>
      <c r="B23" s="4" t="inlineStr">
        <is>
          <t>M.O. pacote complementar</t>
        </is>
      </c>
      <c r="C23" s="4" t="inlineStr">
        <is>
          <t>Mão de Obra</t>
        </is>
      </c>
      <c r="D23" s="4" t="inlineStr">
        <is>
          <t>vb</t>
        </is>
      </c>
      <c r="E23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3" t="inlineStr">
        <is>
          <t>Insumo (M.O.)</t>
        </is>
      </c>
      <c r="B1" s="3" t="inlineStr">
        <is>
          <t>R$/h</t>
        </is>
      </c>
      <c r="C1" s="3" t="inlineStr">
        <is>
          <t>Un.</t>
        </is>
      </c>
      <c r="D1" s="3" t="inlineStr">
        <is>
          <t>Base / observação (editar)</t>
        </is>
      </c>
    </row>
    <row r="2">
      <c r="A2" s="4" t="inlineStr">
        <is>
          <t>Encarregado</t>
        </is>
      </c>
      <c r="B2" s="5" t="n">
        <v>36.36</v>
      </c>
      <c r="C2" s="4" t="inlineStr">
        <is>
          <t>h</t>
        </is>
      </c>
      <c r="D2" s="4" t="inlineStr">
        <is>
          <t>≈6.400/mês÷176h [validar]</t>
        </is>
      </c>
    </row>
    <row r="3">
      <c r="A3" s="4" t="inlineStr">
        <is>
          <t>Montador líder</t>
        </is>
      </c>
      <c r="B3" s="5" t="n">
        <v>31.82</v>
      </c>
      <c r="C3" s="4" t="inlineStr">
        <is>
          <t>h</t>
        </is>
      </c>
      <c r="D3" s="4" t="inlineStr">
        <is>
          <t>diária 250÷8h [validar]</t>
        </is>
      </c>
    </row>
    <row r="4">
      <c r="A4" s="4" t="inlineStr">
        <is>
          <t>Montador</t>
        </is>
      </c>
      <c r="B4" s="5" t="n">
        <v>26.14</v>
      </c>
      <c r="C4" s="4" t="inlineStr">
        <is>
          <t>h</t>
        </is>
      </c>
      <c r="D4" s="4" t="inlineStr">
        <is>
          <t>diária ~209÷8h [validar]</t>
        </is>
      </c>
    </row>
    <row r="5">
      <c r="A5" s="4" t="inlineStr">
        <is>
          <t>Ajudante</t>
        </is>
      </c>
      <c r="B5" s="5" t="n">
        <v>20.46</v>
      </c>
      <c r="C5" s="4" t="inlineStr">
        <is>
          <t>h</t>
        </is>
      </c>
      <c r="D5" s="4" t="inlineStr">
        <is>
          <t>diária ~164÷8h [validar]</t>
        </is>
      </c>
    </row>
    <row r="6">
      <c r="A6" s="4" t="inlineStr">
        <is>
          <t>Pedreiro</t>
        </is>
      </c>
      <c r="B6" s="5" t="n">
        <v>25</v>
      </c>
      <c r="C6" s="4" t="inlineStr">
        <is>
          <t>h</t>
        </is>
      </c>
      <c r="D6" s="4" t="inlineStr">
        <is>
          <t>diária 200÷8h [validar]</t>
        </is>
      </c>
    </row>
    <row r="7">
      <c r="A7" s="4" t="inlineStr">
        <is>
          <t>Meio oficial</t>
        </is>
      </c>
      <c r="B7" s="5" t="n">
        <v>18.75</v>
      </c>
      <c r="C7" s="4" t="inlineStr">
        <is>
          <t>h</t>
        </is>
      </c>
      <c r="D7" s="4" t="inlineStr">
        <is>
          <t>diária 150÷8h [validar]</t>
        </is>
      </c>
    </row>
    <row r="8">
      <c r="A8" s="4" t="inlineStr">
        <is>
          <t>Pintor</t>
        </is>
      </c>
      <c r="B8" s="5" t="n">
        <v>20.46</v>
      </c>
      <c r="C8" s="4" t="inlineStr">
        <is>
          <t>h</t>
        </is>
      </c>
      <c r="D8" s="4" t="inlineStr">
        <is>
          <t>[validar]</t>
        </is>
      </c>
    </row>
    <row r="9">
      <c r="A9" s="4" t="inlineStr">
        <is>
          <t>Instalador</t>
        </is>
      </c>
      <c r="B9" s="5" t="n">
        <v>20.46</v>
      </c>
      <c r="C9" s="4" t="inlineStr">
        <is>
          <t>h</t>
        </is>
      </c>
      <c r="D9" s="4" t="inlineStr">
        <is>
          <t>[validar]</t>
        </is>
      </c>
    </row>
    <row r="10">
      <c r="A10" s="4" t="inlineStr">
        <is>
          <t>Eletricista</t>
        </is>
      </c>
      <c r="B10" s="5" t="n">
        <v>25</v>
      </c>
      <c r="C10" s="4" t="inlineStr">
        <is>
          <t>h</t>
        </is>
      </c>
      <c r="D10" s="4" t="inlineStr">
        <is>
          <t>[validar]</t>
        </is>
      </c>
    </row>
    <row r="11">
      <c r="A11" s="4" t="inlineStr">
        <is>
          <t>Encanador</t>
        </is>
      </c>
      <c r="B11" s="5" t="n">
        <v>25</v>
      </c>
      <c r="C11" s="4" t="inlineStr">
        <is>
          <t>h</t>
        </is>
      </c>
      <c r="D11" s="4" t="inlineStr">
        <is>
          <t>[validar]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6" customWidth="1" min="3" max="3"/>
    <col width="10" customWidth="1" min="4" max="4"/>
    <col width="9" customWidth="1" min="5" max="5"/>
    <col width="17" customWidth="1" min="6" max="6"/>
    <col width="38" customWidth="1" min="7" max="7"/>
    <col width="9" customWidth="1" min="8" max="8"/>
    <col width="9" customWidth="1" min="9" max="9"/>
    <col width="9" customWidth="1" min="10" max="10"/>
  </cols>
  <sheetData>
    <row r="1">
      <c r="A1" s="3" t="inlineStr">
        <is>
          <t>Cód.</t>
        </is>
      </c>
      <c r="B1" s="3" t="inlineStr">
        <is>
          <t>Serviço</t>
        </is>
      </c>
      <c r="C1" s="3" t="inlineStr">
        <is>
          <t>Un.</t>
        </is>
      </c>
      <c r="D1" s="3" t="inlineStr">
        <is>
          <t>Quantidade</t>
        </is>
      </c>
      <c r="E1" s="3" t="inlineStr">
        <is>
          <t>Horas/dia</t>
        </is>
      </c>
      <c r="F1" s="3" t="inlineStr">
        <is>
          <t>PRODUTIV. (un/dia)</t>
        </is>
      </c>
      <c r="G1" s="3" t="inlineStr">
        <is>
          <t>Origem da quantidade</t>
        </is>
      </c>
      <c r="H1" s="3" t="inlineStr">
        <is>
          <t>Lucro mat</t>
        </is>
      </c>
      <c r="I1" s="3" t="inlineStr">
        <is>
          <t>Imp MO</t>
        </is>
      </c>
      <c r="J1" s="3" t="inlineStr">
        <is>
          <t>Lucro MO</t>
        </is>
      </c>
    </row>
    <row r="2">
      <c r="A2" s="4" t="inlineStr">
        <is>
          <t>1.1</t>
        </is>
      </c>
      <c r="B2" s="4" t="inlineStr">
        <is>
          <t>Estrutura em Aço LSF Z275</t>
        </is>
      </c>
      <c r="C2" s="4" t="inlineStr">
        <is>
          <t>kg</t>
        </is>
      </c>
      <c r="D2" s="6" t="n">
        <v>21900</v>
      </c>
      <c r="E2" s="7" t="n">
        <v>8</v>
      </c>
      <c r="F2" s="7" t="n">
        <v>363.6</v>
      </c>
      <c r="G2" s="4" t="inlineStr">
        <is>
          <t>dentro de F10 =((21900×13,5)×1,07)+15000; E10=1 vb</t>
        </is>
      </c>
      <c r="H2" s="8" t="n">
        <v>0.25</v>
      </c>
      <c r="I2" s="8" t="n">
        <v>0.13</v>
      </c>
      <c r="J2" s="8" t="n">
        <v>0.28</v>
      </c>
    </row>
    <row r="3">
      <c r="A3" s="4" t="inlineStr">
        <is>
          <t>1.2</t>
        </is>
      </c>
      <c r="B3" s="4" t="inlineStr">
        <is>
          <t>Pintura do aço estrutural</t>
        </is>
      </c>
      <c r="C3" s="4" t="inlineStr">
        <is>
          <t>m²</t>
        </is>
      </c>
      <c r="D3" s="6" t="n">
        <v>1173</v>
      </c>
      <c r="E3" s="7" t="n">
        <v>8</v>
      </c>
      <c r="F3" s="9" t="n"/>
      <c r="G3" s="4" t="inlineStr">
        <is>
          <t>E11 (digitado)</t>
        </is>
      </c>
      <c r="H3" s="8" t="n">
        <v>0.2</v>
      </c>
      <c r="I3" s="8" t="n">
        <v>0.13</v>
      </c>
      <c r="J3" s="8" t="n">
        <v>0.28</v>
      </c>
    </row>
    <row r="4">
      <c r="A4" s="4" t="inlineStr">
        <is>
          <t>1.3</t>
        </is>
      </c>
      <c r="B4" s="4" t="inlineStr">
        <is>
          <t>Pintura/Stain portão Pinus</t>
        </is>
      </c>
      <c r="C4" s="4" t="inlineStr">
        <is>
          <t>m²</t>
        </is>
      </c>
      <c r="D4" s="6" t="n">
        <v>161</v>
      </c>
      <c r="E4" s="7" t="n">
        <v>8</v>
      </c>
      <c r="F4" s="9" t="n"/>
      <c r="G4" s="4" t="inlineStr">
        <is>
          <t>E12 (digitado)</t>
        </is>
      </c>
      <c r="H4" s="8" t="n">
        <v>0.2</v>
      </c>
      <c r="I4" s="8" t="n">
        <v>0.13</v>
      </c>
      <c r="J4" s="8" t="n">
        <v>0.28</v>
      </c>
    </row>
    <row r="5">
      <c r="A5" s="4" t="inlineStr">
        <is>
          <t>1.4</t>
        </is>
      </c>
      <c r="B5" s="4" t="inlineStr">
        <is>
          <t>Portão em Pinus</t>
        </is>
      </c>
      <c r="C5" s="4" t="inlineStr">
        <is>
          <t>un</t>
        </is>
      </c>
      <c r="D5" s="6" t="n">
        <v>48</v>
      </c>
      <c r="E5" s="7" t="n">
        <v>8</v>
      </c>
      <c r="F5" s="9" t="n"/>
      <c r="G5" s="4" t="inlineStr">
        <is>
          <t>E13 =24×2</t>
        </is>
      </c>
      <c r="H5" s="8" t="n">
        <v>0.2</v>
      </c>
      <c r="I5" s="8" t="n">
        <v>0.13</v>
      </c>
      <c r="J5" s="8" t="n">
        <v>0.28</v>
      </c>
    </row>
    <row r="6">
      <c r="A6" s="4" t="inlineStr">
        <is>
          <t>1.5</t>
        </is>
      </c>
      <c r="B6" s="4" t="inlineStr">
        <is>
          <t>Fechamento interno placa cimentícia</t>
        </is>
      </c>
      <c r="C6" s="4" t="inlineStr">
        <is>
          <t>m²</t>
        </is>
      </c>
      <c r="D6" s="6" t="n">
        <v>900</v>
      </c>
      <c r="E6" s="7" t="n">
        <v>8</v>
      </c>
      <c r="F6" s="7" t="n">
        <v>30</v>
      </c>
      <c r="G6" s="4" t="inlineStr">
        <is>
          <t>E14 (digitado)</t>
        </is>
      </c>
      <c r="H6" s="8" t="n">
        <v>0.2</v>
      </c>
      <c r="I6" s="8" t="n">
        <v>0.13</v>
      </c>
      <c r="J6" s="8" t="n">
        <v>0.28</v>
      </c>
    </row>
    <row r="7">
      <c r="A7" s="4" t="inlineStr">
        <is>
          <t>1.6</t>
        </is>
      </c>
      <c r="B7" s="4" t="inlineStr">
        <is>
          <t>Fechamento externo régua pinus</t>
        </is>
      </c>
      <c r="C7" s="4" t="inlineStr">
        <is>
          <t>m²</t>
        </is>
      </c>
      <c r="D7" s="6" t="n">
        <v>660</v>
      </c>
      <c r="E7" s="7" t="n">
        <v>8</v>
      </c>
      <c r="F7" s="7" t="n">
        <v>15</v>
      </c>
      <c r="G7" s="4" t="inlineStr">
        <is>
          <t>E15 (digitado)</t>
        </is>
      </c>
      <c r="H7" s="8" t="n">
        <v>0.2</v>
      </c>
      <c r="I7" s="8" t="n">
        <v>0.13</v>
      </c>
      <c r="J7" s="8" t="n">
        <v>0.28</v>
      </c>
    </row>
    <row r="8">
      <c r="A8" s="4" t="inlineStr">
        <is>
          <t>1.7</t>
        </is>
      </c>
      <c r="B8" s="4" t="inlineStr">
        <is>
          <t>Pintura fechamentos internos</t>
        </is>
      </c>
      <c r="C8" s="4" t="inlineStr">
        <is>
          <t>m²</t>
        </is>
      </c>
      <c r="D8" s="6" t="n">
        <v>900</v>
      </c>
      <c r="E8" s="7" t="n">
        <v>8</v>
      </c>
      <c r="F8" s="9" t="n"/>
      <c r="G8" s="4" t="inlineStr">
        <is>
          <t>E16 =E14 (un. corrigida vb→m²)</t>
        </is>
      </c>
      <c r="H8" s="8" t="n">
        <v>0.2</v>
      </c>
      <c r="I8" s="8" t="n">
        <v>0.13</v>
      </c>
      <c r="J8" s="8" t="n">
        <v>0.28</v>
      </c>
    </row>
    <row r="9">
      <c r="A9" s="4" t="inlineStr">
        <is>
          <t>1.8</t>
        </is>
      </c>
      <c r="B9" s="4" t="inlineStr">
        <is>
          <t>Pintura Stain paredes externas</t>
        </is>
      </c>
      <c r="C9" s="4" t="inlineStr">
        <is>
          <t>m²</t>
        </is>
      </c>
      <c r="D9" s="6" t="n">
        <v>660</v>
      </c>
      <c r="E9" s="7" t="n">
        <v>8</v>
      </c>
      <c r="F9" s="9" t="n"/>
      <c r="G9" s="4" t="inlineStr">
        <is>
          <t>E17 (digitado)</t>
        </is>
      </c>
      <c r="H9" s="8" t="n">
        <v>0.2</v>
      </c>
      <c r="I9" s="8" t="n">
        <v>0.13</v>
      </c>
      <c r="J9" s="8" t="n">
        <v>0.28</v>
      </c>
    </row>
    <row r="10">
      <c r="A10" s="4" t="inlineStr">
        <is>
          <t>1.9</t>
        </is>
      </c>
      <c r="B10" s="4" t="inlineStr">
        <is>
          <t>Verticalização pilares roliços</t>
        </is>
      </c>
      <c r="C10" s="4" t="inlineStr">
        <is>
          <t>un</t>
        </is>
      </c>
      <c r="D10" s="6" t="n">
        <v>32</v>
      </c>
      <c r="E10" s="7" t="n">
        <v>8</v>
      </c>
      <c r="F10" s="9" t="n"/>
      <c r="G10" s="4" t="inlineStr">
        <is>
          <t>E18 =44-12</t>
        </is>
      </c>
      <c r="H10" s="8" t="n">
        <v>0.2</v>
      </c>
      <c r="I10" s="8" t="n">
        <v>0.13</v>
      </c>
      <c r="J10" s="8" t="n">
        <v>0.28</v>
      </c>
    </row>
    <row r="11">
      <c r="A11" s="4" t="inlineStr">
        <is>
          <t>1.10</t>
        </is>
      </c>
      <c r="B11" s="4" t="inlineStr">
        <is>
          <t>Corredores em concreto</t>
        </is>
      </c>
      <c r="C11" s="4" t="inlineStr">
        <is>
          <t>m²</t>
        </is>
      </c>
      <c r="D11" s="6" t="n">
        <v>500.4</v>
      </c>
      <c r="E11" s="7" t="n">
        <v>8</v>
      </c>
      <c r="F11" s="9" t="n"/>
      <c r="G11" s="4" t="inlineStr">
        <is>
          <t>dentro de F19/G19 (500,4); E19=1 vb</t>
        </is>
      </c>
      <c r="H11" s="8" t="n">
        <v>0.2</v>
      </c>
      <c r="I11" s="8" t="n">
        <v>0.13</v>
      </c>
      <c r="J11" s="8" t="n">
        <v>0.28</v>
      </c>
    </row>
    <row r="12">
      <c r="A12" s="4" t="inlineStr">
        <is>
          <t>1.11</t>
        </is>
      </c>
      <c r="B12" s="4" t="inlineStr">
        <is>
          <t>Revestimento pedra moledo</t>
        </is>
      </c>
      <c r="C12" s="4" t="inlineStr">
        <is>
          <t>m²</t>
        </is>
      </c>
      <c r="D12" s="6" t="n">
        <v>40</v>
      </c>
      <c r="E12" s="7" t="n">
        <v>8</v>
      </c>
      <c r="F12" s="9" t="n"/>
      <c r="G12" s="4" t="inlineStr">
        <is>
          <t>E20 =80/2</t>
        </is>
      </c>
      <c r="H12" s="8" t="n">
        <v>0.2</v>
      </c>
      <c r="I12" s="8" t="n">
        <v>0.13</v>
      </c>
      <c r="J12" s="8" t="n">
        <v>0.28</v>
      </c>
    </row>
    <row r="13">
      <c r="A13" s="4" t="inlineStr">
        <is>
          <t>1.12</t>
        </is>
      </c>
      <c r="B13" s="4" t="inlineStr">
        <is>
          <t>Instalação pontos de luz</t>
        </is>
      </c>
      <c r="C13" s="4" t="inlineStr">
        <is>
          <t>vb</t>
        </is>
      </c>
      <c r="D13" s="6" t="n">
        <v>1</v>
      </c>
      <c r="E13" s="7" t="n">
        <v>8</v>
      </c>
      <c r="F13" s="4" t="inlineStr">
        <is>
          <t>n/a (verba)</t>
        </is>
      </c>
      <c r="G13" s="4" t="inlineStr">
        <is>
          <t>E21=1; 12 pontos em F21</t>
        </is>
      </c>
      <c r="H13" s="8" t="n">
        <v>0.2</v>
      </c>
      <c r="I13" s="8" t="n">
        <v>0.13</v>
      </c>
      <c r="J13" s="8" t="n">
        <v>0.28</v>
      </c>
    </row>
    <row r="14">
      <c r="A14" s="4" t="inlineStr">
        <is>
          <t>1.13</t>
        </is>
      </c>
      <c r="B14" s="4" t="inlineStr">
        <is>
          <t>Instalação telha shingle</t>
        </is>
      </c>
      <c r="C14" s="4" t="inlineStr">
        <is>
          <t>m²</t>
        </is>
      </c>
      <c r="D14" s="6" t="n">
        <v>1173</v>
      </c>
      <c r="E14" s="7" t="n">
        <v>8</v>
      </c>
      <c r="F14" s="9" t="n"/>
      <c r="G14" s="4" t="inlineStr">
        <is>
          <t>E22 (digitado)</t>
        </is>
      </c>
      <c r="H14" s="8" t="n">
        <v>0.2</v>
      </c>
      <c r="I14" s="8" t="n">
        <v>0.13</v>
      </c>
      <c r="J14" s="8" t="n">
        <v>0.28</v>
      </c>
    </row>
    <row r="15">
      <c r="A15" s="4" t="inlineStr">
        <is>
          <t>1.14</t>
        </is>
      </c>
      <c r="B15" s="4" t="inlineStr">
        <is>
          <t>Cercado das baias</t>
        </is>
      </c>
      <c r="C15" s="4" t="inlineStr">
        <is>
          <t>un</t>
        </is>
      </c>
      <c r="D15" s="6" t="n">
        <v>24</v>
      </c>
      <c r="E15" s="7" t="n">
        <v>8</v>
      </c>
      <c r="F15" s="9" t="n"/>
      <c r="G15" s="4" t="inlineStr">
        <is>
          <t>E23 (digitado)</t>
        </is>
      </c>
      <c r="H15" s="8" t="n">
        <v>0.2</v>
      </c>
      <c r="I15" s="8" t="n">
        <v>0.13</v>
      </c>
      <c r="J15" s="8" t="n">
        <v>0.28</v>
      </c>
    </row>
    <row r="16">
      <c r="A16" s="4" t="inlineStr">
        <is>
          <t>1.15</t>
        </is>
      </c>
      <c r="B16" s="4" t="inlineStr">
        <is>
          <t>Pintura Stain do cercado</t>
        </is>
      </c>
      <c r="C16" s="4" t="inlineStr">
        <is>
          <t>un</t>
        </is>
      </c>
      <c r="D16" s="6" t="n">
        <v>24</v>
      </c>
      <c r="E16" s="7" t="n">
        <v>8</v>
      </c>
      <c r="F16" s="9" t="n"/>
      <c r="G16" s="4" t="inlineStr">
        <is>
          <t>E24 (digitado)</t>
        </is>
      </c>
      <c r="H16" s="8" t="n">
        <v>0.2</v>
      </c>
      <c r="I16" s="8" t="n">
        <v>0.13</v>
      </c>
      <c r="J16" s="8" t="n">
        <v>0.28</v>
      </c>
    </row>
    <row r="17">
      <c r="A17" s="4" t="inlineStr">
        <is>
          <t>1.16</t>
        </is>
      </c>
      <c r="B17" s="4" t="inlineStr">
        <is>
          <t>Ponto hidráulico por baia</t>
        </is>
      </c>
      <c r="C17" s="4" t="inlineStr">
        <is>
          <t>un</t>
        </is>
      </c>
      <c r="D17" s="6" t="n">
        <v>24</v>
      </c>
      <c r="E17" s="7" t="n">
        <v>8</v>
      </c>
      <c r="F17" s="9" t="n"/>
      <c r="G17" s="4" t="inlineStr">
        <is>
          <t>E25 (digitado)</t>
        </is>
      </c>
      <c r="H17" s="8" t="n">
        <v>0.2</v>
      </c>
      <c r="I17" s="8" t="n">
        <v>0.13</v>
      </c>
      <c r="J17" s="8" t="n">
        <v>0.28</v>
      </c>
    </row>
    <row r="18">
      <c r="A18" s="4" t="inlineStr">
        <is>
          <t>1.17</t>
        </is>
      </c>
      <c r="B18" s="4" t="inlineStr">
        <is>
          <t>Pacote complementar REV10</t>
        </is>
      </c>
      <c r="C18" s="4" t="inlineStr">
        <is>
          <t>vb</t>
        </is>
      </c>
      <c r="D18" s="6" t="n">
        <v>1</v>
      </c>
      <c r="E18" s="7" t="n">
        <v>8</v>
      </c>
      <c r="F18" s="4" t="inlineStr">
        <is>
          <t>n/a (verba)</t>
        </is>
      </c>
      <c r="G18" s="4" t="inlineStr">
        <is>
          <t>E26 (digitado)</t>
        </is>
      </c>
      <c r="H18" s="8" t="n">
        <v>0.22</v>
      </c>
      <c r="I18" s="8" t="n">
        <v>0.13</v>
      </c>
      <c r="J18" s="8" t="n">
        <v>0.15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6" customWidth="1" min="4" max="4"/>
    <col width="12" customWidth="1" min="5" max="5"/>
    <col width="12" customWidth="1" min="6" max="6"/>
    <col width="14" customWidth="1" min="7" max="7"/>
    <col width="54" customWidth="1" min="8" max="8"/>
  </cols>
  <sheetData>
    <row r="1">
      <c r="A1" s="3" t="inlineStr">
        <is>
          <t>Cód.</t>
        </is>
      </c>
      <c r="B1" s="3" t="inlineStr">
        <is>
          <t>Insumo</t>
        </is>
      </c>
      <c r="C1" s="3" t="inlineStr">
        <is>
          <t>Tipo</t>
        </is>
      </c>
      <c r="D1" s="3" t="inlineStr">
        <is>
          <t>Un.</t>
        </is>
      </c>
      <c r="E1" s="3" t="inlineStr">
        <is>
          <t>Coeficiente</t>
        </is>
      </c>
      <c r="F1" s="3" t="inlineStr">
        <is>
          <t>Preço unit.</t>
        </is>
      </c>
      <c r="G1" s="3" t="inlineStr">
        <is>
          <t>Custo/un serviço</t>
        </is>
      </c>
      <c r="H1" s="3" t="inlineStr">
        <is>
          <t>Como transformei / origem</t>
        </is>
      </c>
    </row>
    <row r="2">
      <c r="A2" s="4" t="inlineStr">
        <is>
          <t>1.1</t>
        </is>
      </c>
      <c r="B2" s="4" t="inlineStr">
        <is>
          <t>Aço LSF galvanizado Z275</t>
        </is>
      </c>
      <c r="C2" s="4" t="inlineStr">
        <is>
          <t>Material</t>
        </is>
      </c>
      <c r="D2" s="4" t="inlineStr">
        <is>
          <t>kg</t>
        </is>
      </c>
      <c r="E2" s="10" t="n">
        <v>1.07</v>
      </c>
      <c r="F2" s="6" t="n">
        <v>13.5</v>
      </c>
      <c r="G2" s="6">
        <f>IF(E2="","",E2*F2)</f>
        <v/>
      </c>
      <c r="H2" s="4" t="inlineStr">
        <is>
          <t>coef 1,07 = 1kg + 7% perda (F10)</t>
        </is>
      </c>
    </row>
    <row r="3">
      <c r="A3" s="4" t="inlineStr">
        <is>
          <t>1.1</t>
        </is>
      </c>
      <c r="B3" s="4" t="inlineStr">
        <is>
          <t>Fixadores/parafusos LSF</t>
        </is>
      </c>
      <c r="C3" s="4" t="inlineStr">
        <is>
          <t>Material</t>
        </is>
      </c>
      <c r="D3" s="4" t="inlineStr">
        <is>
          <t>vb</t>
        </is>
      </c>
      <c r="E3" s="10" t="n">
        <v>1</v>
      </c>
      <c r="F3" s="6">
        <f>15000/'03_SERVICOS'!D2</f>
        <v/>
      </c>
      <c r="G3" s="6">
        <f>IF(E3="","",E3*F3)</f>
        <v/>
      </c>
      <c r="H3" s="4" t="inlineStr">
        <is>
          <t>verba R$15.000 (F10) rateada</t>
        </is>
      </c>
    </row>
    <row r="4">
      <c r="A4" s="4" t="inlineStr">
        <is>
          <t>1.1</t>
        </is>
      </c>
      <c r="B4" s="4" t="inlineStr">
        <is>
          <t>Encarregado</t>
        </is>
      </c>
      <c r="C4" s="4" t="inlineStr">
        <is>
          <t>Mão de Obra</t>
        </is>
      </c>
      <c r="D4" s="4" t="inlineStr">
        <is>
          <t>h</t>
        </is>
      </c>
      <c r="E4" s="11">
        <f>IF(OR('03_SERVICOS'!F2="",'03_SERVICOS'!F2=0),"",'03_SERVICOS'!E2/'03_SERVICOS'!F2)</f>
        <v/>
      </c>
      <c r="F4" s="5" t="n">
        <v>36.36</v>
      </c>
      <c r="G4" s="6">
        <f>IF(E4="","",E4*F4)</f>
        <v/>
      </c>
      <c r="H4" s="12" t="inlineStr">
        <is>
          <t>[transformado] 8h ÷ produtividade</t>
        </is>
      </c>
    </row>
    <row r="5">
      <c r="A5" s="4" t="inlineStr">
        <is>
          <t>1.1</t>
        </is>
      </c>
      <c r="B5" s="4" t="inlineStr">
        <is>
          <t>Montador líder</t>
        </is>
      </c>
      <c r="C5" s="4" t="inlineStr">
        <is>
          <t>Mão de Obra</t>
        </is>
      </c>
      <c r="D5" s="4" t="inlineStr">
        <is>
          <t>h</t>
        </is>
      </c>
      <c r="E5" s="11">
        <f>IF(OR('03_SERVICOS'!F2="",'03_SERVICOS'!F2=0),"",'03_SERVICOS'!E2/'03_SERVICOS'!F2)</f>
        <v/>
      </c>
      <c r="F5" s="5" t="n">
        <v>31.82</v>
      </c>
      <c r="G5" s="6">
        <f>IF(E5="","",E5*F5)</f>
        <v/>
      </c>
      <c r="H5" s="12" t="inlineStr">
        <is>
          <t>[transformado] 8h ÷ produtividade</t>
        </is>
      </c>
    </row>
    <row r="6">
      <c r="A6" s="4" t="inlineStr">
        <is>
          <t>1.1</t>
        </is>
      </c>
      <c r="B6" s="4" t="inlineStr">
        <is>
          <t>Montador</t>
        </is>
      </c>
      <c r="C6" s="4" t="inlineStr">
        <is>
          <t>Mão de Obra</t>
        </is>
      </c>
      <c r="D6" s="4" t="inlineStr">
        <is>
          <t>h</t>
        </is>
      </c>
      <c r="E6" s="11">
        <f>IF(OR('03_SERVICOS'!F2="",'03_SERVICOS'!F2=0),"",'03_SERVICOS'!E2/'03_SERVICOS'!F2)</f>
        <v/>
      </c>
      <c r="F6" s="5" t="n">
        <v>26.14</v>
      </c>
      <c r="G6" s="6">
        <f>IF(E6="","",E6*F6)</f>
        <v/>
      </c>
      <c r="H6" s="12" t="inlineStr">
        <is>
          <t>[transformado] 8h ÷ produtividade</t>
        </is>
      </c>
    </row>
    <row r="7">
      <c r="A7" s="4" t="inlineStr">
        <is>
          <t>1.1</t>
        </is>
      </c>
      <c r="B7" s="4" t="inlineStr">
        <is>
          <t>Montador</t>
        </is>
      </c>
      <c r="C7" s="4" t="inlineStr">
        <is>
          <t>Mão de Obra</t>
        </is>
      </c>
      <c r="D7" s="4" t="inlineStr">
        <is>
          <t>h</t>
        </is>
      </c>
      <c r="E7" s="11">
        <f>IF(OR('03_SERVICOS'!F2="",'03_SERVICOS'!F2=0),"",'03_SERVICOS'!E2/'03_SERVICOS'!F2)</f>
        <v/>
      </c>
      <c r="F7" s="5" t="n">
        <v>26.14</v>
      </c>
      <c r="G7" s="6">
        <f>IF(E7="","",E7*F7)</f>
        <v/>
      </c>
      <c r="H7" s="12" t="inlineStr">
        <is>
          <t>[transformado] 8h ÷ produtividade</t>
        </is>
      </c>
    </row>
    <row r="8">
      <c r="A8" s="4" t="inlineStr">
        <is>
          <t>1.1</t>
        </is>
      </c>
      <c r="B8" s="4" t="inlineStr">
        <is>
          <t>Ajudante</t>
        </is>
      </c>
      <c r="C8" s="4" t="inlineStr">
        <is>
          <t>Mão de Obra</t>
        </is>
      </c>
      <c r="D8" s="4" t="inlineStr">
        <is>
          <t>h</t>
        </is>
      </c>
      <c r="E8" s="11">
        <f>IF(OR('03_SERVICOS'!F2="",'03_SERVICOS'!F2=0),"",'03_SERVICOS'!E2/'03_SERVICOS'!F2)</f>
        <v/>
      </c>
      <c r="F8" s="5" t="n">
        <v>20.46</v>
      </c>
      <c r="G8" s="6">
        <f>IF(E8="","",E8*F8)</f>
        <v/>
      </c>
      <c r="H8" s="12" t="inlineStr">
        <is>
          <t>[transformado] 8h ÷ produtividade</t>
        </is>
      </c>
    </row>
    <row r="9">
      <c r="A9" s="4" t="inlineStr">
        <is>
          <t>1.1</t>
        </is>
      </c>
      <c r="B9" s="4" t="inlineStr">
        <is>
          <t>Ajudante</t>
        </is>
      </c>
      <c r="C9" s="4" t="inlineStr">
        <is>
          <t>Mão de Obra</t>
        </is>
      </c>
      <c r="D9" s="4" t="inlineStr">
        <is>
          <t>h</t>
        </is>
      </c>
      <c r="E9" s="11">
        <f>IF(OR('03_SERVICOS'!F2="",'03_SERVICOS'!F2=0),"",'03_SERVICOS'!E2/'03_SERVICOS'!F2)</f>
        <v/>
      </c>
      <c r="F9" s="5" t="n">
        <v>20.46</v>
      </c>
      <c r="G9" s="6">
        <f>IF(E9="","",E9*F9)</f>
        <v/>
      </c>
      <c r="H9" s="12" t="inlineStr">
        <is>
          <t>[transformado] 8h ÷ produtividade</t>
        </is>
      </c>
    </row>
    <row r="10">
      <c r="A10" s="4" t="inlineStr">
        <is>
          <t>1.2</t>
        </is>
      </c>
      <c r="B10" s="4" t="inlineStr">
        <is>
          <t>Pintor</t>
        </is>
      </c>
      <c r="C10" s="4" t="inlineStr">
        <is>
          <t>Mão de Obra</t>
        </is>
      </c>
      <c r="D10" s="4" t="inlineStr">
        <is>
          <t>h</t>
        </is>
      </c>
      <c r="E10" s="11">
        <f>IF(OR('03_SERVICOS'!F3="",'03_SERVICOS'!F3=0),"",'03_SERVICOS'!E3/'03_SERVICOS'!F3)</f>
        <v/>
      </c>
      <c r="F10" s="5" t="n">
        <v>20.46</v>
      </c>
      <c r="G10" s="6">
        <f>IF(E10="","",E10*F10)</f>
        <v/>
      </c>
      <c r="H10" s="9" t="inlineStr">
        <is>
          <t>[preencher prod.] equipe pintura — aba sugere taxa proposta 35/m²</t>
        </is>
      </c>
    </row>
    <row r="11">
      <c r="A11" s="4" t="inlineStr">
        <is>
          <t>1.2</t>
        </is>
      </c>
      <c r="B11" s="4" t="inlineStr">
        <is>
          <t>Ajudante</t>
        </is>
      </c>
      <c r="C11" s="4" t="inlineStr">
        <is>
          <t>Mão de Obra</t>
        </is>
      </c>
      <c r="D11" s="4" t="inlineStr">
        <is>
          <t>h</t>
        </is>
      </c>
      <c r="E11" s="11">
        <f>IF(OR('03_SERVICOS'!F3="",'03_SERVICOS'!F3=0),"",'03_SERVICOS'!E3/'03_SERVICOS'!F3)</f>
        <v/>
      </c>
      <c r="F11" s="5" t="n">
        <v>20.46</v>
      </c>
      <c r="G11" s="6">
        <f>IF(E11="","",E11*F11)</f>
        <v/>
      </c>
      <c r="H11" s="9" t="inlineStr">
        <is>
          <t>[preencher prod.] equipe pintura — aba sugere taxa proposta 35/m²</t>
        </is>
      </c>
    </row>
    <row r="12">
      <c r="A12" s="4" t="inlineStr">
        <is>
          <t>1.3</t>
        </is>
      </c>
      <c r="B12" s="4" t="inlineStr">
        <is>
          <t>Stain (verba global)</t>
        </is>
      </c>
      <c r="C12" s="4" t="inlineStr">
        <is>
          <t>Material</t>
        </is>
      </c>
      <c r="D12" s="4" t="inlineStr">
        <is>
          <t>vb</t>
        </is>
      </c>
      <c r="E12" s="10" t="n">
        <v>1</v>
      </c>
      <c r="F12" s="6">
        <f>800/'03_SERVICOS'!D4</f>
        <v/>
      </c>
      <c r="G12" s="6">
        <f>IF(E12="","",E12*F12)</f>
        <v/>
      </c>
      <c r="H12" s="13" t="inlineStr">
        <is>
          <t>[erro planilha] H12=800 global (venda ×161)</t>
        </is>
      </c>
    </row>
    <row r="13">
      <c r="A13" s="4" t="inlineStr">
        <is>
          <t>1.3</t>
        </is>
      </c>
      <c r="B13" s="4" t="inlineStr">
        <is>
          <t>Pintor</t>
        </is>
      </c>
      <c r="C13" s="4" t="inlineStr">
        <is>
          <t>Mão de Obra</t>
        </is>
      </c>
      <c r="D13" s="4" t="inlineStr">
        <is>
          <t>h</t>
        </is>
      </c>
      <c r="E13" s="11">
        <f>IF(OR('03_SERVICOS'!F4="",'03_SERVICOS'!F4=0),"",'03_SERVICOS'!E4/'03_SERVICOS'!F4)</f>
        <v/>
      </c>
      <c r="F13" s="5" t="n">
        <v>20.46</v>
      </c>
      <c r="G13" s="6">
        <f>IF(E13="","",E13*F13)</f>
        <v/>
      </c>
      <c r="H13" s="9" t="inlineStr">
        <is>
          <t>[preencher prod.] pintura/stain portão (proposta 35/m²)</t>
        </is>
      </c>
    </row>
    <row r="14">
      <c r="A14" s="4" t="inlineStr">
        <is>
          <t>1.4</t>
        </is>
      </c>
      <c r="B14" s="4" t="inlineStr">
        <is>
          <t>Ferragens/trilho portão</t>
        </is>
      </c>
      <c r="C14" s="4" t="inlineStr">
        <is>
          <t>Material</t>
        </is>
      </c>
      <c r="D14" s="4" t="inlineStr">
        <is>
          <t>un</t>
        </is>
      </c>
      <c r="E14" s="10" t="n">
        <v>1</v>
      </c>
      <c r="F14" s="6" t="n">
        <v>125</v>
      </c>
      <c r="G14" s="6">
        <f>IF(E14="","",E14*F14)</f>
        <v/>
      </c>
      <c r="H14" s="4" t="inlineStr">
        <is>
          <t>F13 por unidade</t>
        </is>
      </c>
    </row>
    <row r="15">
      <c r="A15" s="4" t="inlineStr">
        <is>
          <t>1.4</t>
        </is>
      </c>
      <c r="B15" s="4" t="inlineStr">
        <is>
          <t>Montador</t>
        </is>
      </c>
      <c r="C15" s="4" t="inlineStr">
        <is>
          <t>Mão de Obra</t>
        </is>
      </c>
      <c r="D15" s="4" t="inlineStr">
        <is>
          <t>h</t>
        </is>
      </c>
      <c r="E15" s="11">
        <f>IF(OR('03_SERVICOS'!F5="",'03_SERVICOS'!F5=0),"",'03_SERVICOS'!E5/'03_SERVICOS'!F5)</f>
        <v/>
      </c>
      <c r="F15" s="5" t="n">
        <v>26.14</v>
      </c>
      <c r="G15" s="6">
        <f>IF(E15="","",E15*F15)</f>
        <v/>
      </c>
      <c r="H15" s="9" t="inlineStr">
        <is>
          <t>[preencher prod.] un/dia (aba Portas ~ R$116,78/un; proposta 350/un)</t>
        </is>
      </c>
    </row>
    <row r="16">
      <c r="A16" s="4" t="inlineStr">
        <is>
          <t>1.4</t>
        </is>
      </c>
      <c r="B16" s="4" t="inlineStr">
        <is>
          <t>Ajudante</t>
        </is>
      </c>
      <c r="C16" s="4" t="inlineStr">
        <is>
          <t>Mão de Obra</t>
        </is>
      </c>
      <c r="D16" s="4" t="inlineStr">
        <is>
          <t>h</t>
        </is>
      </c>
      <c r="E16" s="11">
        <f>IF(OR('03_SERVICOS'!F5="",'03_SERVICOS'!F5=0),"",'03_SERVICOS'!E5/'03_SERVICOS'!F5)</f>
        <v/>
      </c>
      <c r="F16" s="5" t="n">
        <v>20.46</v>
      </c>
      <c r="G16" s="6">
        <f>IF(E16="","",E16*F16)</f>
        <v/>
      </c>
      <c r="H16" s="9" t="inlineStr">
        <is>
          <t>[preencher prod.] un/dia (aba Portas ~ R$116,78/un; proposta 350/un)</t>
        </is>
      </c>
    </row>
    <row r="17">
      <c r="A17" s="4" t="inlineStr">
        <is>
          <t>1.5</t>
        </is>
      </c>
      <c r="B17" s="4" t="inlineStr">
        <is>
          <t>Montador líder</t>
        </is>
      </c>
      <c r="C17" s="4" t="inlineStr">
        <is>
          <t>Mão de Obra</t>
        </is>
      </c>
      <c r="D17" s="4" t="inlineStr">
        <is>
          <t>h</t>
        </is>
      </c>
      <c r="E17" s="11">
        <f>IF(OR('03_SERVICOS'!F6="",'03_SERVICOS'!F6=0),"",'03_SERVICOS'!E6/'03_SERVICOS'!F6)</f>
        <v/>
      </c>
      <c r="F17" s="5" t="n">
        <v>31.82</v>
      </c>
      <c r="G17" s="6">
        <f>IF(E17="","",E17*F17)</f>
        <v/>
      </c>
      <c r="H17" s="12" t="inlineStr">
        <is>
          <t>[transformado] 8h÷30 m²/dia</t>
        </is>
      </c>
    </row>
    <row r="18">
      <c r="A18" s="4" t="inlineStr">
        <is>
          <t>1.5</t>
        </is>
      </c>
      <c r="B18" s="4" t="inlineStr">
        <is>
          <t>Montador</t>
        </is>
      </c>
      <c r="C18" s="4" t="inlineStr">
        <is>
          <t>Mão de Obra</t>
        </is>
      </c>
      <c r="D18" s="4" t="inlineStr">
        <is>
          <t>h</t>
        </is>
      </c>
      <c r="E18" s="11">
        <f>IF(OR('03_SERVICOS'!F6="",'03_SERVICOS'!F6=0),"",'03_SERVICOS'!E6/'03_SERVICOS'!F6)</f>
        <v/>
      </c>
      <c r="F18" s="5" t="n">
        <v>26.14</v>
      </c>
      <c r="G18" s="6">
        <f>IF(E18="","",E18*F18)</f>
        <v/>
      </c>
      <c r="H18" s="12" t="inlineStr">
        <is>
          <t>[transformado] 8h÷30 m²/dia</t>
        </is>
      </c>
    </row>
    <row r="19">
      <c r="A19" s="4" t="inlineStr">
        <is>
          <t>1.5</t>
        </is>
      </c>
      <c r="B19" s="4" t="inlineStr">
        <is>
          <t>Ajudante</t>
        </is>
      </c>
      <c r="C19" s="4" t="inlineStr">
        <is>
          <t>Mão de Obra</t>
        </is>
      </c>
      <c r="D19" s="4" t="inlineStr">
        <is>
          <t>h</t>
        </is>
      </c>
      <c r="E19" s="11">
        <f>IF(OR('03_SERVICOS'!F6="",'03_SERVICOS'!F6=0),"",'03_SERVICOS'!E6/'03_SERVICOS'!F6)</f>
        <v/>
      </c>
      <c r="F19" s="5" t="n">
        <v>20.46</v>
      </c>
      <c r="G19" s="6">
        <f>IF(E19="","",E19*F19)</f>
        <v/>
      </c>
      <c r="H19" s="12" t="inlineStr">
        <is>
          <t>[transformado] 8h÷30 m²/dia</t>
        </is>
      </c>
    </row>
    <row r="20">
      <c r="A20" s="4" t="inlineStr">
        <is>
          <t>1.6</t>
        </is>
      </c>
      <c r="B20" s="4" t="inlineStr">
        <is>
          <t>Montador líder</t>
        </is>
      </c>
      <c r="C20" s="4" t="inlineStr">
        <is>
          <t>Mão de Obra</t>
        </is>
      </c>
      <c r="D20" s="4" t="inlineStr">
        <is>
          <t>h</t>
        </is>
      </c>
      <c r="E20" s="11">
        <f>IF(OR('03_SERVICOS'!F7="",'03_SERVICOS'!F7=0),"",'03_SERVICOS'!E7/'03_SERVICOS'!F7)</f>
        <v/>
      </c>
      <c r="F20" s="5" t="n">
        <v>31.82</v>
      </c>
      <c r="G20" s="6">
        <f>IF(E20="","",E20*F20)</f>
        <v/>
      </c>
      <c r="H20" s="12" t="inlineStr">
        <is>
          <t>[transformado] 8h÷15 m²/dia</t>
        </is>
      </c>
    </row>
    <row r="21">
      <c r="A21" s="4" t="inlineStr">
        <is>
          <t>1.6</t>
        </is>
      </c>
      <c r="B21" s="4" t="inlineStr">
        <is>
          <t>Montador</t>
        </is>
      </c>
      <c r="C21" s="4" t="inlineStr">
        <is>
          <t>Mão de Obra</t>
        </is>
      </c>
      <c r="D21" s="4" t="inlineStr">
        <is>
          <t>h</t>
        </is>
      </c>
      <c r="E21" s="11">
        <f>IF(OR('03_SERVICOS'!F7="",'03_SERVICOS'!F7=0),"",'03_SERVICOS'!E7/'03_SERVICOS'!F7)</f>
        <v/>
      </c>
      <c r="F21" s="5" t="n">
        <v>26.14</v>
      </c>
      <c r="G21" s="6">
        <f>IF(E21="","",E21*F21)</f>
        <v/>
      </c>
      <c r="H21" s="12" t="inlineStr">
        <is>
          <t>[transformado] 8h÷15 m²/dia</t>
        </is>
      </c>
    </row>
    <row r="22">
      <c r="A22" s="4" t="inlineStr">
        <is>
          <t>1.6</t>
        </is>
      </c>
      <c r="B22" s="4" t="inlineStr">
        <is>
          <t>Ajudante</t>
        </is>
      </c>
      <c r="C22" s="4" t="inlineStr">
        <is>
          <t>Mão de Obra</t>
        </is>
      </c>
      <c r="D22" s="4" t="inlineStr">
        <is>
          <t>h</t>
        </is>
      </c>
      <c r="E22" s="11">
        <f>IF(OR('03_SERVICOS'!F7="",'03_SERVICOS'!F7=0),"",'03_SERVICOS'!E7/'03_SERVICOS'!F7)</f>
        <v/>
      </c>
      <c r="F22" s="5" t="n">
        <v>20.46</v>
      </c>
      <c r="G22" s="6">
        <f>IF(E22="","",E22*F22)</f>
        <v/>
      </c>
      <c r="H22" s="12" t="inlineStr">
        <is>
          <t>[transformado] 8h÷15 m²/dia</t>
        </is>
      </c>
    </row>
    <row r="23">
      <c r="A23" s="4" t="inlineStr">
        <is>
          <t>1.7</t>
        </is>
      </c>
      <c r="B23" s="4" t="inlineStr">
        <is>
          <t>Pintor</t>
        </is>
      </c>
      <c r="C23" s="4" t="inlineStr">
        <is>
          <t>Mão de Obra</t>
        </is>
      </c>
      <c r="D23" s="4" t="inlineStr">
        <is>
          <t>h</t>
        </is>
      </c>
      <c r="E23" s="11">
        <f>IF(OR('03_SERVICOS'!F8="",'03_SERVICOS'!F8=0),"",'03_SERVICOS'!E8/'03_SERVICOS'!F8)</f>
        <v/>
      </c>
      <c r="F23" s="5" t="n">
        <v>20.46</v>
      </c>
      <c r="G23" s="6">
        <f>IF(E23="","",E23*F23)</f>
        <v/>
      </c>
      <c r="H23" s="9" t="inlineStr">
        <is>
          <t>[preencher prod.] pintura interna (proposta 45/m²)</t>
        </is>
      </c>
    </row>
    <row r="24">
      <c r="A24" s="4" t="inlineStr">
        <is>
          <t>1.8</t>
        </is>
      </c>
      <c r="B24" s="4" t="inlineStr">
        <is>
          <t>Stain (verba global)</t>
        </is>
      </c>
      <c r="C24" s="4" t="inlineStr">
        <is>
          <t>Material</t>
        </is>
      </c>
      <c r="D24" s="4" t="inlineStr">
        <is>
          <t>vb</t>
        </is>
      </c>
      <c r="E24" s="10" t="n">
        <v>1</v>
      </c>
      <c r="F24" s="6">
        <f>800/'03_SERVICOS'!D9</f>
        <v/>
      </c>
      <c r="G24" s="6">
        <f>IF(E24="","",E24*F24)</f>
        <v/>
      </c>
      <c r="H24" s="4" t="inlineStr">
        <is>
          <t>H17=800 global (consistente)</t>
        </is>
      </c>
    </row>
    <row r="25">
      <c r="A25" s="4" t="inlineStr">
        <is>
          <t>1.8</t>
        </is>
      </c>
      <c r="B25" s="4" t="inlineStr">
        <is>
          <t>Pintor</t>
        </is>
      </c>
      <c r="C25" s="4" t="inlineStr">
        <is>
          <t>Mão de Obra</t>
        </is>
      </c>
      <c r="D25" s="4" t="inlineStr">
        <is>
          <t>h</t>
        </is>
      </c>
      <c r="E25" s="11">
        <f>IF(OR('03_SERVICOS'!F9="",'03_SERVICOS'!F9=0),"",'03_SERVICOS'!E9/'03_SERVICOS'!F9)</f>
        <v/>
      </c>
      <c r="F25" s="5" t="n">
        <v>20.46</v>
      </c>
      <c r="G25" s="6">
        <f>IF(E25="","",E25*F25)</f>
        <v/>
      </c>
      <c r="H25" s="9" t="inlineStr">
        <is>
          <t>[preencher prod.] stain externa (proposta 30/m²)</t>
        </is>
      </c>
    </row>
    <row r="26">
      <c r="A26" s="4" t="inlineStr">
        <is>
          <t>1.9</t>
        </is>
      </c>
      <c r="B26" s="4" t="inlineStr">
        <is>
          <t>Pedreiro</t>
        </is>
      </c>
      <c r="C26" s="4" t="inlineStr">
        <is>
          <t>Mão de Obra</t>
        </is>
      </c>
      <c r="D26" s="4" t="inlineStr">
        <is>
          <t>h</t>
        </is>
      </c>
      <c r="E26" s="11">
        <f>IF(OR('03_SERVICOS'!F10="",'03_SERVICOS'!F10=0),"",'03_SERVICOS'!E10/'03_SERVICOS'!F10)</f>
        <v/>
      </c>
      <c r="F26" s="5" t="n">
        <v>25</v>
      </c>
      <c r="G26" s="6">
        <f>IF(E26="","",E26*F26)</f>
        <v/>
      </c>
      <c r="H26" s="9" t="inlineStr">
        <is>
          <t>[preencher prod.] pilares/dia (proposta 568,18/un; base 44 vs qtd 32)</t>
        </is>
      </c>
    </row>
    <row r="27">
      <c r="A27" s="4" t="inlineStr">
        <is>
          <t>1.9</t>
        </is>
      </c>
      <c r="B27" s="4" t="inlineStr">
        <is>
          <t>Ajudante</t>
        </is>
      </c>
      <c r="C27" s="4" t="inlineStr">
        <is>
          <t>Mão de Obra</t>
        </is>
      </c>
      <c r="D27" s="4" t="inlineStr">
        <is>
          <t>h</t>
        </is>
      </c>
      <c r="E27" s="11">
        <f>IF(OR('03_SERVICOS'!F10="",'03_SERVICOS'!F10=0),"",'03_SERVICOS'!E10/'03_SERVICOS'!F10)</f>
        <v/>
      </c>
      <c r="F27" s="5" t="n">
        <v>20.46</v>
      </c>
      <c r="G27" s="6">
        <f>IF(E27="","",E27*F27)</f>
        <v/>
      </c>
      <c r="H27" s="9" t="inlineStr">
        <is>
          <t>[preencher prod.] pilares/dia (proposta 568,18/un; base 44 vs qtd 32)</t>
        </is>
      </c>
    </row>
    <row r="28">
      <c r="A28" s="4" t="inlineStr">
        <is>
          <t>1.10</t>
        </is>
      </c>
      <c r="B28" s="4" t="inlineStr">
        <is>
          <t>Concreto usinado</t>
        </is>
      </c>
      <c r="C28" s="4" t="inlineStr">
        <is>
          <t>Material</t>
        </is>
      </c>
      <c r="D28" s="4" t="inlineStr">
        <is>
          <t>m³</t>
        </is>
      </c>
      <c r="E28" s="10" t="n">
        <v>0.2</v>
      </c>
      <c r="F28" s="6" t="n">
        <v>550</v>
      </c>
      <c r="G28" s="6">
        <f>IF(E28="","",E28*F28)</f>
        <v/>
      </c>
      <c r="H28" s="4" t="inlineStr">
        <is>
          <t>100,08 m³ ÷ 500,4 = 0,20 m³/m²</t>
        </is>
      </c>
    </row>
    <row r="29">
      <c r="A29" s="4" t="inlineStr">
        <is>
          <t>1.10</t>
        </is>
      </c>
      <c r="B29" s="4" t="inlineStr">
        <is>
          <t>Extra/ferramenta concreto</t>
        </is>
      </c>
      <c r="C29" s="4" t="inlineStr">
        <is>
          <t>Material</t>
        </is>
      </c>
      <c r="D29" s="4" t="inlineStr">
        <is>
          <t>vb</t>
        </is>
      </c>
      <c r="E29" s="10" t="n">
        <v>1</v>
      </c>
      <c r="F29" s="6">
        <f>1500/'03_SERVICOS'!D11</f>
        <v/>
      </c>
      <c r="G29" s="6">
        <f>IF(E29="","",E29*F29)</f>
        <v/>
      </c>
      <c r="H29" s="4" t="inlineStr">
        <is>
          <t>verba R$1.500 rateada</t>
        </is>
      </c>
    </row>
    <row r="30">
      <c r="A30" s="4" t="inlineStr">
        <is>
          <t>1.10</t>
        </is>
      </c>
      <c r="B30" s="4" t="inlineStr">
        <is>
          <t>Taxa fixa concretagem</t>
        </is>
      </c>
      <c r="C30" s="4" t="inlineStr">
        <is>
          <t>Mão de Obra</t>
        </is>
      </c>
      <c r="D30" s="4" t="inlineStr">
        <is>
          <t>vb</t>
        </is>
      </c>
      <c r="E30" s="10" t="n">
        <v>1</v>
      </c>
      <c r="F30" s="6">
        <f>2500/'03_SERVICOS'!D11</f>
        <v/>
      </c>
      <c r="G30" s="6">
        <f>IF(E30="","",E30*F30)</f>
        <v/>
      </c>
      <c r="H30" s="4" t="inlineStr">
        <is>
          <t>verba R$2.500 rateada</t>
        </is>
      </c>
    </row>
    <row r="31">
      <c r="A31" s="4" t="inlineStr">
        <is>
          <t>1.10</t>
        </is>
      </c>
      <c r="B31" s="4" t="inlineStr">
        <is>
          <t>Pedreiro</t>
        </is>
      </c>
      <c r="C31" s="4" t="inlineStr">
        <is>
          <t>Mão de Obra</t>
        </is>
      </c>
      <c r="D31" s="4" t="inlineStr">
        <is>
          <t>h</t>
        </is>
      </c>
      <c r="E31" s="11">
        <f>IF(OR('03_SERVICOS'!F11="",'03_SERVICOS'!F11=0),"",'03_SERVICOS'!E11/'03_SERVICOS'!F11)</f>
        <v/>
      </c>
      <c r="F31" s="5" t="n">
        <v>25</v>
      </c>
      <c r="G31" s="6">
        <f>IF(E31="","",E31*F31)</f>
        <v/>
      </c>
      <c r="H31" s="9" t="inlineStr">
        <is>
          <t>[preencher prod.] concretagem m²/dia (proposta 25/m²)</t>
        </is>
      </c>
    </row>
    <row r="32">
      <c r="A32" s="4" t="inlineStr">
        <is>
          <t>1.10</t>
        </is>
      </c>
      <c r="B32" s="4" t="inlineStr">
        <is>
          <t>Ajudante</t>
        </is>
      </c>
      <c r="C32" s="4" t="inlineStr">
        <is>
          <t>Mão de Obra</t>
        </is>
      </c>
      <c r="D32" s="4" t="inlineStr">
        <is>
          <t>h</t>
        </is>
      </c>
      <c r="E32" s="11">
        <f>IF(OR('03_SERVICOS'!F11="",'03_SERVICOS'!F11=0),"",'03_SERVICOS'!E11/'03_SERVICOS'!F11)</f>
        <v/>
      </c>
      <c r="F32" s="5" t="n">
        <v>20.46</v>
      </c>
      <c r="G32" s="6">
        <f>IF(E32="","",E32*F32)</f>
        <v/>
      </c>
      <c r="H32" s="9" t="inlineStr">
        <is>
          <t>[preencher prod.] concretagem m²/dia (proposta 25/m²)</t>
        </is>
      </c>
    </row>
    <row r="33">
      <c r="A33" s="4" t="inlineStr">
        <is>
          <t>1.11</t>
        </is>
      </c>
      <c r="B33" s="4" t="inlineStr">
        <is>
          <t>Pedreiro</t>
        </is>
      </c>
      <c r="C33" s="4" t="inlineStr">
        <is>
          <t>Mão de Obra</t>
        </is>
      </c>
      <c r="D33" s="4" t="inlineStr">
        <is>
          <t>h</t>
        </is>
      </c>
      <c r="E33" s="11">
        <f>IF(OR('03_SERVICOS'!F12="",'03_SERVICOS'!F12=0),"",'03_SERVICOS'!E12/'03_SERVICOS'!F12)</f>
        <v/>
      </c>
      <c r="F33" s="5" t="n">
        <v>25</v>
      </c>
      <c r="G33" s="6">
        <f>IF(E33="","",E33*F33)</f>
        <v/>
      </c>
      <c r="H33" s="9" t="inlineStr">
        <is>
          <t>[preencher prod.] revestimento m²/dia (proposta 230/m²; aba 62,98)</t>
        </is>
      </c>
    </row>
    <row r="34">
      <c r="A34" s="4" t="inlineStr">
        <is>
          <t>1.11</t>
        </is>
      </c>
      <c r="B34" s="4" t="inlineStr">
        <is>
          <t>Ajudante</t>
        </is>
      </c>
      <c r="C34" s="4" t="inlineStr">
        <is>
          <t>Mão de Obra</t>
        </is>
      </c>
      <c r="D34" s="4" t="inlineStr">
        <is>
          <t>h</t>
        </is>
      </c>
      <c r="E34" s="11">
        <f>IF(OR('03_SERVICOS'!F12="",'03_SERVICOS'!F12=0),"",'03_SERVICOS'!E12/'03_SERVICOS'!F12)</f>
        <v/>
      </c>
      <c r="F34" s="5" t="n">
        <v>20.46</v>
      </c>
      <c r="G34" s="6">
        <f>IF(E34="","",E34*F34)</f>
        <v/>
      </c>
      <c r="H34" s="9" t="inlineStr">
        <is>
          <t>[preencher prod.] revestimento m²/dia (proposta 230/m²; aba 62,98)</t>
        </is>
      </c>
    </row>
    <row r="35">
      <c r="A35" s="4" t="inlineStr">
        <is>
          <t>1.12</t>
        </is>
      </c>
      <c r="B35" s="4" t="inlineStr">
        <is>
          <t>Ponto de luz (material)</t>
        </is>
      </c>
      <c r="C35" s="4" t="inlineStr">
        <is>
          <t>Material</t>
        </is>
      </c>
      <c r="D35" s="4" t="inlineStr">
        <is>
          <t>un</t>
        </is>
      </c>
      <c r="E35" s="10" t="n">
        <v>12</v>
      </c>
      <c r="F35" s="6" t="n">
        <v>400</v>
      </c>
      <c r="G35" s="6">
        <f>IF(E35="","",E35*F35)</f>
        <v/>
      </c>
      <c r="H35" s="4" t="inlineStr">
        <is>
          <t>12×400 (F21)</t>
        </is>
      </c>
    </row>
    <row r="36">
      <c r="A36" s="4" t="inlineStr">
        <is>
          <t>1.12</t>
        </is>
      </c>
      <c r="B36" s="4" t="inlineStr">
        <is>
          <t>Adicional elétrico</t>
        </is>
      </c>
      <c r="C36" s="4" t="inlineStr">
        <is>
          <t>Material</t>
        </is>
      </c>
      <c r="D36" s="4" t="inlineStr">
        <is>
          <t>vb</t>
        </is>
      </c>
      <c r="E36" s="10" t="n">
        <v>1</v>
      </c>
      <c r="F36" s="6" t="n">
        <v>1500</v>
      </c>
      <c r="G36" s="6">
        <f>IF(E36="","",E36*F36)</f>
        <v/>
      </c>
      <c r="H36" s="4" t="inlineStr">
        <is>
          <t>+1500</t>
        </is>
      </c>
    </row>
    <row r="37">
      <c r="A37" s="4" t="inlineStr">
        <is>
          <t>1.12</t>
        </is>
      </c>
      <c r="B37" s="4" t="inlineStr">
        <is>
          <t>Quadro/diversos</t>
        </is>
      </c>
      <c r="C37" s="4" t="inlineStr">
        <is>
          <t>Material</t>
        </is>
      </c>
      <c r="D37" s="4" t="inlineStr">
        <is>
          <t>vb</t>
        </is>
      </c>
      <c r="E37" s="10" t="n">
        <v>1</v>
      </c>
      <c r="F37" s="6" t="n">
        <v>610</v>
      </c>
      <c r="G37" s="6">
        <f>IF(E37="","",E37*F37)</f>
        <v/>
      </c>
      <c r="H37" s="4" t="inlineStr">
        <is>
          <t>+610</t>
        </is>
      </c>
    </row>
    <row r="38">
      <c r="A38" s="4" t="inlineStr">
        <is>
          <t>1.12</t>
        </is>
      </c>
      <c r="B38" s="4" t="inlineStr">
        <is>
          <t>M.O. instalação elétrica</t>
        </is>
      </c>
      <c r="C38" s="4" t="inlineStr">
        <is>
          <t>Mão de Obra</t>
        </is>
      </c>
      <c r="D38" s="4" t="inlineStr">
        <is>
          <t>vb</t>
        </is>
      </c>
      <c r="E38" s="10" t="n">
        <v>1</v>
      </c>
      <c r="F38" s="6" t="n">
        <v>6500</v>
      </c>
      <c r="G38" s="6">
        <f>IF(E38="","",E38*F38)</f>
        <v/>
      </c>
      <c r="H38" s="7" t="inlineStr">
        <is>
          <t>[verba] G21=6500 global (vb — sem produtividade)</t>
        </is>
      </c>
    </row>
    <row r="39">
      <c r="A39" s="4" t="inlineStr">
        <is>
          <t>1.13</t>
        </is>
      </c>
      <c r="B39" s="4" t="inlineStr">
        <is>
          <t>Montador líder</t>
        </is>
      </c>
      <c r="C39" s="4" t="inlineStr">
        <is>
          <t>Mão de Obra</t>
        </is>
      </c>
      <c r="D39" s="4" t="inlineStr">
        <is>
          <t>h</t>
        </is>
      </c>
      <c r="E39" s="11">
        <f>IF(OR('03_SERVICOS'!F14="",'03_SERVICOS'!F14=0),"",'03_SERVICOS'!E14/'03_SERVICOS'!F14)</f>
        <v/>
      </c>
      <c r="F39" s="5" t="n">
        <v>31.82</v>
      </c>
      <c r="G39" s="6">
        <f>IF(E39="","",E39*F39)</f>
        <v/>
      </c>
      <c r="H39" s="9" t="inlineStr">
        <is>
          <t>[preencher prod.] shingle m²/dia (proposta 85/m²)</t>
        </is>
      </c>
    </row>
    <row r="40">
      <c r="A40" s="4" t="inlineStr">
        <is>
          <t>1.13</t>
        </is>
      </c>
      <c r="B40" s="4" t="inlineStr">
        <is>
          <t>Montador</t>
        </is>
      </c>
      <c r="C40" s="4" t="inlineStr">
        <is>
          <t>Mão de Obra</t>
        </is>
      </c>
      <c r="D40" s="4" t="inlineStr">
        <is>
          <t>h</t>
        </is>
      </c>
      <c r="E40" s="11">
        <f>IF(OR('03_SERVICOS'!F14="",'03_SERVICOS'!F14=0),"",'03_SERVICOS'!E14/'03_SERVICOS'!F14)</f>
        <v/>
      </c>
      <c r="F40" s="5" t="n">
        <v>26.14</v>
      </c>
      <c r="G40" s="6">
        <f>IF(E40="","",E40*F40)</f>
        <v/>
      </c>
      <c r="H40" s="9" t="inlineStr">
        <is>
          <t>[preencher prod.] shingle m²/dia (proposta 85/m²)</t>
        </is>
      </c>
    </row>
    <row r="41">
      <c r="A41" s="4" t="inlineStr">
        <is>
          <t>1.13</t>
        </is>
      </c>
      <c r="B41" s="4" t="inlineStr">
        <is>
          <t>Ajudante</t>
        </is>
      </c>
      <c r="C41" s="4" t="inlineStr">
        <is>
          <t>Mão de Obra</t>
        </is>
      </c>
      <c r="D41" s="4" t="inlineStr">
        <is>
          <t>h</t>
        </is>
      </c>
      <c r="E41" s="11">
        <f>IF(OR('03_SERVICOS'!F14="",'03_SERVICOS'!F14=0),"",'03_SERVICOS'!E14/'03_SERVICOS'!F14)</f>
        <v/>
      </c>
      <c r="F41" s="5" t="n">
        <v>20.46</v>
      </c>
      <c r="G41" s="6">
        <f>IF(E41="","",E41*F41)</f>
        <v/>
      </c>
      <c r="H41" s="9" t="inlineStr">
        <is>
          <t>[preencher prod.] shingle m²/dia (proposta 85/m²)</t>
        </is>
      </c>
    </row>
    <row r="42">
      <c r="A42" s="4" t="inlineStr">
        <is>
          <t>1.14</t>
        </is>
      </c>
      <c r="B42" s="4" t="inlineStr">
        <is>
          <t>Fixadores cercado</t>
        </is>
      </c>
      <c r="C42" s="4" t="inlineStr">
        <is>
          <t>Material</t>
        </is>
      </c>
      <c r="D42" s="4" t="inlineStr">
        <is>
          <t>un</t>
        </is>
      </c>
      <c r="E42" s="10" t="n">
        <v>1</v>
      </c>
      <c r="F42" s="6" t="n">
        <v>100</v>
      </c>
      <c r="G42" s="6">
        <f>IF(E42="","",E42*F42)</f>
        <v/>
      </c>
      <c r="H42" s="4" t="inlineStr">
        <is>
          <t>F23 por unidade</t>
        </is>
      </c>
    </row>
    <row r="43">
      <c r="A43" s="4" t="inlineStr">
        <is>
          <t>1.14</t>
        </is>
      </c>
      <c r="B43" s="4" t="inlineStr">
        <is>
          <t>Montador</t>
        </is>
      </c>
      <c r="C43" s="4" t="inlineStr">
        <is>
          <t>Mão de Obra</t>
        </is>
      </c>
      <c r="D43" s="4" t="inlineStr">
        <is>
          <t>h</t>
        </is>
      </c>
      <c r="E43" s="11">
        <f>IF(OR('03_SERVICOS'!F15="",'03_SERVICOS'!F15=0),"",'03_SERVICOS'!E15/'03_SERVICOS'!F15)</f>
        <v/>
      </c>
      <c r="F43" s="5" t="n">
        <v>26.14</v>
      </c>
      <c r="G43" s="6">
        <f>IF(E43="","",E43*F43)</f>
        <v/>
      </c>
      <c r="H43" s="9" t="inlineStr">
        <is>
          <t>[preencher prod.] cercado un/dia (proposta 450/un)</t>
        </is>
      </c>
    </row>
    <row r="44">
      <c r="A44" s="4" t="inlineStr">
        <is>
          <t>1.14</t>
        </is>
      </c>
      <c r="B44" s="4" t="inlineStr">
        <is>
          <t>Ajudante</t>
        </is>
      </c>
      <c r="C44" s="4" t="inlineStr">
        <is>
          <t>Mão de Obra</t>
        </is>
      </c>
      <c r="D44" s="4" t="inlineStr">
        <is>
          <t>h</t>
        </is>
      </c>
      <c r="E44" s="11">
        <f>IF(OR('03_SERVICOS'!F15="",'03_SERVICOS'!F15=0),"",'03_SERVICOS'!E15/'03_SERVICOS'!F15)</f>
        <v/>
      </c>
      <c r="F44" s="5" t="n">
        <v>20.46</v>
      </c>
      <c r="G44" s="6">
        <f>IF(E44="","",E44*F44)</f>
        <v/>
      </c>
      <c r="H44" s="9" t="inlineStr">
        <is>
          <t>[preencher prod.] cercado un/dia (proposta 450/un)</t>
        </is>
      </c>
    </row>
    <row r="45">
      <c r="A45" s="4" t="inlineStr">
        <is>
          <t>1.15</t>
        </is>
      </c>
      <c r="B45" s="4" t="inlineStr">
        <is>
          <t>Stain (verba global)</t>
        </is>
      </c>
      <c r="C45" s="4" t="inlineStr">
        <is>
          <t>Material</t>
        </is>
      </c>
      <c r="D45" s="4" t="inlineStr">
        <is>
          <t>vb</t>
        </is>
      </c>
      <c r="E45" s="10" t="n">
        <v>1</v>
      </c>
      <c r="F45" s="6">
        <f>800/'03_SERVICOS'!D16</f>
        <v/>
      </c>
      <c r="G45" s="6">
        <f>IF(E45="","",E45*F45)</f>
        <v/>
      </c>
      <c r="H45" s="13" t="inlineStr">
        <is>
          <t>[erro planilha] H24=800 global (venda ×24)</t>
        </is>
      </c>
    </row>
    <row r="46">
      <c r="A46" s="4" t="inlineStr">
        <is>
          <t>1.15</t>
        </is>
      </c>
      <c r="B46" s="4" t="inlineStr">
        <is>
          <t>Pintor</t>
        </is>
      </c>
      <c r="C46" s="4" t="inlineStr">
        <is>
          <t>Mão de Obra</t>
        </is>
      </c>
      <c r="D46" s="4" t="inlineStr">
        <is>
          <t>h</t>
        </is>
      </c>
      <c r="E46" s="11">
        <f>IF(OR('03_SERVICOS'!F16="",'03_SERVICOS'!F16=0),"",'03_SERVICOS'!E16/'03_SERVICOS'!F16)</f>
        <v/>
      </c>
      <c r="F46" s="5" t="n">
        <v>20.46</v>
      </c>
      <c r="G46" s="6">
        <f>IF(E46="","",E46*F46)</f>
        <v/>
      </c>
      <c r="H46" s="9" t="inlineStr">
        <is>
          <t>[preencher prod.] pintura cercado un/dia (proposta 400/un)</t>
        </is>
      </c>
    </row>
    <row r="47">
      <c r="A47" s="4" t="inlineStr">
        <is>
          <t>1.16</t>
        </is>
      </c>
      <c r="B47" s="4" t="inlineStr">
        <is>
          <t>Material ponto hidráulico</t>
        </is>
      </c>
      <c r="C47" s="4" t="inlineStr">
        <is>
          <t>Material</t>
        </is>
      </c>
      <c r="D47" s="4" t="inlineStr">
        <is>
          <t>un</t>
        </is>
      </c>
      <c r="E47" s="10" t="n">
        <v>1</v>
      </c>
      <c r="F47" s="6" t="n">
        <v>867.1</v>
      </c>
      <c r="G47" s="6">
        <f>IF(E47="","",E47*F47)</f>
        <v/>
      </c>
      <c r="H47" s="13" t="inlineStr">
        <is>
          <t>[erro planilha] 667×1,3; modelado ×24 (planilha contava 1×)</t>
        </is>
      </c>
    </row>
    <row r="48">
      <c r="A48" s="4" t="inlineStr">
        <is>
          <t>1.16</t>
        </is>
      </c>
      <c r="B48" s="4" t="inlineStr">
        <is>
          <t>Encanador</t>
        </is>
      </c>
      <c r="C48" s="4" t="inlineStr">
        <is>
          <t>Mão de Obra</t>
        </is>
      </c>
      <c r="D48" s="4" t="inlineStr">
        <is>
          <t>h</t>
        </is>
      </c>
      <c r="E48" s="11">
        <f>IF(OR('03_SERVICOS'!F17="",'03_SERVICOS'!F17=0),"",'03_SERVICOS'!E17/'03_SERVICOS'!F17)</f>
        <v/>
      </c>
      <c r="F48" s="5" t="n">
        <v>25</v>
      </c>
      <c r="G48" s="6">
        <f>IF(E48="","",E48*F48)</f>
        <v/>
      </c>
      <c r="H48" s="9" t="inlineStr">
        <is>
          <t>[preencher prod.] ponto hidr. un/dia (proposta 100/un)</t>
        </is>
      </c>
    </row>
    <row r="49">
      <c r="A49" s="4" t="inlineStr">
        <is>
          <t>1.16</t>
        </is>
      </c>
      <c r="B49" s="4" t="inlineStr">
        <is>
          <t>Ajudante</t>
        </is>
      </c>
      <c r="C49" s="4" t="inlineStr">
        <is>
          <t>Mão de Obra</t>
        </is>
      </c>
      <c r="D49" s="4" t="inlineStr">
        <is>
          <t>h</t>
        </is>
      </c>
      <c r="E49" s="11">
        <f>IF(OR('03_SERVICOS'!F17="",'03_SERVICOS'!F17=0),"",'03_SERVICOS'!E17/'03_SERVICOS'!F17)</f>
        <v/>
      </c>
      <c r="F49" s="5" t="n">
        <v>20.46</v>
      </c>
      <c r="G49" s="6">
        <f>IF(E49="","",E49*F49)</f>
        <v/>
      </c>
      <c r="H49" s="9" t="inlineStr">
        <is>
          <t>[preencher prod.] ponto hidr. un/dia (proposta 100/un)</t>
        </is>
      </c>
    </row>
    <row r="50">
      <c r="A50" s="4" t="inlineStr">
        <is>
          <t>1.17</t>
        </is>
      </c>
      <c r="B50" s="4" t="inlineStr">
        <is>
          <t>Material pacote complementar</t>
        </is>
      </c>
      <c r="C50" s="4" t="inlineStr">
        <is>
          <t>Material</t>
        </is>
      </c>
      <c r="D50" s="4" t="inlineStr">
        <is>
          <t>vb</t>
        </is>
      </c>
      <c r="E50" s="10" t="n">
        <v>1</v>
      </c>
      <c r="F50" s="6" t="n">
        <v>52322</v>
      </c>
      <c r="G50" s="6">
        <f>IF(E50="","",E50*F50)</f>
        <v/>
      </c>
      <c r="H50" s="7" t="inlineStr">
        <is>
          <t>F26=49322+3000 [pendente decompor]</t>
        </is>
      </c>
    </row>
    <row r="51">
      <c r="A51" s="4" t="inlineStr">
        <is>
          <t>1.17</t>
        </is>
      </c>
      <c r="B51" s="4" t="inlineStr">
        <is>
          <t>M.O. pacote complementar</t>
        </is>
      </c>
      <c r="C51" s="4" t="inlineStr">
        <is>
          <t>Mão de Obra</t>
        </is>
      </c>
      <c r="D51" s="4" t="inlineStr">
        <is>
          <t>vb</t>
        </is>
      </c>
      <c r="E51" s="10" t="n">
        <v>1</v>
      </c>
      <c r="F51" s="6" t="n">
        <v>40242</v>
      </c>
      <c r="G51" s="6">
        <f>IF(E51="","",E51*F51)</f>
        <v/>
      </c>
      <c r="H51" s="7" t="inlineStr">
        <is>
          <t>[verba] G26=37742+2500 [pendente]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6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8" customWidth="1" min="11" max="11"/>
    <col width="7" customWidth="1" min="12" max="12"/>
    <col width="8" customWidth="1" min="13" max="13"/>
    <col width="14" customWidth="1" min="14" max="14"/>
    <col width="14" customWidth="1" min="15" max="15"/>
    <col width="15" customWidth="1" min="16" max="16"/>
  </cols>
  <sheetData>
    <row r="1">
      <c r="A1" s="3" t="inlineStr">
        <is>
          <t>Cód.</t>
        </is>
      </c>
      <c r="B1" s="3" t="inlineStr">
        <is>
          <t>Serviço</t>
        </is>
      </c>
      <c r="C1" s="3" t="inlineStr">
        <is>
          <t>Un.</t>
        </is>
      </c>
      <c r="D1" s="3" t="inlineStr">
        <is>
          <t>Qtd</t>
        </is>
      </c>
      <c r="E1" s="3" t="inlineStr">
        <is>
          <t>Custo/un Mat</t>
        </is>
      </c>
      <c r="F1" s="3" t="inlineStr">
        <is>
          <t>Custo/un MO</t>
        </is>
      </c>
      <c r="G1" s="3" t="inlineStr">
        <is>
          <t>Custo/un Tot</t>
        </is>
      </c>
      <c r="H1" s="3" t="inlineStr">
        <is>
          <t>Total Mat</t>
        </is>
      </c>
      <c r="I1" s="3" t="inlineStr">
        <is>
          <t>Total MO</t>
        </is>
      </c>
      <c r="J1" s="3" t="inlineStr">
        <is>
          <t>Custo Total</t>
        </is>
      </c>
      <c r="K1" s="3" t="inlineStr">
        <is>
          <t>Lucro mat</t>
        </is>
      </c>
      <c r="L1" s="3" t="inlineStr">
        <is>
          <t>Imp MO</t>
        </is>
      </c>
      <c r="M1" s="3" t="inlineStr">
        <is>
          <t>Lucro MO</t>
        </is>
      </c>
      <c r="N1" s="3" t="inlineStr">
        <is>
          <t>Venda Mat</t>
        </is>
      </c>
      <c r="O1" s="3" t="inlineStr">
        <is>
          <t>Venda MO</t>
        </is>
      </c>
      <c r="P1" s="3" t="inlineStr">
        <is>
          <t>Total Venda</t>
        </is>
      </c>
    </row>
    <row r="2">
      <c r="A2" s="4" t="inlineStr">
        <is>
          <t>1.1</t>
        </is>
      </c>
      <c r="B2" s="4">
        <f>'03_SERVICOS'!B2</f>
        <v/>
      </c>
      <c r="C2" s="4">
        <f>'03_SERVICOS'!C2</f>
        <v/>
      </c>
      <c r="D2" s="6">
        <f>'03_SERVICOS'!D2</f>
        <v/>
      </c>
      <c r="E2" s="6">
        <f>SUMIFS('04_COMPOSICAO_SERVICOS'!$G$2:$G$51,'04_COMPOSICAO_SERVICOS'!$A$2:$A$51,A2,'04_COMPOSICAO_SERVICOS'!$C$2:$C$51,"Material")</f>
        <v/>
      </c>
      <c r="F2" s="6">
        <f>SUMIFS('04_COMPOSICAO_SERVICOS'!$G$2:$G$51,'04_COMPOSICAO_SERVICOS'!$A$2:$A$51,A2,'04_COMPOSICAO_SERVICOS'!$C$2:$C$51,"Mão de Obra")</f>
        <v/>
      </c>
      <c r="G2" s="6">
        <f>E2+F2</f>
        <v/>
      </c>
      <c r="H2" s="6">
        <f>E2*D2</f>
        <v/>
      </c>
      <c r="I2" s="6">
        <f>F2*D2</f>
        <v/>
      </c>
      <c r="J2" s="6">
        <f>H2+I2</f>
        <v/>
      </c>
      <c r="K2" s="14">
        <f>'03_SERVICOS'!H2</f>
        <v/>
      </c>
      <c r="L2" s="14">
        <f>'03_SERVICOS'!I2</f>
        <v/>
      </c>
      <c r="M2" s="14">
        <f>'03_SERVICOS'!J2</f>
        <v/>
      </c>
      <c r="N2" s="6">
        <f>IF(H2=0,0,H2/(1-K2))</f>
        <v/>
      </c>
      <c r="O2" s="6">
        <f>IF(I2=0,0,I2/(1-L2-M2))</f>
        <v/>
      </c>
      <c r="P2" s="6">
        <f>N2+O2</f>
        <v/>
      </c>
    </row>
    <row r="3">
      <c r="A3" s="4" t="inlineStr">
        <is>
          <t>1.2</t>
        </is>
      </c>
      <c r="B3" s="4">
        <f>'03_SERVICOS'!B3</f>
        <v/>
      </c>
      <c r="C3" s="4">
        <f>'03_SERVICOS'!C3</f>
        <v/>
      </c>
      <c r="D3" s="6">
        <f>'03_SERVICOS'!D3</f>
        <v/>
      </c>
      <c r="E3" s="6">
        <f>SUMIFS('04_COMPOSICAO_SERVICOS'!$G$2:$G$51,'04_COMPOSICAO_SERVICOS'!$A$2:$A$51,A3,'04_COMPOSICAO_SERVICOS'!$C$2:$C$51,"Material")</f>
        <v/>
      </c>
      <c r="F3" s="6">
        <f>SUMIFS('04_COMPOSICAO_SERVICOS'!$G$2:$G$51,'04_COMPOSICAO_SERVICOS'!$A$2:$A$51,A3,'04_COMPOSICAO_SERVICOS'!$C$2:$C$51,"Mão de Obra")</f>
        <v/>
      </c>
      <c r="G3" s="6">
        <f>E3+F3</f>
        <v/>
      </c>
      <c r="H3" s="6">
        <f>E3*D3</f>
        <v/>
      </c>
      <c r="I3" s="6">
        <f>F3*D3</f>
        <v/>
      </c>
      <c r="J3" s="6">
        <f>H3+I3</f>
        <v/>
      </c>
      <c r="K3" s="14">
        <f>'03_SERVICOS'!H3</f>
        <v/>
      </c>
      <c r="L3" s="14">
        <f>'03_SERVICOS'!I3</f>
        <v/>
      </c>
      <c r="M3" s="14">
        <f>'03_SERVICOS'!J3</f>
        <v/>
      </c>
      <c r="N3" s="6">
        <f>IF(H3=0,0,H3/(1-K3))</f>
        <v/>
      </c>
      <c r="O3" s="6">
        <f>IF(I3=0,0,I3/(1-L3-M3))</f>
        <v/>
      </c>
      <c r="P3" s="6">
        <f>N3+O3</f>
        <v/>
      </c>
    </row>
    <row r="4">
      <c r="A4" s="4" t="inlineStr">
        <is>
          <t>1.3</t>
        </is>
      </c>
      <c r="B4" s="4">
        <f>'03_SERVICOS'!B4</f>
        <v/>
      </c>
      <c r="C4" s="4">
        <f>'03_SERVICOS'!C4</f>
        <v/>
      </c>
      <c r="D4" s="6">
        <f>'03_SERVICOS'!D4</f>
        <v/>
      </c>
      <c r="E4" s="6">
        <f>SUMIFS('04_COMPOSICAO_SERVICOS'!$G$2:$G$51,'04_COMPOSICAO_SERVICOS'!$A$2:$A$51,A4,'04_COMPOSICAO_SERVICOS'!$C$2:$C$51,"Material")</f>
        <v/>
      </c>
      <c r="F4" s="6">
        <f>SUMIFS('04_COMPOSICAO_SERVICOS'!$G$2:$G$51,'04_COMPOSICAO_SERVICOS'!$A$2:$A$51,A4,'04_COMPOSICAO_SERVICOS'!$C$2:$C$51,"Mão de Obra")</f>
        <v/>
      </c>
      <c r="G4" s="6">
        <f>E4+F4</f>
        <v/>
      </c>
      <c r="H4" s="6">
        <f>E4*D4</f>
        <v/>
      </c>
      <c r="I4" s="6">
        <f>F4*D4</f>
        <v/>
      </c>
      <c r="J4" s="6">
        <f>H4+I4</f>
        <v/>
      </c>
      <c r="K4" s="14">
        <f>'03_SERVICOS'!H4</f>
        <v/>
      </c>
      <c r="L4" s="14">
        <f>'03_SERVICOS'!I4</f>
        <v/>
      </c>
      <c r="M4" s="14">
        <f>'03_SERVICOS'!J4</f>
        <v/>
      </c>
      <c r="N4" s="6">
        <f>IF(H4=0,0,H4/(1-K4))</f>
        <v/>
      </c>
      <c r="O4" s="6">
        <f>IF(I4=0,0,I4/(1-L4-M4))</f>
        <v/>
      </c>
      <c r="P4" s="6">
        <f>N4+O4</f>
        <v/>
      </c>
    </row>
    <row r="5">
      <c r="A5" s="4" t="inlineStr">
        <is>
          <t>1.4</t>
        </is>
      </c>
      <c r="B5" s="4">
        <f>'03_SERVICOS'!B5</f>
        <v/>
      </c>
      <c r="C5" s="4">
        <f>'03_SERVICOS'!C5</f>
        <v/>
      </c>
      <c r="D5" s="6">
        <f>'03_SERVICOS'!D5</f>
        <v/>
      </c>
      <c r="E5" s="6">
        <f>SUMIFS('04_COMPOSICAO_SERVICOS'!$G$2:$G$51,'04_COMPOSICAO_SERVICOS'!$A$2:$A$51,A5,'04_COMPOSICAO_SERVICOS'!$C$2:$C$51,"Material")</f>
        <v/>
      </c>
      <c r="F5" s="6">
        <f>SUMIFS('04_COMPOSICAO_SERVICOS'!$G$2:$G$51,'04_COMPOSICAO_SERVICOS'!$A$2:$A$51,A5,'04_COMPOSICAO_SERVICOS'!$C$2:$C$51,"Mão de Obra")</f>
        <v/>
      </c>
      <c r="G5" s="6">
        <f>E5+F5</f>
        <v/>
      </c>
      <c r="H5" s="6">
        <f>E5*D5</f>
        <v/>
      </c>
      <c r="I5" s="6">
        <f>F5*D5</f>
        <v/>
      </c>
      <c r="J5" s="6">
        <f>H5+I5</f>
        <v/>
      </c>
      <c r="K5" s="14">
        <f>'03_SERVICOS'!H5</f>
        <v/>
      </c>
      <c r="L5" s="14">
        <f>'03_SERVICOS'!I5</f>
        <v/>
      </c>
      <c r="M5" s="14">
        <f>'03_SERVICOS'!J5</f>
        <v/>
      </c>
      <c r="N5" s="6">
        <f>IF(H5=0,0,H5/(1-K5))</f>
        <v/>
      </c>
      <c r="O5" s="6">
        <f>IF(I5=0,0,I5/(1-L5-M5))</f>
        <v/>
      </c>
      <c r="P5" s="6">
        <f>N5+O5</f>
        <v/>
      </c>
    </row>
    <row r="6">
      <c r="A6" s="4" t="inlineStr">
        <is>
          <t>1.5</t>
        </is>
      </c>
      <c r="B6" s="4">
        <f>'03_SERVICOS'!B6</f>
        <v/>
      </c>
      <c r="C6" s="4">
        <f>'03_SERVICOS'!C6</f>
        <v/>
      </c>
      <c r="D6" s="6">
        <f>'03_SERVICOS'!D6</f>
        <v/>
      </c>
      <c r="E6" s="6">
        <f>SUMIFS('04_COMPOSICAO_SERVICOS'!$G$2:$G$51,'04_COMPOSICAO_SERVICOS'!$A$2:$A$51,A6,'04_COMPOSICAO_SERVICOS'!$C$2:$C$51,"Material")</f>
        <v/>
      </c>
      <c r="F6" s="6">
        <f>SUMIFS('04_COMPOSICAO_SERVICOS'!$G$2:$G$51,'04_COMPOSICAO_SERVICOS'!$A$2:$A$51,A6,'04_COMPOSICAO_SERVICOS'!$C$2:$C$51,"Mão de Obra")</f>
        <v/>
      </c>
      <c r="G6" s="6">
        <f>E6+F6</f>
        <v/>
      </c>
      <c r="H6" s="6">
        <f>E6*D6</f>
        <v/>
      </c>
      <c r="I6" s="6">
        <f>F6*D6</f>
        <v/>
      </c>
      <c r="J6" s="6">
        <f>H6+I6</f>
        <v/>
      </c>
      <c r="K6" s="14">
        <f>'03_SERVICOS'!H6</f>
        <v/>
      </c>
      <c r="L6" s="14">
        <f>'03_SERVICOS'!I6</f>
        <v/>
      </c>
      <c r="M6" s="14">
        <f>'03_SERVICOS'!J6</f>
        <v/>
      </c>
      <c r="N6" s="6">
        <f>IF(H6=0,0,H6/(1-K6))</f>
        <v/>
      </c>
      <c r="O6" s="6">
        <f>IF(I6=0,0,I6/(1-L6-M6))</f>
        <v/>
      </c>
      <c r="P6" s="6">
        <f>N6+O6</f>
        <v/>
      </c>
    </row>
    <row r="7">
      <c r="A7" s="4" t="inlineStr">
        <is>
          <t>1.6</t>
        </is>
      </c>
      <c r="B7" s="4">
        <f>'03_SERVICOS'!B7</f>
        <v/>
      </c>
      <c r="C7" s="4">
        <f>'03_SERVICOS'!C7</f>
        <v/>
      </c>
      <c r="D7" s="6">
        <f>'03_SERVICOS'!D7</f>
        <v/>
      </c>
      <c r="E7" s="6">
        <f>SUMIFS('04_COMPOSICAO_SERVICOS'!$G$2:$G$51,'04_COMPOSICAO_SERVICOS'!$A$2:$A$51,A7,'04_COMPOSICAO_SERVICOS'!$C$2:$C$51,"Material")</f>
        <v/>
      </c>
      <c r="F7" s="6">
        <f>SUMIFS('04_COMPOSICAO_SERVICOS'!$G$2:$G$51,'04_COMPOSICAO_SERVICOS'!$A$2:$A$51,A7,'04_COMPOSICAO_SERVICOS'!$C$2:$C$51,"Mão de Obra")</f>
        <v/>
      </c>
      <c r="G7" s="6">
        <f>E7+F7</f>
        <v/>
      </c>
      <c r="H7" s="6">
        <f>E7*D7</f>
        <v/>
      </c>
      <c r="I7" s="6">
        <f>F7*D7</f>
        <v/>
      </c>
      <c r="J7" s="6">
        <f>H7+I7</f>
        <v/>
      </c>
      <c r="K7" s="14">
        <f>'03_SERVICOS'!H7</f>
        <v/>
      </c>
      <c r="L7" s="14">
        <f>'03_SERVICOS'!I7</f>
        <v/>
      </c>
      <c r="M7" s="14">
        <f>'03_SERVICOS'!J7</f>
        <v/>
      </c>
      <c r="N7" s="6">
        <f>IF(H7=0,0,H7/(1-K7))</f>
        <v/>
      </c>
      <c r="O7" s="6">
        <f>IF(I7=0,0,I7/(1-L7-M7))</f>
        <v/>
      </c>
      <c r="P7" s="6">
        <f>N7+O7</f>
        <v/>
      </c>
    </row>
    <row r="8">
      <c r="A8" s="4" t="inlineStr">
        <is>
          <t>1.7</t>
        </is>
      </c>
      <c r="B8" s="4">
        <f>'03_SERVICOS'!B8</f>
        <v/>
      </c>
      <c r="C8" s="4">
        <f>'03_SERVICOS'!C8</f>
        <v/>
      </c>
      <c r="D8" s="6">
        <f>'03_SERVICOS'!D8</f>
        <v/>
      </c>
      <c r="E8" s="6">
        <f>SUMIFS('04_COMPOSICAO_SERVICOS'!$G$2:$G$51,'04_COMPOSICAO_SERVICOS'!$A$2:$A$51,A8,'04_COMPOSICAO_SERVICOS'!$C$2:$C$51,"Material")</f>
        <v/>
      </c>
      <c r="F8" s="6">
        <f>SUMIFS('04_COMPOSICAO_SERVICOS'!$G$2:$G$51,'04_COMPOSICAO_SERVICOS'!$A$2:$A$51,A8,'04_COMPOSICAO_SERVICOS'!$C$2:$C$51,"Mão de Obra")</f>
        <v/>
      </c>
      <c r="G8" s="6">
        <f>E8+F8</f>
        <v/>
      </c>
      <c r="H8" s="6">
        <f>E8*D8</f>
        <v/>
      </c>
      <c r="I8" s="6">
        <f>F8*D8</f>
        <v/>
      </c>
      <c r="J8" s="6">
        <f>H8+I8</f>
        <v/>
      </c>
      <c r="K8" s="14">
        <f>'03_SERVICOS'!H8</f>
        <v/>
      </c>
      <c r="L8" s="14">
        <f>'03_SERVICOS'!I8</f>
        <v/>
      </c>
      <c r="M8" s="14">
        <f>'03_SERVICOS'!J8</f>
        <v/>
      </c>
      <c r="N8" s="6">
        <f>IF(H8=0,0,H8/(1-K8))</f>
        <v/>
      </c>
      <c r="O8" s="6">
        <f>IF(I8=0,0,I8/(1-L8-M8))</f>
        <v/>
      </c>
      <c r="P8" s="6">
        <f>N8+O8</f>
        <v/>
      </c>
    </row>
    <row r="9">
      <c r="A9" s="4" t="inlineStr">
        <is>
          <t>1.8</t>
        </is>
      </c>
      <c r="B9" s="4">
        <f>'03_SERVICOS'!B9</f>
        <v/>
      </c>
      <c r="C9" s="4">
        <f>'03_SERVICOS'!C9</f>
        <v/>
      </c>
      <c r="D9" s="6">
        <f>'03_SERVICOS'!D9</f>
        <v/>
      </c>
      <c r="E9" s="6">
        <f>SUMIFS('04_COMPOSICAO_SERVICOS'!$G$2:$G$51,'04_COMPOSICAO_SERVICOS'!$A$2:$A$51,A9,'04_COMPOSICAO_SERVICOS'!$C$2:$C$51,"Material")</f>
        <v/>
      </c>
      <c r="F9" s="6">
        <f>SUMIFS('04_COMPOSICAO_SERVICOS'!$G$2:$G$51,'04_COMPOSICAO_SERVICOS'!$A$2:$A$51,A9,'04_COMPOSICAO_SERVICOS'!$C$2:$C$51,"Mão de Obra")</f>
        <v/>
      </c>
      <c r="G9" s="6">
        <f>E9+F9</f>
        <v/>
      </c>
      <c r="H9" s="6">
        <f>E9*D9</f>
        <v/>
      </c>
      <c r="I9" s="6">
        <f>F9*D9</f>
        <v/>
      </c>
      <c r="J9" s="6">
        <f>H9+I9</f>
        <v/>
      </c>
      <c r="K9" s="14">
        <f>'03_SERVICOS'!H9</f>
        <v/>
      </c>
      <c r="L9" s="14">
        <f>'03_SERVICOS'!I9</f>
        <v/>
      </c>
      <c r="M9" s="14">
        <f>'03_SERVICOS'!J9</f>
        <v/>
      </c>
      <c r="N9" s="6">
        <f>IF(H9=0,0,H9/(1-K9))</f>
        <v/>
      </c>
      <c r="O9" s="6">
        <f>IF(I9=0,0,I9/(1-L9-M9))</f>
        <v/>
      </c>
      <c r="P9" s="6">
        <f>N9+O9</f>
        <v/>
      </c>
    </row>
    <row r="10">
      <c r="A10" s="4" t="inlineStr">
        <is>
          <t>1.9</t>
        </is>
      </c>
      <c r="B10" s="4">
        <f>'03_SERVICOS'!B10</f>
        <v/>
      </c>
      <c r="C10" s="4">
        <f>'03_SERVICOS'!C10</f>
        <v/>
      </c>
      <c r="D10" s="6">
        <f>'03_SERVICOS'!D10</f>
        <v/>
      </c>
      <c r="E10" s="6">
        <f>SUMIFS('04_COMPOSICAO_SERVICOS'!$G$2:$G$51,'04_COMPOSICAO_SERVICOS'!$A$2:$A$51,A10,'04_COMPOSICAO_SERVICOS'!$C$2:$C$51,"Material")</f>
        <v/>
      </c>
      <c r="F10" s="6">
        <f>SUMIFS('04_COMPOSICAO_SERVICOS'!$G$2:$G$51,'04_COMPOSICAO_SERVICOS'!$A$2:$A$51,A10,'04_COMPOSICAO_SERVICOS'!$C$2:$C$51,"Mão de Obra")</f>
        <v/>
      </c>
      <c r="G10" s="6">
        <f>E10+F10</f>
        <v/>
      </c>
      <c r="H10" s="6">
        <f>E10*D10</f>
        <v/>
      </c>
      <c r="I10" s="6">
        <f>F10*D10</f>
        <v/>
      </c>
      <c r="J10" s="6">
        <f>H10+I10</f>
        <v/>
      </c>
      <c r="K10" s="14">
        <f>'03_SERVICOS'!H10</f>
        <v/>
      </c>
      <c r="L10" s="14">
        <f>'03_SERVICOS'!I10</f>
        <v/>
      </c>
      <c r="M10" s="14">
        <f>'03_SERVICOS'!J10</f>
        <v/>
      </c>
      <c r="N10" s="6">
        <f>IF(H10=0,0,H10/(1-K10))</f>
        <v/>
      </c>
      <c r="O10" s="6">
        <f>IF(I10=0,0,I10/(1-L10-M10))</f>
        <v/>
      </c>
      <c r="P10" s="6">
        <f>N10+O10</f>
        <v/>
      </c>
    </row>
    <row r="11">
      <c r="A11" s="4" t="inlineStr">
        <is>
          <t>1.10</t>
        </is>
      </c>
      <c r="B11" s="4">
        <f>'03_SERVICOS'!B11</f>
        <v/>
      </c>
      <c r="C11" s="4">
        <f>'03_SERVICOS'!C11</f>
        <v/>
      </c>
      <c r="D11" s="6">
        <f>'03_SERVICOS'!D11</f>
        <v/>
      </c>
      <c r="E11" s="6">
        <f>SUMIFS('04_COMPOSICAO_SERVICOS'!$G$2:$G$51,'04_COMPOSICAO_SERVICOS'!$A$2:$A$51,A11,'04_COMPOSICAO_SERVICOS'!$C$2:$C$51,"Material")</f>
        <v/>
      </c>
      <c r="F11" s="6">
        <f>SUMIFS('04_COMPOSICAO_SERVICOS'!$G$2:$G$51,'04_COMPOSICAO_SERVICOS'!$A$2:$A$51,A11,'04_COMPOSICAO_SERVICOS'!$C$2:$C$51,"Mão de Obra")</f>
        <v/>
      </c>
      <c r="G11" s="6">
        <f>E11+F11</f>
        <v/>
      </c>
      <c r="H11" s="6">
        <f>E11*D11</f>
        <v/>
      </c>
      <c r="I11" s="6">
        <f>F11*D11</f>
        <v/>
      </c>
      <c r="J11" s="6">
        <f>H11+I11</f>
        <v/>
      </c>
      <c r="K11" s="14">
        <f>'03_SERVICOS'!H11</f>
        <v/>
      </c>
      <c r="L11" s="14">
        <f>'03_SERVICOS'!I11</f>
        <v/>
      </c>
      <c r="M11" s="14">
        <f>'03_SERVICOS'!J11</f>
        <v/>
      </c>
      <c r="N11" s="6">
        <f>IF(H11=0,0,H11/(1-K11))</f>
        <v/>
      </c>
      <c r="O11" s="6">
        <f>IF(I11=0,0,I11/(1-L11-M11))</f>
        <v/>
      </c>
      <c r="P11" s="6">
        <f>N11+O11</f>
        <v/>
      </c>
    </row>
    <row r="12">
      <c r="A12" s="4" t="inlineStr">
        <is>
          <t>1.11</t>
        </is>
      </c>
      <c r="B12" s="4">
        <f>'03_SERVICOS'!B12</f>
        <v/>
      </c>
      <c r="C12" s="4">
        <f>'03_SERVICOS'!C12</f>
        <v/>
      </c>
      <c r="D12" s="6">
        <f>'03_SERVICOS'!D12</f>
        <v/>
      </c>
      <c r="E12" s="6">
        <f>SUMIFS('04_COMPOSICAO_SERVICOS'!$G$2:$G$51,'04_COMPOSICAO_SERVICOS'!$A$2:$A$51,A12,'04_COMPOSICAO_SERVICOS'!$C$2:$C$51,"Material")</f>
        <v/>
      </c>
      <c r="F12" s="6">
        <f>SUMIFS('04_COMPOSICAO_SERVICOS'!$G$2:$G$51,'04_COMPOSICAO_SERVICOS'!$A$2:$A$51,A12,'04_COMPOSICAO_SERVICOS'!$C$2:$C$51,"Mão de Obra")</f>
        <v/>
      </c>
      <c r="G12" s="6">
        <f>E12+F12</f>
        <v/>
      </c>
      <c r="H12" s="6">
        <f>E12*D12</f>
        <v/>
      </c>
      <c r="I12" s="6">
        <f>F12*D12</f>
        <v/>
      </c>
      <c r="J12" s="6">
        <f>H12+I12</f>
        <v/>
      </c>
      <c r="K12" s="14">
        <f>'03_SERVICOS'!H12</f>
        <v/>
      </c>
      <c r="L12" s="14">
        <f>'03_SERVICOS'!I12</f>
        <v/>
      </c>
      <c r="M12" s="14">
        <f>'03_SERVICOS'!J12</f>
        <v/>
      </c>
      <c r="N12" s="6">
        <f>IF(H12=0,0,H12/(1-K12))</f>
        <v/>
      </c>
      <c r="O12" s="6">
        <f>IF(I12=0,0,I12/(1-L12-M12))</f>
        <v/>
      </c>
      <c r="P12" s="6">
        <f>N12+O12</f>
        <v/>
      </c>
    </row>
    <row r="13">
      <c r="A13" s="4" t="inlineStr">
        <is>
          <t>1.12</t>
        </is>
      </c>
      <c r="B13" s="4">
        <f>'03_SERVICOS'!B13</f>
        <v/>
      </c>
      <c r="C13" s="4">
        <f>'03_SERVICOS'!C13</f>
        <v/>
      </c>
      <c r="D13" s="6">
        <f>'03_SERVICOS'!D13</f>
        <v/>
      </c>
      <c r="E13" s="6">
        <f>SUMIFS('04_COMPOSICAO_SERVICOS'!$G$2:$G$51,'04_COMPOSICAO_SERVICOS'!$A$2:$A$51,A13,'04_COMPOSICAO_SERVICOS'!$C$2:$C$51,"Material")</f>
        <v/>
      </c>
      <c r="F13" s="6">
        <f>SUMIFS('04_COMPOSICAO_SERVICOS'!$G$2:$G$51,'04_COMPOSICAO_SERVICOS'!$A$2:$A$51,A13,'04_COMPOSICAO_SERVICOS'!$C$2:$C$51,"Mão de Obra")</f>
        <v/>
      </c>
      <c r="G13" s="6">
        <f>E13+F13</f>
        <v/>
      </c>
      <c r="H13" s="6">
        <f>E13*D13</f>
        <v/>
      </c>
      <c r="I13" s="6">
        <f>F13*D13</f>
        <v/>
      </c>
      <c r="J13" s="6">
        <f>H13+I13</f>
        <v/>
      </c>
      <c r="K13" s="14">
        <f>'03_SERVICOS'!H13</f>
        <v/>
      </c>
      <c r="L13" s="14">
        <f>'03_SERVICOS'!I13</f>
        <v/>
      </c>
      <c r="M13" s="14">
        <f>'03_SERVICOS'!J13</f>
        <v/>
      </c>
      <c r="N13" s="6">
        <f>IF(H13=0,0,H13/(1-K13))</f>
        <v/>
      </c>
      <c r="O13" s="6">
        <f>IF(I13=0,0,I13/(1-L13-M13))</f>
        <v/>
      </c>
      <c r="P13" s="6">
        <f>N13+O13</f>
        <v/>
      </c>
    </row>
    <row r="14">
      <c r="A14" s="4" t="inlineStr">
        <is>
          <t>1.13</t>
        </is>
      </c>
      <c r="B14" s="4">
        <f>'03_SERVICOS'!B14</f>
        <v/>
      </c>
      <c r="C14" s="4">
        <f>'03_SERVICOS'!C14</f>
        <v/>
      </c>
      <c r="D14" s="6">
        <f>'03_SERVICOS'!D14</f>
        <v/>
      </c>
      <c r="E14" s="6">
        <f>SUMIFS('04_COMPOSICAO_SERVICOS'!$G$2:$G$51,'04_COMPOSICAO_SERVICOS'!$A$2:$A$51,A14,'04_COMPOSICAO_SERVICOS'!$C$2:$C$51,"Material")</f>
        <v/>
      </c>
      <c r="F14" s="6">
        <f>SUMIFS('04_COMPOSICAO_SERVICOS'!$G$2:$G$51,'04_COMPOSICAO_SERVICOS'!$A$2:$A$51,A14,'04_COMPOSICAO_SERVICOS'!$C$2:$C$51,"Mão de Obra")</f>
        <v/>
      </c>
      <c r="G14" s="6">
        <f>E14+F14</f>
        <v/>
      </c>
      <c r="H14" s="6">
        <f>E14*D14</f>
        <v/>
      </c>
      <c r="I14" s="6">
        <f>F14*D14</f>
        <v/>
      </c>
      <c r="J14" s="6">
        <f>H14+I14</f>
        <v/>
      </c>
      <c r="K14" s="14">
        <f>'03_SERVICOS'!H14</f>
        <v/>
      </c>
      <c r="L14" s="14">
        <f>'03_SERVICOS'!I14</f>
        <v/>
      </c>
      <c r="M14" s="14">
        <f>'03_SERVICOS'!J14</f>
        <v/>
      </c>
      <c r="N14" s="6">
        <f>IF(H14=0,0,H14/(1-K14))</f>
        <v/>
      </c>
      <c r="O14" s="6">
        <f>IF(I14=0,0,I14/(1-L14-M14))</f>
        <v/>
      </c>
      <c r="P14" s="6">
        <f>N14+O14</f>
        <v/>
      </c>
    </row>
    <row r="15">
      <c r="A15" s="4" t="inlineStr">
        <is>
          <t>1.14</t>
        </is>
      </c>
      <c r="B15" s="4">
        <f>'03_SERVICOS'!B15</f>
        <v/>
      </c>
      <c r="C15" s="4">
        <f>'03_SERVICOS'!C15</f>
        <v/>
      </c>
      <c r="D15" s="6">
        <f>'03_SERVICOS'!D15</f>
        <v/>
      </c>
      <c r="E15" s="6">
        <f>SUMIFS('04_COMPOSICAO_SERVICOS'!$G$2:$G$51,'04_COMPOSICAO_SERVICOS'!$A$2:$A$51,A15,'04_COMPOSICAO_SERVICOS'!$C$2:$C$51,"Material")</f>
        <v/>
      </c>
      <c r="F15" s="6">
        <f>SUMIFS('04_COMPOSICAO_SERVICOS'!$G$2:$G$51,'04_COMPOSICAO_SERVICOS'!$A$2:$A$51,A15,'04_COMPOSICAO_SERVICOS'!$C$2:$C$51,"Mão de Obra")</f>
        <v/>
      </c>
      <c r="G15" s="6">
        <f>E15+F15</f>
        <v/>
      </c>
      <c r="H15" s="6">
        <f>E15*D15</f>
        <v/>
      </c>
      <c r="I15" s="6">
        <f>F15*D15</f>
        <v/>
      </c>
      <c r="J15" s="6">
        <f>H15+I15</f>
        <v/>
      </c>
      <c r="K15" s="14">
        <f>'03_SERVICOS'!H15</f>
        <v/>
      </c>
      <c r="L15" s="14">
        <f>'03_SERVICOS'!I15</f>
        <v/>
      </c>
      <c r="M15" s="14">
        <f>'03_SERVICOS'!J15</f>
        <v/>
      </c>
      <c r="N15" s="6">
        <f>IF(H15=0,0,H15/(1-K15))</f>
        <v/>
      </c>
      <c r="O15" s="6">
        <f>IF(I15=0,0,I15/(1-L15-M15))</f>
        <v/>
      </c>
      <c r="P15" s="6">
        <f>N15+O15</f>
        <v/>
      </c>
    </row>
    <row r="16">
      <c r="A16" s="4" t="inlineStr">
        <is>
          <t>1.15</t>
        </is>
      </c>
      <c r="B16" s="4">
        <f>'03_SERVICOS'!B16</f>
        <v/>
      </c>
      <c r="C16" s="4">
        <f>'03_SERVICOS'!C16</f>
        <v/>
      </c>
      <c r="D16" s="6">
        <f>'03_SERVICOS'!D16</f>
        <v/>
      </c>
      <c r="E16" s="6">
        <f>SUMIFS('04_COMPOSICAO_SERVICOS'!$G$2:$G$51,'04_COMPOSICAO_SERVICOS'!$A$2:$A$51,A16,'04_COMPOSICAO_SERVICOS'!$C$2:$C$51,"Material")</f>
        <v/>
      </c>
      <c r="F16" s="6">
        <f>SUMIFS('04_COMPOSICAO_SERVICOS'!$G$2:$G$51,'04_COMPOSICAO_SERVICOS'!$A$2:$A$51,A16,'04_COMPOSICAO_SERVICOS'!$C$2:$C$51,"Mão de Obra")</f>
        <v/>
      </c>
      <c r="G16" s="6">
        <f>E16+F16</f>
        <v/>
      </c>
      <c r="H16" s="6">
        <f>E16*D16</f>
        <v/>
      </c>
      <c r="I16" s="6">
        <f>F16*D16</f>
        <v/>
      </c>
      <c r="J16" s="6">
        <f>H16+I16</f>
        <v/>
      </c>
      <c r="K16" s="14">
        <f>'03_SERVICOS'!H16</f>
        <v/>
      </c>
      <c r="L16" s="14">
        <f>'03_SERVICOS'!I16</f>
        <v/>
      </c>
      <c r="M16" s="14">
        <f>'03_SERVICOS'!J16</f>
        <v/>
      </c>
      <c r="N16" s="6">
        <f>IF(H16=0,0,H16/(1-K16))</f>
        <v/>
      </c>
      <c r="O16" s="6">
        <f>IF(I16=0,0,I16/(1-L16-M16))</f>
        <v/>
      </c>
      <c r="P16" s="6">
        <f>N16+O16</f>
        <v/>
      </c>
    </row>
    <row r="17">
      <c r="A17" s="4" t="inlineStr">
        <is>
          <t>1.16</t>
        </is>
      </c>
      <c r="B17" s="4">
        <f>'03_SERVICOS'!B17</f>
        <v/>
      </c>
      <c r="C17" s="4">
        <f>'03_SERVICOS'!C17</f>
        <v/>
      </c>
      <c r="D17" s="6">
        <f>'03_SERVICOS'!D17</f>
        <v/>
      </c>
      <c r="E17" s="6">
        <f>SUMIFS('04_COMPOSICAO_SERVICOS'!$G$2:$G$51,'04_COMPOSICAO_SERVICOS'!$A$2:$A$51,A17,'04_COMPOSICAO_SERVICOS'!$C$2:$C$51,"Material")</f>
        <v/>
      </c>
      <c r="F17" s="6">
        <f>SUMIFS('04_COMPOSICAO_SERVICOS'!$G$2:$G$51,'04_COMPOSICAO_SERVICOS'!$A$2:$A$51,A17,'04_COMPOSICAO_SERVICOS'!$C$2:$C$51,"Mão de Obra")</f>
        <v/>
      </c>
      <c r="G17" s="6">
        <f>E17+F17</f>
        <v/>
      </c>
      <c r="H17" s="6">
        <f>E17*D17</f>
        <v/>
      </c>
      <c r="I17" s="6">
        <f>F17*D17</f>
        <v/>
      </c>
      <c r="J17" s="6">
        <f>H17+I17</f>
        <v/>
      </c>
      <c r="K17" s="14">
        <f>'03_SERVICOS'!H17</f>
        <v/>
      </c>
      <c r="L17" s="14">
        <f>'03_SERVICOS'!I17</f>
        <v/>
      </c>
      <c r="M17" s="14">
        <f>'03_SERVICOS'!J17</f>
        <v/>
      </c>
      <c r="N17" s="6">
        <f>IF(H17=0,0,H17/(1-K17))</f>
        <v/>
      </c>
      <c r="O17" s="6">
        <f>IF(I17=0,0,I17/(1-L17-M17))</f>
        <v/>
      </c>
      <c r="P17" s="6">
        <f>N17+O17</f>
        <v/>
      </c>
    </row>
    <row r="18">
      <c r="A18" s="4" t="inlineStr">
        <is>
          <t>1.17</t>
        </is>
      </c>
      <c r="B18" s="4">
        <f>'03_SERVICOS'!B18</f>
        <v/>
      </c>
      <c r="C18" s="4">
        <f>'03_SERVICOS'!C18</f>
        <v/>
      </c>
      <c r="D18" s="6">
        <f>'03_SERVICOS'!D18</f>
        <v/>
      </c>
      <c r="E18" s="6">
        <f>SUMIFS('04_COMPOSICAO_SERVICOS'!$G$2:$G$51,'04_COMPOSICAO_SERVICOS'!$A$2:$A$51,A18,'04_COMPOSICAO_SERVICOS'!$C$2:$C$51,"Material")</f>
        <v/>
      </c>
      <c r="F18" s="6">
        <f>SUMIFS('04_COMPOSICAO_SERVICOS'!$G$2:$G$51,'04_COMPOSICAO_SERVICOS'!$A$2:$A$51,A18,'04_COMPOSICAO_SERVICOS'!$C$2:$C$51,"Mão de Obra")</f>
        <v/>
      </c>
      <c r="G18" s="6">
        <f>E18+F18</f>
        <v/>
      </c>
      <c r="H18" s="6">
        <f>E18*D18</f>
        <v/>
      </c>
      <c r="I18" s="6">
        <f>F18*D18</f>
        <v/>
      </c>
      <c r="J18" s="6">
        <f>H18+I18</f>
        <v/>
      </c>
      <c r="K18" s="14">
        <f>'03_SERVICOS'!H18</f>
        <v/>
      </c>
      <c r="L18" s="14">
        <f>'03_SERVICOS'!I18</f>
        <v/>
      </c>
      <c r="M18" s="14">
        <f>'03_SERVICOS'!J18</f>
        <v/>
      </c>
      <c r="N18" s="6">
        <f>IF(H18=0,0,H18/(1-K18))</f>
        <v/>
      </c>
      <c r="O18" s="6">
        <f>IF(I18=0,0,I18/(1-L18-M18))</f>
        <v/>
      </c>
      <c r="P18" s="6">
        <f>N18+O18</f>
        <v/>
      </c>
    </row>
    <row r="19">
      <c r="A19" s="4" t="n"/>
      <c r="B19" s="15" t="inlineStr">
        <is>
          <t>TOTAL DA OBRA</t>
        </is>
      </c>
      <c r="C19" s="4" t="n"/>
      <c r="D19" s="4" t="n"/>
      <c r="E19" s="4" t="n"/>
      <c r="F19" s="4" t="n"/>
      <c r="G19" s="4" t="n"/>
      <c r="H19" s="16">
        <f>SUM(H2:H18)</f>
        <v/>
      </c>
      <c r="I19" s="16">
        <f>SUM(I2:I18)</f>
        <v/>
      </c>
      <c r="J19" s="16">
        <f>SUM(J2:J18)</f>
        <v/>
      </c>
      <c r="K19" s="4" t="n"/>
      <c r="L19" s="4" t="n"/>
      <c r="M19" s="4" t="n"/>
      <c r="N19" s="16">
        <f>SUM(N2:N18)</f>
        <v/>
      </c>
      <c r="O19" s="16">
        <f>SUM(O2:O18)</f>
        <v/>
      </c>
      <c r="P19" s="16">
        <f>SUM(P2:P18)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13" customWidth="1" min="4" max="4"/>
    <col width="15" customWidth="1" min="5" max="5"/>
    <col width="15" customWidth="1" min="6" max="6"/>
    <col width="13" customWidth="1" min="7" max="7"/>
    <col width="36" customWidth="1" min="8" max="8"/>
  </cols>
  <sheetData>
    <row r="1">
      <c r="A1" s="3" t="inlineStr">
        <is>
          <t>Cód.</t>
        </is>
      </c>
      <c r="B1" s="3" t="inlineStr">
        <is>
          <t>Mat técnico</t>
        </is>
      </c>
      <c r="C1" s="3" t="inlineStr">
        <is>
          <t>Mat proposta</t>
        </is>
      </c>
      <c r="D1" s="3" t="inlineStr">
        <is>
          <t>Dif mat</t>
        </is>
      </c>
      <c r="E1" s="3" t="inlineStr">
        <is>
          <t>MO técnica</t>
        </is>
      </c>
      <c r="F1" s="3" t="inlineStr">
        <is>
          <t>MO proposta</t>
        </is>
      </c>
      <c r="G1" s="3" t="inlineStr">
        <is>
          <t>Dif MO</t>
        </is>
      </c>
      <c r="H1" s="3" t="inlineStr">
        <is>
          <t>Status</t>
        </is>
      </c>
    </row>
    <row r="2">
      <c r="A2" s="4" t="inlineStr">
        <is>
          <t>1.1</t>
        </is>
      </c>
      <c r="B2" s="6">
        <f>'05_ORCAMENTO_PROPOSTA'!H2</f>
        <v/>
      </c>
      <c r="C2" s="6" t="n">
        <v>331345.5</v>
      </c>
      <c r="D2" s="6">
        <f>B2-C2</f>
        <v/>
      </c>
      <c r="E2" s="6">
        <f>'05_ORCAMENTO_PROPOSTA'!I2</f>
        <v/>
      </c>
      <c r="F2" s="6" t="n">
        <v>153300</v>
      </c>
      <c r="G2" s="6">
        <f>E2-F2</f>
        <v/>
      </c>
      <c r="H2" s="4">
        <f>IF(E2=0,"M.O. a preencher",IF(AND(ABS(D2)&lt;1,ABS(G2)&lt;1),"OK","Divergente (ver 07)"))</f>
        <v/>
      </c>
    </row>
    <row r="3">
      <c r="A3" s="4" t="inlineStr">
        <is>
          <t>1.2</t>
        </is>
      </c>
      <c r="B3" s="6">
        <f>'05_ORCAMENTO_PROPOSTA'!H3</f>
        <v/>
      </c>
      <c r="C3" s="6" t="n">
        <v>0</v>
      </c>
      <c r="D3" s="6">
        <f>B3-C3</f>
        <v/>
      </c>
      <c r="E3" s="6">
        <f>'05_ORCAMENTO_PROPOSTA'!I3</f>
        <v/>
      </c>
      <c r="F3" s="6" t="n">
        <v>41055</v>
      </c>
      <c r="G3" s="6">
        <f>E3-F3</f>
        <v/>
      </c>
      <c r="H3" s="4">
        <f>IF(E3=0,"M.O. a preencher",IF(AND(ABS(D3)&lt;1,ABS(G3)&lt;1),"OK","Divergente (ver 07)"))</f>
        <v/>
      </c>
    </row>
    <row r="4">
      <c r="A4" s="4" t="inlineStr">
        <is>
          <t>1.3</t>
        </is>
      </c>
      <c r="B4" s="6">
        <f>'05_ORCAMENTO_PROPOSTA'!H4</f>
        <v/>
      </c>
      <c r="C4" s="6" t="n">
        <v>800</v>
      </c>
      <c r="D4" s="6">
        <f>B4-C4</f>
        <v/>
      </c>
      <c r="E4" s="6">
        <f>'05_ORCAMENTO_PROPOSTA'!I4</f>
        <v/>
      </c>
      <c r="F4" s="6" t="n">
        <v>5635</v>
      </c>
      <c r="G4" s="6">
        <f>E4-F4</f>
        <v/>
      </c>
      <c r="H4" s="4">
        <f>IF(E4=0,"M.O. a preencher",IF(AND(ABS(D4)&lt;1,ABS(G4)&lt;1),"OK","Divergente (ver 07)"))</f>
        <v/>
      </c>
    </row>
    <row r="5">
      <c r="A5" s="4" t="inlineStr">
        <is>
          <t>1.4</t>
        </is>
      </c>
      <c r="B5" s="6">
        <f>'05_ORCAMENTO_PROPOSTA'!H5</f>
        <v/>
      </c>
      <c r="C5" s="6" t="n">
        <v>6000</v>
      </c>
      <c r="D5" s="6">
        <f>B5-C5</f>
        <v/>
      </c>
      <c r="E5" s="6">
        <f>'05_ORCAMENTO_PROPOSTA'!I5</f>
        <v/>
      </c>
      <c r="F5" s="6" t="n">
        <v>16800</v>
      </c>
      <c r="G5" s="6">
        <f>E5-F5</f>
        <v/>
      </c>
      <c r="H5" s="4">
        <f>IF(E5=0,"M.O. a preencher",IF(AND(ABS(D5)&lt;1,ABS(G5)&lt;1),"OK","Divergente (ver 07)"))</f>
        <v/>
      </c>
    </row>
    <row r="6">
      <c r="A6" s="4" t="inlineStr">
        <is>
          <t>1.5</t>
        </is>
      </c>
      <c r="B6" s="6">
        <f>'05_ORCAMENTO_PROPOSTA'!H6</f>
        <v/>
      </c>
      <c r="C6" s="6" t="n">
        <v>0</v>
      </c>
      <c r="D6" s="6">
        <f>B6-C6</f>
        <v/>
      </c>
      <c r="E6" s="6">
        <f>'05_ORCAMENTO_PROPOSTA'!I6</f>
        <v/>
      </c>
      <c r="F6" s="6" t="n">
        <v>40500</v>
      </c>
      <c r="G6" s="6">
        <f>E6-F6</f>
        <v/>
      </c>
      <c r="H6" s="4">
        <f>IF(E6=0,"M.O. a preencher",IF(AND(ABS(D6)&lt;1,ABS(G6)&lt;1),"OK","Divergente (ver 07)"))</f>
        <v/>
      </c>
    </row>
    <row r="7">
      <c r="A7" s="4" t="inlineStr">
        <is>
          <t>1.6</t>
        </is>
      </c>
      <c r="B7" s="6">
        <f>'05_ORCAMENTO_PROPOSTA'!H7</f>
        <v/>
      </c>
      <c r="C7" s="6" t="n">
        <v>0</v>
      </c>
      <c r="D7" s="6">
        <f>B7-C7</f>
        <v/>
      </c>
      <c r="E7" s="6">
        <f>'05_ORCAMENTO_PROPOSTA'!I7</f>
        <v/>
      </c>
      <c r="F7" s="6" t="n">
        <v>29700</v>
      </c>
      <c r="G7" s="6">
        <f>E7-F7</f>
        <v/>
      </c>
      <c r="H7" s="4">
        <f>IF(E7=0,"M.O. a preencher",IF(AND(ABS(D7)&lt;1,ABS(G7)&lt;1),"OK","Divergente (ver 07)"))</f>
        <v/>
      </c>
    </row>
    <row r="8">
      <c r="A8" s="4" t="inlineStr">
        <is>
          <t>1.7</t>
        </is>
      </c>
      <c r="B8" s="6">
        <f>'05_ORCAMENTO_PROPOSTA'!H8</f>
        <v/>
      </c>
      <c r="C8" s="6" t="n">
        <v>0</v>
      </c>
      <c r="D8" s="6">
        <f>B8-C8</f>
        <v/>
      </c>
      <c r="E8" s="6">
        <f>'05_ORCAMENTO_PROPOSTA'!I8</f>
        <v/>
      </c>
      <c r="F8" s="6" t="n">
        <v>40500</v>
      </c>
      <c r="G8" s="6">
        <f>E8-F8</f>
        <v/>
      </c>
      <c r="H8" s="4">
        <f>IF(E8=0,"M.O. a preencher",IF(AND(ABS(D8)&lt;1,ABS(G8)&lt;1),"OK","Divergente (ver 07)"))</f>
        <v/>
      </c>
    </row>
    <row r="9">
      <c r="A9" s="4" t="inlineStr">
        <is>
          <t>1.8</t>
        </is>
      </c>
      <c r="B9" s="6">
        <f>'05_ORCAMENTO_PROPOSTA'!H9</f>
        <v/>
      </c>
      <c r="C9" s="6" t="n">
        <v>800</v>
      </c>
      <c r="D9" s="6">
        <f>B9-C9</f>
        <v/>
      </c>
      <c r="E9" s="6">
        <f>'05_ORCAMENTO_PROPOSTA'!I9</f>
        <v/>
      </c>
      <c r="F9" s="6" t="n">
        <v>19800</v>
      </c>
      <c r="G9" s="6">
        <f>E9-F9</f>
        <v/>
      </c>
      <c r="H9" s="4">
        <f>IF(E9=0,"M.O. a preencher",IF(AND(ABS(D9)&lt;1,ABS(G9)&lt;1),"OK","Divergente (ver 07)"))</f>
        <v/>
      </c>
    </row>
    <row r="10">
      <c r="A10" s="4" t="inlineStr">
        <is>
          <t>1.9</t>
        </is>
      </c>
      <c r="B10" s="6">
        <f>'05_ORCAMENTO_PROPOSTA'!H10</f>
        <v/>
      </c>
      <c r="C10" s="6" t="n">
        <v>0</v>
      </c>
      <c r="D10" s="6">
        <f>B10-C10</f>
        <v/>
      </c>
      <c r="E10" s="6">
        <f>'05_ORCAMENTO_PROPOSTA'!I10</f>
        <v/>
      </c>
      <c r="F10" s="6" t="n">
        <v>18181.82</v>
      </c>
      <c r="G10" s="6">
        <f>E10-F10</f>
        <v/>
      </c>
      <c r="H10" s="4">
        <f>IF(E10=0,"M.O. a preencher",IF(AND(ABS(D10)&lt;1,ABS(G10)&lt;1),"OK","Divergente (ver 07)"))</f>
        <v/>
      </c>
    </row>
    <row r="11">
      <c r="A11" s="4" t="inlineStr">
        <is>
          <t>1.10</t>
        </is>
      </c>
      <c r="B11" s="6">
        <f>'05_ORCAMENTO_PROPOSTA'!H11</f>
        <v/>
      </c>
      <c r="C11" s="6" t="n">
        <v>56544</v>
      </c>
      <c r="D11" s="6">
        <f>B11-C11</f>
        <v/>
      </c>
      <c r="E11" s="6">
        <f>'05_ORCAMENTO_PROPOSTA'!I11</f>
        <v/>
      </c>
      <c r="F11" s="6" t="n">
        <v>15010</v>
      </c>
      <c r="G11" s="6">
        <f>E11-F11</f>
        <v/>
      </c>
      <c r="H11" s="4">
        <f>IF(E11=0,"M.O. a preencher",IF(AND(ABS(D11)&lt;1,ABS(G11)&lt;1),"OK","Divergente (ver 07)"))</f>
        <v/>
      </c>
    </row>
    <row r="12">
      <c r="A12" s="4" t="inlineStr">
        <is>
          <t>1.11</t>
        </is>
      </c>
      <c r="B12" s="6">
        <f>'05_ORCAMENTO_PROPOSTA'!H12</f>
        <v/>
      </c>
      <c r="C12" s="6" t="n">
        <v>0</v>
      </c>
      <c r="D12" s="6">
        <f>B12-C12</f>
        <v/>
      </c>
      <c r="E12" s="6">
        <f>'05_ORCAMENTO_PROPOSTA'!I12</f>
        <v/>
      </c>
      <c r="F12" s="6" t="n">
        <v>9200</v>
      </c>
      <c r="G12" s="6">
        <f>E12-F12</f>
        <v/>
      </c>
      <c r="H12" s="4">
        <f>IF(E12=0,"M.O. a preencher",IF(AND(ABS(D12)&lt;1,ABS(G12)&lt;1),"OK","Divergente (ver 07)"))</f>
        <v/>
      </c>
    </row>
    <row r="13">
      <c r="A13" s="4" t="inlineStr">
        <is>
          <t>1.12</t>
        </is>
      </c>
      <c r="B13" s="6">
        <f>'05_ORCAMENTO_PROPOSTA'!H13</f>
        <v/>
      </c>
      <c r="C13" s="6" t="n">
        <v>6910</v>
      </c>
      <c r="D13" s="6">
        <f>B13-C13</f>
        <v/>
      </c>
      <c r="E13" s="6">
        <f>'05_ORCAMENTO_PROPOSTA'!I13</f>
        <v/>
      </c>
      <c r="F13" s="6" t="n">
        <v>6500</v>
      </c>
      <c r="G13" s="6">
        <f>E13-F13</f>
        <v/>
      </c>
      <c r="H13" s="4">
        <f>IF(E13=0,"M.O. a preencher",IF(AND(ABS(D13)&lt;1,ABS(G13)&lt;1),"OK","Divergente (ver 07)"))</f>
        <v/>
      </c>
    </row>
    <row r="14">
      <c r="A14" s="4" t="inlineStr">
        <is>
          <t>1.13</t>
        </is>
      </c>
      <c r="B14" s="6">
        <f>'05_ORCAMENTO_PROPOSTA'!H14</f>
        <v/>
      </c>
      <c r="C14" s="6" t="n">
        <v>0</v>
      </c>
      <c r="D14" s="6">
        <f>B14-C14</f>
        <v/>
      </c>
      <c r="E14" s="6">
        <f>'05_ORCAMENTO_PROPOSTA'!I14</f>
        <v/>
      </c>
      <c r="F14" s="6" t="n">
        <v>99705</v>
      </c>
      <c r="G14" s="6">
        <f>E14-F14</f>
        <v/>
      </c>
      <c r="H14" s="4">
        <f>IF(E14=0,"M.O. a preencher",IF(AND(ABS(D14)&lt;1,ABS(G14)&lt;1),"OK","Divergente (ver 07)"))</f>
        <v/>
      </c>
    </row>
    <row r="15">
      <c r="A15" s="4" t="inlineStr">
        <is>
          <t>1.14</t>
        </is>
      </c>
      <c r="B15" s="6">
        <f>'05_ORCAMENTO_PROPOSTA'!H15</f>
        <v/>
      </c>
      <c r="C15" s="6" t="n">
        <v>2400</v>
      </c>
      <c r="D15" s="6">
        <f>B15-C15</f>
        <v/>
      </c>
      <c r="E15" s="6">
        <f>'05_ORCAMENTO_PROPOSTA'!I15</f>
        <v/>
      </c>
      <c r="F15" s="6" t="n">
        <v>10800</v>
      </c>
      <c r="G15" s="6">
        <f>E15-F15</f>
        <v/>
      </c>
      <c r="H15" s="4">
        <f>IF(E15=0,"M.O. a preencher",IF(AND(ABS(D15)&lt;1,ABS(G15)&lt;1),"OK","Divergente (ver 07)"))</f>
        <v/>
      </c>
    </row>
    <row r="16">
      <c r="A16" s="4" t="inlineStr">
        <is>
          <t>1.15</t>
        </is>
      </c>
      <c r="B16" s="6">
        <f>'05_ORCAMENTO_PROPOSTA'!H16</f>
        <v/>
      </c>
      <c r="C16" s="6" t="n">
        <v>800</v>
      </c>
      <c r="D16" s="6">
        <f>B16-C16</f>
        <v/>
      </c>
      <c r="E16" s="6">
        <f>'05_ORCAMENTO_PROPOSTA'!I16</f>
        <v/>
      </c>
      <c r="F16" s="6" t="n">
        <v>9600</v>
      </c>
      <c r="G16" s="6">
        <f>E16-F16</f>
        <v/>
      </c>
      <c r="H16" s="4">
        <f>IF(E16=0,"M.O. a preencher",IF(AND(ABS(D16)&lt;1,ABS(G16)&lt;1),"OK","Divergente (ver 07)"))</f>
        <v/>
      </c>
    </row>
    <row r="17">
      <c r="A17" s="4" t="inlineStr">
        <is>
          <t>1.16</t>
        </is>
      </c>
      <c r="B17" s="6">
        <f>'05_ORCAMENTO_PROPOSTA'!H17</f>
        <v/>
      </c>
      <c r="C17" s="6" t="n">
        <v>867.1</v>
      </c>
      <c r="D17" s="6">
        <f>B17-C17</f>
        <v/>
      </c>
      <c r="E17" s="6">
        <f>'05_ORCAMENTO_PROPOSTA'!I17</f>
        <v/>
      </c>
      <c r="F17" s="6" t="n">
        <v>2400</v>
      </c>
      <c r="G17" s="6">
        <f>E17-F17</f>
        <v/>
      </c>
      <c r="H17" s="4">
        <f>IF(E17=0,"M.O. a preencher",IF(AND(ABS(D17)&lt;1,ABS(G17)&lt;1),"OK","Divergente (ver 07)"))</f>
        <v/>
      </c>
    </row>
    <row r="18">
      <c r="A18" s="4" t="inlineStr">
        <is>
          <t>1.17</t>
        </is>
      </c>
      <c r="B18" s="6">
        <f>'05_ORCAMENTO_PROPOSTA'!H18</f>
        <v/>
      </c>
      <c r="C18" s="6" t="n">
        <v>52322</v>
      </c>
      <c r="D18" s="6">
        <f>B18-C18</f>
        <v/>
      </c>
      <c r="E18" s="6">
        <f>'05_ORCAMENTO_PROPOSTA'!I18</f>
        <v/>
      </c>
      <c r="F18" s="6" t="n">
        <v>40242</v>
      </c>
      <c r="G18" s="6">
        <f>E18-F18</f>
        <v/>
      </c>
      <c r="H18" s="4">
        <f>IF(E18=0,"M.O. a preencher",IF(AND(ABS(D18)&lt;1,ABS(G18)&lt;1),"OK","Divergente (ver 07)"))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38" customWidth="1" min="5" max="5"/>
    <col width="58" customWidth="1" min="6" max="6"/>
  </cols>
  <sheetData>
    <row r="1">
      <c r="A1" s="3" t="inlineStr">
        <is>
          <t>Cód.</t>
        </is>
      </c>
      <c r="B1" s="3" t="inlineStr">
        <is>
          <t>Cél Qtd</t>
        </is>
      </c>
      <c r="C1" s="3" t="inlineStr">
        <is>
          <t>Cél Mat</t>
        </is>
      </c>
      <c r="D1" s="3" t="inlineStr">
        <is>
          <t>Cél MO</t>
        </is>
      </c>
      <c r="E1" s="3" t="inlineStr">
        <is>
          <t>Fórmula original</t>
        </is>
      </c>
      <c r="F1" s="3" t="inlineStr">
        <is>
          <t>Decisão / observação</t>
        </is>
      </c>
    </row>
    <row r="2">
      <c r="A2" s="17" t="inlineStr">
        <is>
          <t>1.1</t>
        </is>
      </c>
      <c r="B2" s="17" t="inlineStr">
        <is>
          <t>E10</t>
        </is>
      </c>
      <c r="C2" s="17" t="inlineStr">
        <is>
          <t>F10</t>
        </is>
      </c>
      <c r="D2" s="17" t="inlineStr">
        <is>
          <t>G10</t>
        </is>
      </c>
      <c r="E2" s="17">
        <f>((21900×13,5)×1,07)+15000 | =7×21900</f>
        <v/>
      </c>
      <c r="F2" s="18" t="inlineStr">
        <is>
          <t>M.O. transformada p/ h (~R$3,55/kg vs R$7/kg = margem→BDI)</t>
        </is>
      </c>
    </row>
    <row r="3">
      <c r="A3" s="17" t="inlineStr">
        <is>
          <t>1.3</t>
        </is>
      </c>
      <c r="B3" s="17" t="inlineStr">
        <is>
          <t>E12</t>
        </is>
      </c>
      <c r="C3" s="17" t="inlineStr">
        <is>
          <t>F12</t>
        </is>
      </c>
      <c r="D3" s="17" t="inlineStr">
        <is>
          <t>G12</t>
        </is>
      </c>
      <c r="E3" s="17" t="inlineStr">
        <is>
          <t>H12=ROUND(F12,2)=800</t>
        </is>
      </c>
      <c r="F3" s="18" t="inlineStr">
        <is>
          <t>Stain global no custo, venda ×161 — inconsistência; modelado global</t>
        </is>
      </c>
    </row>
    <row r="4">
      <c r="A4" s="17" t="inlineStr">
        <is>
          <t>1.7</t>
        </is>
      </c>
      <c r="B4" s="17">
        <f>E14</f>
        <v/>
      </c>
      <c r="C4" s="17" t="inlineStr">
        <is>
          <t>F16</t>
        </is>
      </c>
      <c r="D4" s="17" t="inlineStr">
        <is>
          <t>G16</t>
        </is>
      </c>
      <c r="E4" s="17" t="inlineStr">
        <is>
          <t>D='vb', E=900</t>
        </is>
      </c>
      <c r="F4" s="18" t="inlineStr">
        <is>
          <t>Unidade corrigida vb→m²</t>
        </is>
      </c>
    </row>
    <row r="5">
      <c r="A5" s="17" t="inlineStr">
        <is>
          <t>1.9</t>
        </is>
      </c>
      <c r="B5" s="17">
        <f>44-12</f>
        <v/>
      </c>
      <c r="C5" s="17" t="inlineStr">
        <is>
          <t>F18</t>
        </is>
      </c>
      <c r="D5" s="17" t="inlineStr">
        <is>
          <t>G18</t>
        </is>
      </c>
      <c r="E5" s="17">
        <f>(50000/2)/44</f>
        <v/>
      </c>
      <c r="F5" s="18" t="inlineStr">
        <is>
          <t>Custo base 44 pilares, qtd 32 — validar</t>
        </is>
      </c>
    </row>
    <row r="6">
      <c r="A6" s="17" t="inlineStr">
        <is>
          <t>1.10</t>
        </is>
      </c>
      <c r="B6" s="17" t="inlineStr">
        <is>
          <t>E19</t>
        </is>
      </c>
      <c r="C6" s="17" t="inlineStr">
        <is>
          <t>F19</t>
        </is>
      </c>
      <c r="D6" s="17" t="inlineStr">
        <is>
          <t>G19</t>
        </is>
      </c>
      <c r="E6" s="17">
        <f>(500,4×0,2)×550+1500 | =(500,4×25)+2500</f>
        <v/>
      </c>
      <c r="F6" s="18" t="inlineStr">
        <is>
          <t>Serviço em m² (500,4); E=1 vb</t>
        </is>
      </c>
    </row>
    <row r="7">
      <c r="A7" s="17" t="inlineStr">
        <is>
          <t>1.12</t>
        </is>
      </c>
      <c r="B7" s="17" t="inlineStr">
        <is>
          <t>E21</t>
        </is>
      </c>
      <c r="C7" s="17" t="inlineStr">
        <is>
          <t>F21</t>
        </is>
      </c>
      <c r="D7" s="17" t="inlineStr">
        <is>
          <t>G21</t>
        </is>
      </c>
      <c r="E7" s="17">
        <f>(12×400)+1500+610</f>
        <v/>
      </c>
      <c r="F7" s="18" t="inlineStr">
        <is>
          <t>12 pontos vs descrição (1/baia+1/pilar≈68) — validar</t>
        </is>
      </c>
    </row>
    <row r="8">
      <c r="A8" s="17" t="inlineStr">
        <is>
          <t>1.15</t>
        </is>
      </c>
      <c r="B8" s="17" t="inlineStr">
        <is>
          <t>E24</t>
        </is>
      </c>
      <c r="C8" s="17" t="inlineStr">
        <is>
          <t>F24</t>
        </is>
      </c>
      <c r="D8" s="17" t="inlineStr">
        <is>
          <t>G24</t>
        </is>
      </c>
      <c r="E8" s="17" t="inlineStr">
        <is>
          <t>H24=ROUND(F24,2)=800</t>
        </is>
      </c>
      <c r="F8" s="18" t="inlineStr">
        <is>
          <t>Stain global, venda ×24 — modelado global</t>
        </is>
      </c>
    </row>
    <row r="9">
      <c r="A9" s="17" t="inlineStr">
        <is>
          <t>1.16</t>
        </is>
      </c>
      <c r="B9" s="17" t="inlineStr">
        <is>
          <t>E25</t>
        </is>
      </c>
      <c r="C9" s="17" t="inlineStr">
        <is>
          <t>F25</t>
        </is>
      </c>
      <c r="D9" s="17" t="inlineStr">
        <is>
          <t>G25</t>
        </is>
      </c>
      <c r="E9" s="17" t="inlineStr">
        <is>
          <t>H25=ROUND(F25,2)=867,10</t>
        </is>
      </c>
      <c r="F9" s="18" t="inlineStr">
        <is>
          <t>Material 1× na planilha; modelado ×24. Dif +R$19.943</t>
        </is>
      </c>
    </row>
    <row r="10">
      <c r="A10" s="17" t="inlineStr">
        <is>
          <t>1.17</t>
        </is>
      </c>
      <c r="B10" s="17" t="inlineStr">
        <is>
          <t>E26</t>
        </is>
      </c>
      <c r="C10" s="17" t="inlineStr">
        <is>
          <t>F26</t>
        </is>
      </c>
      <c r="D10" s="17" t="inlineStr">
        <is>
          <t>G26</t>
        </is>
      </c>
      <c r="E10" s="17">
        <f>49322+3000 | =37742+2500</f>
        <v/>
      </c>
      <c r="F10" s="18" t="inlineStr">
        <is>
          <t>Pacote — decompor (Fundação/Instalações; Instalações zerada)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2026-06-11T19:51:22Z</dcterms:created>
  <dcterms:modified xmlns:dcterms="http://purl.org/dc/terms/" xmlns:xsi="http://www.w3.org/2001/XMLSchema-instance" xsi:type="dcterms:W3CDTF">2026-06-11T19:51:42Z</dcterms:modified>
</cp:coreProperties>
</file>