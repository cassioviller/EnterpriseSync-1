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Drives compartilhados\SERVIDOR\VEKS ENGENHARIA\01. ENGENHARIA\01. CONTRATOS\10. Kabod Cabana - Baias de bovinos\GERENCIAMENTO FINANCEIRO\"/>
    </mc:Choice>
  </mc:AlternateContent>
  <xr:revisionPtr revIDLastSave="0" documentId="13_ncr:1_{46193E69-DFCC-42B8-8033-9F20C803B031}" xr6:coauthVersionLast="47" xr6:coauthVersionMax="47" xr10:uidLastSave="{00000000-0000-0000-0000-000000000000}"/>
  <bookViews>
    <workbookView xWindow="-28920" yWindow="-3735" windowWidth="29040" windowHeight="15720" activeTab="3" xr2:uid="{00000000-000D-0000-FFFF-FFFF00000000}"/>
  </bookViews>
  <sheets>
    <sheet name="Gerenciamento Custo" sheetId="1" r:id="rId1"/>
    <sheet name="PROPOSTA" sheetId="2" state="hidden" r:id="rId2"/>
    <sheet name="Resumo" sheetId="3" r:id="rId3"/>
    <sheet name="Planilha1" sheetId="10" r:id="rId4"/>
    <sheet name="Mão de Obra" sheetId="5" r:id="rId5"/>
    <sheet name="Materiais" sheetId="6" r:id="rId6"/>
    <sheet name="Refeição + Transporte" sheetId="7" r:id="rId7"/>
    <sheet name="Locação + Frete" sheetId="8" r:id="rId8"/>
    <sheet name="Fat Direto" sheetId="9" r:id="rId9"/>
  </sheet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6" roundtripDataChecksum="lBkof/zXkGb46Z3G4IBHnl6QjOr7xCO98LCLbILHS7Q="/>
    </ext>
  </extLst>
</workbook>
</file>

<file path=xl/calcChain.xml><?xml version="1.0" encoding="utf-8"?>
<calcChain xmlns="http://schemas.openxmlformats.org/spreadsheetml/2006/main">
  <c r="F55" i="10" l="1"/>
  <c r="H7" i="10"/>
  <c r="F7" i="10"/>
  <c r="O61" i="10"/>
  <c r="N61" i="10"/>
  <c r="J11" i="10"/>
  <c r="H11" i="10"/>
  <c r="I11" i="10"/>
  <c r="I18" i="10"/>
  <c r="J18" i="10"/>
  <c r="K18" i="10"/>
  <c r="L18" i="10"/>
  <c r="M18" i="10"/>
  <c r="H18" i="10"/>
  <c r="H21" i="10"/>
  <c r="H24" i="10"/>
  <c r="H26" i="10"/>
  <c r="H30" i="10"/>
  <c r="H34" i="10"/>
  <c r="H36" i="10"/>
  <c r="H38" i="10"/>
  <c r="H41" i="10"/>
  <c r="H44" i="10"/>
  <c r="V13" i="10"/>
  <c r="N59" i="10"/>
  <c r="C18" i="10"/>
  <c r="D19" i="10"/>
  <c r="M19" i="10" s="1"/>
  <c r="I13" i="10"/>
  <c r="D14" i="10"/>
  <c r="I14" i="10" s="1"/>
  <c r="R6" i="10"/>
  <c r="I19" i="10" l="1"/>
  <c r="K19" i="10"/>
  <c r="E8" i="8"/>
  <c r="E7" i="8"/>
  <c r="E6" i="8"/>
  <c r="E5" i="8"/>
  <c r="E4" i="8"/>
  <c r="E3" i="8"/>
  <c r="E3" i="7"/>
  <c r="R20" i="10" l="1"/>
  <c r="R21" i="10" s="1"/>
  <c r="N31" i="10"/>
  <c r="L31" i="10"/>
  <c r="B25" i="10"/>
  <c r="B52" i="10" l="1"/>
  <c r="B53" i="10"/>
  <c r="B54" i="10"/>
  <c r="B51" i="10"/>
  <c r="B50" i="10"/>
  <c r="B49" i="10"/>
  <c r="B48" i="10"/>
  <c r="B47" i="10"/>
  <c r="B46" i="10"/>
  <c r="B45" i="10"/>
  <c r="D45" i="10" s="1"/>
  <c r="O44" i="10"/>
  <c r="M44" i="10"/>
  <c r="K44" i="10"/>
  <c r="I44" i="10"/>
  <c r="O41" i="10"/>
  <c r="N41" i="10"/>
  <c r="M41" i="10"/>
  <c r="L41" i="10"/>
  <c r="K41" i="10"/>
  <c r="J41" i="10"/>
  <c r="I41" i="10"/>
  <c r="O38" i="10"/>
  <c r="N38" i="10"/>
  <c r="M38" i="10"/>
  <c r="L38" i="10"/>
  <c r="K38" i="10"/>
  <c r="J38" i="10"/>
  <c r="I38" i="10"/>
  <c r="O36" i="10"/>
  <c r="N36" i="10"/>
  <c r="M36" i="10"/>
  <c r="L36" i="10"/>
  <c r="K36" i="10"/>
  <c r="J36" i="10"/>
  <c r="I36" i="10"/>
  <c r="O34" i="10"/>
  <c r="N34" i="10"/>
  <c r="M34" i="10"/>
  <c r="L34" i="10"/>
  <c r="K34" i="10"/>
  <c r="J34" i="10"/>
  <c r="I34" i="10"/>
  <c r="O30" i="10"/>
  <c r="N30" i="10"/>
  <c r="M30" i="10"/>
  <c r="L30" i="10"/>
  <c r="K30" i="10"/>
  <c r="J30" i="10"/>
  <c r="I30" i="10"/>
  <c r="O26" i="10"/>
  <c r="N26" i="10"/>
  <c r="L26" i="10"/>
  <c r="O24" i="10"/>
  <c r="M24" i="10"/>
  <c r="K24" i="10"/>
  <c r="I24" i="10"/>
  <c r="O21" i="10"/>
  <c r="N21" i="10"/>
  <c r="L21" i="10"/>
  <c r="J21" i="10"/>
  <c r="O18" i="10"/>
  <c r="N18" i="10"/>
  <c r="O11" i="10"/>
  <c r="N11" i="10"/>
  <c r="M11" i="10"/>
  <c r="L11" i="10"/>
  <c r="K11" i="10"/>
  <c r="O5" i="10"/>
  <c r="N5" i="10"/>
  <c r="M5" i="10"/>
  <c r="L5" i="10"/>
  <c r="K5" i="10"/>
  <c r="J5" i="10"/>
  <c r="I5" i="10"/>
  <c r="H5" i="10"/>
  <c r="H55" i="10" s="1"/>
  <c r="S13" i="10" s="1"/>
  <c r="F41" i="10"/>
  <c r="F38" i="10"/>
  <c r="F36" i="10"/>
  <c r="F34" i="10"/>
  <c r="F30" i="10"/>
  <c r="F26" i="10"/>
  <c r="F24" i="10"/>
  <c r="F21" i="10"/>
  <c r="F18" i="10"/>
  <c r="C44" i="10"/>
  <c r="G44" i="10"/>
  <c r="C41" i="10"/>
  <c r="G41" i="10"/>
  <c r="C38" i="10"/>
  <c r="G38" i="10"/>
  <c r="C36" i="10"/>
  <c r="G36" i="10"/>
  <c r="C34" i="10"/>
  <c r="G34" i="10"/>
  <c r="C30" i="10"/>
  <c r="G30" i="10"/>
  <c r="C26" i="10"/>
  <c r="C24" i="10"/>
  <c r="G24" i="10"/>
  <c r="C21" i="10"/>
  <c r="C5" i="10"/>
  <c r="G5" i="10"/>
  <c r="C11" i="10"/>
  <c r="B5" i="10"/>
  <c r="D13" i="10"/>
  <c r="B41" i="10"/>
  <c r="B38" i="10"/>
  <c r="B36" i="10"/>
  <c r="B34" i="10"/>
  <c r="B30" i="10"/>
  <c r="B26" i="10"/>
  <c r="B24" i="10"/>
  <c r="B21" i="10"/>
  <c r="B18" i="10"/>
  <c r="X5" i="10"/>
  <c r="S6" i="10"/>
  <c r="T6" i="10"/>
  <c r="U6" i="10"/>
  <c r="V6" i="10"/>
  <c r="W6" i="10"/>
  <c r="W15" i="10" l="1"/>
  <c r="W7" i="10" s="1"/>
  <c r="L45" i="10"/>
  <c r="F45" i="10"/>
  <c r="N45" i="10"/>
  <c r="H45" i="10"/>
  <c r="J45" i="10"/>
  <c r="C55" i="10"/>
  <c r="X6" i="10"/>
  <c r="E19" i="10" s="1"/>
  <c r="R7" i="10"/>
  <c r="R10" i="10"/>
  <c r="B44" i="10"/>
  <c r="O55" i="10"/>
  <c r="V14" i="10" s="1"/>
  <c r="V15" i="10" s="1"/>
  <c r="V7" i="10" s="1"/>
  <c r="B12" i="10"/>
  <c r="B11" i="10" s="1"/>
  <c r="D54" i="10"/>
  <c r="D53" i="10"/>
  <c r="D52" i="10"/>
  <c r="D51" i="10"/>
  <c r="D50" i="10"/>
  <c r="D49" i="10"/>
  <c r="D48" i="10"/>
  <c r="D47" i="10"/>
  <c r="D46" i="10"/>
  <c r="D43" i="10"/>
  <c r="D42" i="10"/>
  <c r="D40" i="10"/>
  <c r="D39" i="10"/>
  <c r="D37" i="10"/>
  <c r="D35" i="10"/>
  <c r="D33" i="10"/>
  <c r="D32" i="10"/>
  <c r="D31" i="10"/>
  <c r="D29" i="10"/>
  <c r="D28" i="10"/>
  <c r="D27" i="10"/>
  <c r="D25" i="10"/>
  <c r="D23" i="10"/>
  <c r="D22" i="10"/>
  <c r="D20" i="10"/>
  <c r="D17" i="10"/>
  <c r="D16" i="10"/>
  <c r="D15" i="10"/>
  <c r="D10" i="10"/>
  <c r="D9" i="10"/>
  <c r="D8" i="10"/>
  <c r="D7" i="10"/>
  <c r="D6" i="10"/>
  <c r="C22" i="3"/>
  <c r="E22" i="3" s="1"/>
  <c r="F18" i="3"/>
  <c r="E18" i="3"/>
  <c r="C18" i="3"/>
  <c r="C17" i="3"/>
  <c r="F17" i="3" s="1"/>
  <c r="C16" i="3"/>
  <c r="F16" i="3" s="1"/>
  <c r="C12" i="3"/>
  <c r="C13" i="3" s="1"/>
  <c r="I11" i="3"/>
  <c r="J10" i="3"/>
  <c r="J9" i="3"/>
  <c r="J8" i="3"/>
  <c r="J7" i="3"/>
  <c r="J6" i="3"/>
  <c r="J5" i="3"/>
  <c r="D5" i="3"/>
  <c r="C5" i="3" a="1"/>
  <c r="C5" i="3"/>
  <c r="J4" i="3"/>
  <c r="J11" i="3" s="1"/>
  <c r="D4" i="3"/>
  <c r="C4" i="3" a="1"/>
  <c r="C4" i="3"/>
  <c r="H19" i="2"/>
  <c r="D19" i="2"/>
  <c r="H18" i="2"/>
  <c r="D18" i="2"/>
  <c r="H17" i="2"/>
  <c r="D17" i="2"/>
  <c r="H16" i="2"/>
  <c r="D16" i="2"/>
  <c r="H15" i="2"/>
  <c r="D15" i="2"/>
  <c r="H14" i="2"/>
  <c r="D14" i="2"/>
  <c r="H13" i="2"/>
  <c r="D13" i="2"/>
  <c r="H12" i="2"/>
  <c r="D12" i="2"/>
  <c r="H11" i="2"/>
  <c r="D11" i="2"/>
  <c r="H10" i="2"/>
  <c r="D10" i="2"/>
  <c r="H9" i="2"/>
  <c r="D9" i="2"/>
  <c r="H8" i="2"/>
  <c r="D8" i="2"/>
  <c r="H7" i="2"/>
  <c r="D7" i="2"/>
  <c r="H6" i="2"/>
  <c r="D6" i="2"/>
  <c r="H5" i="2"/>
  <c r="D5" i="2"/>
  <c r="H4" i="2"/>
  <c r="D4" i="2"/>
  <c r="H3" i="2"/>
  <c r="D3" i="2"/>
  <c r="P42" i="1"/>
  <c r="H42" i="1"/>
  <c r="R41" i="1"/>
  <c r="Q41" i="1"/>
  <c r="P41" i="1"/>
  <c r="N41" i="1"/>
  <c r="M41" i="1"/>
  <c r="K41" i="1"/>
  <c r="R40" i="1"/>
  <c r="Q40" i="1"/>
  <c r="P40" i="1"/>
  <c r="N40" i="1"/>
  <c r="M40" i="1"/>
  <c r="K40" i="1"/>
  <c r="R39" i="1"/>
  <c r="Q39" i="1"/>
  <c r="P39" i="1"/>
  <c r="N39" i="1"/>
  <c r="M39" i="1"/>
  <c r="K39" i="1"/>
  <c r="R38" i="1"/>
  <c r="Q38" i="1"/>
  <c r="P38" i="1"/>
  <c r="M38" i="1"/>
  <c r="P37" i="1"/>
  <c r="I37" i="1"/>
  <c r="G37" i="1"/>
  <c r="R36" i="1"/>
  <c r="Q36" i="1"/>
  <c r="P36" i="1"/>
  <c r="N36" i="1"/>
  <c r="F36" i="1"/>
  <c r="D36" i="1"/>
  <c r="V35" i="1"/>
  <c r="U35" i="1"/>
  <c r="T35" i="1"/>
  <c r="R35" i="1"/>
  <c r="Q35" i="1"/>
  <c r="P35" i="1"/>
  <c r="N35" i="1"/>
  <c r="M35" i="1"/>
  <c r="K35" i="1"/>
  <c r="I35" i="1"/>
  <c r="G35" i="1"/>
  <c r="F35" i="1"/>
  <c r="E35" i="1"/>
  <c r="D35" i="1"/>
  <c r="R34" i="1"/>
  <c r="Q34" i="1"/>
  <c r="P34" i="1"/>
  <c r="N34" i="1"/>
  <c r="F34" i="1"/>
  <c r="D34" i="1"/>
  <c r="V33" i="1"/>
  <c r="U33" i="1"/>
  <c r="T33" i="1"/>
  <c r="R33" i="1"/>
  <c r="Q33" i="1"/>
  <c r="P33" i="1"/>
  <c r="N33" i="1"/>
  <c r="M33" i="1"/>
  <c r="K33" i="1"/>
  <c r="I33" i="1"/>
  <c r="G33" i="1"/>
  <c r="F33" i="1"/>
  <c r="E33" i="1"/>
  <c r="D33" i="1"/>
  <c r="R32" i="1"/>
  <c r="Q32" i="1"/>
  <c r="P32" i="1"/>
  <c r="N32" i="1"/>
  <c r="F32" i="1"/>
  <c r="D32" i="1"/>
  <c r="V31" i="1"/>
  <c r="U31" i="1"/>
  <c r="T31" i="1"/>
  <c r="R31" i="1"/>
  <c r="Q31" i="1"/>
  <c r="P31" i="1"/>
  <c r="N31" i="1"/>
  <c r="M31" i="1"/>
  <c r="K31" i="1"/>
  <c r="I31" i="1"/>
  <c r="G31" i="1"/>
  <c r="F31" i="1"/>
  <c r="E31" i="1"/>
  <c r="D31" i="1"/>
  <c r="R30" i="1"/>
  <c r="Q30" i="1"/>
  <c r="P30" i="1"/>
  <c r="N30" i="1"/>
  <c r="F30" i="1"/>
  <c r="D30" i="1"/>
  <c r="V29" i="1"/>
  <c r="U29" i="1"/>
  <c r="T29" i="1"/>
  <c r="R29" i="1"/>
  <c r="Q29" i="1"/>
  <c r="P29" i="1"/>
  <c r="N29" i="1"/>
  <c r="M29" i="1"/>
  <c r="K29" i="1"/>
  <c r="I29" i="1"/>
  <c r="G29" i="1"/>
  <c r="F29" i="1"/>
  <c r="E29" i="1"/>
  <c r="D29" i="1"/>
  <c r="R28" i="1"/>
  <c r="Q28" i="1"/>
  <c r="P28" i="1"/>
  <c r="N28" i="1"/>
  <c r="F28" i="1"/>
  <c r="D28" i="1"/>
  <c r="V27" i="1"/>
  <c r="U27" i="1"/>
  <c r="T27" i="1"/>
  <c r="R27" i="1"/>
  <c r="Q27" i="1"/>
  <c r="P27" i="1"/>
  <c r="N27" i="1"/>
  <c r="M27" i="1"/>
  <c r="K27" i="1"/>
  <c r="I27" i="1"/>
  <c r="G27" i="1"/>
  <c r="F27" i="1"/>
  <c r="E27" i="1"/>
  <c r="D27" i="1"/>
  <c r="R26" i="1"/>
  <c r="Q26" i="1"/>
  <c r="P26" i="1"/>
  <c r="N26" i="1"/>
  <c r="F26" i="1"/>
  <c r="D26" i="1"/>
  <c r="V25" i="1"/>
  <c r="U25" i="1"/>
  <c r="T25" i="1"/>
  <c r="R25" i="1"/>
  <c r="Q25" i="1"/>
  <c r="P25" i="1"/>
  <c r="N25" i="1"/>
  <c r="M25" i="1"/>
  <c r="K25" i="1"/>
  <c r="I25" i="1"/>
  <c r="G25" i="1"/>
  <c r="F25" i="1"/>
  <c r="E25" i="1"/>
  <c r="D25" i="1"/>
  <c r="R24" i="1"/>
  <c r="Q24" i="1"/>
  <c r="P24" i="1"/>
  <c r="N24" i="1"/>
  <c r="F24" i="1"/>
  <c r="D24" i="1"/>
  <c r="V23" i="1"/>
  <c r="U23" i="1"/>
  <c r="T23" i="1"/>
  <c r="R23" i="1"/>
  <c r="Q23" i="1"/>
  <c r="P23" i="1"/>
  <c r="N23" i="1"/>
  <c r="M23" i="1"/>
  <c r="K23" i="1"/>
  <c r="I23" i="1"/>
  <c r="G23" i="1"/>
  <c r="F23" i="1"/>
  <c r="E23" i="1"/>
  <c r="D23" i="1"/>
  <c r="R22" i="1"/>
  <c r="Q22" i="1"/>
  <c r="P22" i="1"/>
  <c r="N22" i="1"/>
  <c r="F22" i="1"/>
  <c r="D22" i="1"/>
  <c r="V21" i="1"/>
  <c r="U21" i="1"/>
  <c r="T21" i="1"/>
  <c r="R21" i="1"/>
  <c r="Q21" i="1"/>
  <c r="P21" i="1"/>
  <c r="N21" i="1"/>
  <c r="M21" i="1"/>
  <c r="K21" i="1"/>
  <c r="I21" i="1"/>
  <c r="G21" i="1"/>
  <c r="F21" i="1"/>
  <c r="E21" i="1"/>
  <c r="D21" i="1"/>
  <c r="R20" i="1"/>
  <c r="Q20" i="1"/>
  <c r="P20" i="1"/>
  <c r="N20" i="1"/>
  <c r="F20" i="1"/>
  <c r="D20" i="1"/>
  <c r="V19" i="1"/>
  <c r="U19" i="1"/>
  <c r="T19" i="1"/>
  <c r="R19" i="1"/>
  <c r="Q19" i="1"/>
  <c r="P19" i="1"/>
  <c r="N19" i="1"/>
  <c r="M19" i="1"/>
  <c r="K19" i="1"/>
  <c r="I19" i="1"/>
  <c r="G19" i="1"/>
  <c r="F19" i="1"/>
  <c r="E19" i="1"/>
  <c r="D19" i="1"/>
  <c r="R18" i="1"/>
  <c r="Q18" i="1"/>
  <c r="P18" i="1"/>
  <c r="N18" i="1"/>
  <c r="F18" i="1"/>
  <c r="D18" i="1"/>
  <c r="V17" i="1"/>
  <c r="U17" i="1"/>
  <c r="T17" i="1"/>
  <c r="R17" i="1"/>
  <c r="Q17" i="1"/>
  <c r="P17" i="1"/>
  <c r="N17" i="1"/>
  <c r="M17" i="1"/>
  <c r="K17" i="1"/>
  <c r="I17" i="1"/>
  <c r="G17" i="1"/>
  <c r="F17" i="1"/>
  <c r="E17" i="1"/>
  <c r="D17" i="1"/>
  <c r="R16" i="1"/>
  <c r="Q16" i="1"/>
  <c r="P16" i="1"/>
  <c r="N16" i="1"/>
  <c r="F16" i="1"/>
  <c r="D16" i="1"/>
  <c r="V15" i="1"/>
  <c r="U15" i="1"/>
  <c r="T15" i="1"/>
  <c r="R15" i="1"/>
  <c r="Q15" i="1"/>
  <c r="P15" i="1"/>
  <c r="N15" i="1"/>
  <c r="M15" i="1"/>
  <c r="K15" i="1"/>
  <c r="I15" i="1"/>
  <c r="G15" i="1"/>
  <c r="F15" i="1"/>
  <c r="E15" i="1"/>
  <c r="D15" i="1"/>
  <c r="R14" i="1"/>
  <c r="Q14" i="1"/>
  <c r="P14" i="1"/>
  <c r="N14" i="1"/>
  <c r="F14" i="1"/>
  <c r="D14" i="1"/>
  <c r="V13" i="1"/>
  <c r="U13" i="1"/>
  <c r="T13" i="1"/>
  <c r="R13" i="1"/>
  <c r="Q13" i="1"/>
  <c r="P13" i="1"/>
  <c r="N13" i="1"/>
  <c r="M13" i="1"/>
  <c r="K13" i="1"/>
  <c r="I13" i="1"/>
  <c r="G13" i="1"/>
  <c r="F13" i="1"/>
  <c r="E13" i="1"/>
  <c r="D13" i="1"/>
  <c r="R12" i="1"/>
  <c r="Q12" i="1"/>
  <c r="P12" i="1"/>
  <c r="N12" i="1"/>
  <c r="F12" i="1"/>
  <c r="D12" i="1"/>
  <c r="V11" i="1"/>
  <c r="U11" i="1"/>
  <c r="T11" i="1"/>
  <c r="R11" i="1"/>
  <c r="Q11" i="1"/>
  <c r="P11" i="1"/>
  <c r="N11" i="1"/>
  <c r="M11" i="1"/>
  <c r="K11" i="1"/>
  <c r="I11" i="1"/>
  <c r="G11" i="1"/>
  <c r="F11" i="1"/>
  <c r="E11" i="1"/>
  <c r="D11" i="1"/>
  <c r="R10" i="1"/>
  <c r="Q10" i="1"/>
  <c r="P10" i="1"/>
  <c r="N10" i="1"/>
  <c r="F10" i="1"/>
  <c r="D10" i="1"/>
  <c r="V9" i="1"/>
  <c r="U9" i="1"/>
  <c r="T9" i="1"/>
  <c r="R9" i="1"/>
  <c r="Q9" i="1"/>
  <c r="P9" i="1"/>
  <c r="N9" i="1"/>
  <c r="M9" i="1"/>
  <c r="K9" i="1"/>
  <c r="I9" i="1"/>
  <c r="G9" i="1"/>
  <c r="F9" i="1"/>
  <c r="E9" i="1"/>
  <c r="D9" i="1"/>
  <c r="R8" i="1"/>
  <c r="Q8" i="1"/>
  <c r="P8" i="1"/>
  <c r="N8" i="1"/>
  <c r="D8" i="1"/>
  <c r="T7" i="1"/>
  <c r="R7" i="1"/>
  <c r="Q7" i="1"/>
  <c r="P7" i="1"/>
  <c r="N7" i="1"/>
  <c r="M7" i="1"/>
  <c r="K7" i="1"/>
  <c r="I7" i="1"/>
  <c r="G7" i="1"/>
  <c r="E7" i="1"/>
  <c r="D7" i="1"/>
  <c r="R6" i="1"/>
  <c r="Q6" i="1"/>
  <c r="P6" i="1"/>
  <c r="N6" i="1"/>
  <c r="D6" i="1"/>
  <c r="R5" i="1"/>
  <c r="Q5" i="1"/>
  <c r="P5" i="1"/>
  <c r="N5" i="1"/>
  <c r="M5" i="1"/>
  <c r="K5" i="1"/>
  <c r="I5" i="1"/>
  <c r="G5" i="1"/>
  <c r="F5" i="1"/>
  <c r="E5" i="1"/>
  <c r="D5" i="1"/>
  <c r="R4" i="1"/>
  <c r="Q4" i="1"/>
  <c r="P4" i="1"/>
  <c r="N4" i="1"/>
  <c r="D4" i="1"/>
  <c r="U3" i="1"/>
  <c r="R3" i="1"/>
  <c r="Q3" i="1"/>
  <c r="P3" i="1"/>
  <c r="N3" i="1"/>
  <c r="M3" i="1"/>
  <c r="K3" i="1"/>
  <c r="I3" i="1"/>
  <c r="G3" i="1"/>
  <c r="E3" i="1"/>
  <c r="D3" i="1"/>
  <c r="J37" i="1"/>
  <c r="L37" i="1"/>
  <c r="J38" i="1"/>
  <c r="E46" i="10" l="1"/>
  <c r="M20" i="10"/>
  <c r="K20" i="10"/>
  <c r="I20" i="10"/>
  <c r="D18" i="10"/>
  <c r="E18" i="10" s="1"/>
  <c r="E27" i="10"/>
  <c r="I27" i="10"/>
  <c r="K27" i="10"/>
  <c r="M27" i="10"/>
  <c r="M26" i="10" s="1"/>
  <c r="E14" i="10"/>
  <c r="I22" i="10"/>
  <c r="I21" i="10" s="1"/>
  <c r="M22" i="10"/>
  <c r="M21" i="10" s="1"/>
  <c r="K22" i="10"/>
  <c r="K21" i="10" s="1"/>
  <c r="G18" i="10"/>
  <c r="E47" i="10"/>
  <c r="E28" i="10"/>
  <c r="E29" i="10"/>
  <c r="E48" i="10"/>
  <c r="E49" i="10"/>
  <c r="E31" i="10"/>
  <c r="E51" i="10"/>
  <c r="F6" i="10"/>
  <c r="E6" i="10"/>
  <c r="E7" i="10"/>
  <c r="F9" i="10"/>
  <c r="E9" i="10"/>
  <c r="E50" i="10"/>
  <c r="F16" i="10"/>
  <c r="E16" i="10"/>
  <c r="F17" i="10"/>
  <c r="E17" i="10"/>
  <c r="D36" i="10"/>
  <c r="E36" i="10" s="1"/>
  <c r="E37" i="10"/>
  <c r="E53" i="10"/>
  <c r="E54" i="10"/>
  <c r="F8" i="10"/>
  <c r="E8" i="10"/>
  <c r="F10" i="10"/>
  <c r="E10" i="10"/>
  <c r="F15" i="10"/>
  <c r="E15" i="10"/>
  <c r="D34" i="10"/>
  <c r="E34" i="10" s="1"/>
  <c r="E35" i="10"/>
  <c r="E22" i="10"/>
  <c r="E40" i="10"/>
  <c r="E32" i="10"/>
  <c r="H23" i="10"/>
  <c r="E23" i="10"/>
  <c r="E13" i="10"/>
  <c r="E33" i="10"/>
  <c r="E52" i="10"/>
  <c r="E20" i="10"/>
  <c r="E39" i="10"/>
  <c r="E42" i="10"/>
  <c r="E25" i="10"/>
  <c r="E43" i="10"/>
  <c r="E45" i="10"/>
  <c r="D24" i="10"/>
  <c r="E24" i="10" s="1"/>
  <c r="N25" i="10"/>
  <c r="N24" i="10" s="1"/>
  <c r="J25" i="10"/>
  <c r="J24" i="10" s="1"/>
  <c r="L25" i="10"/>
  <c r="L24" i="10" s="1"/>
  <c r="H25" i="10"/>
  <c r="B55" i="10"/>
  <c r="G26" i="10"/>
  <c r="I26" i="10"/>
  <c r="K26" i="10"/>
  <c r="L46" i="10"/>
  <c r="L44" i="10" s="1"/>
  <c r="J46" i="10"/>
  <c r="J44" i="10" s="1"/>
  <c r="N46" i="10"/>
  <c r="N44" i="10" s="1"/>
  <c r="H46" i="10"/>
  <c r="F44" i="10"/>
  <c r="H28" i="10"/>
  <c r="J28" i="10"/>
  <c r="H29" i="10"/>
  <c r="J29" i="10"/>
  <c r="D26" i="10"/>
  <c r="E26" i="10" s="1"/>
  <c r="D21" i="10"/>
  <c r="E21" i="10" s="1"/>
  <c r="G21" i="10"/>
  <c r="D41" i="10"/>
  <c r="E41" i="10" s="1"/>
  <c r="D5" i="10"/>
  <c r="D44" i="10"/>
  <c r="E44" i="10" s="1"/>
  <c r="D30" i="10"/>
  <c r="E30" i="10" s="1"/>
  <c r="D38" i="10"/>
  <c r="E38" i="10" s="1"/>
  <c r="D12" i="10"/>
  <c r="K38" i="1"/>
  <c r="N38" i="1"/>
  <c r="K37" i="1"/>
  <c r="J42" i="1" s="1"/>
  <c r="C6" i="3" s="1" a="1"/>
  <c r="M37" i="1"/>
  <c r="L42" i="1" s="1"/>
  <c r="C7" i="3" s="1" a="1"/>
  <c r="R37" i="1"/>
  <c r="R42" i="1" s="1"/>
  <c r="Q37" i="1"/>
  <c r="Q42" i="1" s="1"/>
  <c r="N37" i="1"/>
  <c r="N42" i="1" s="1"/>
  <c r="F22" i="3"/>
  <c r="E16" i="3"/>
  <c r="L4" i="3"/>
  <c r="E17" i="3"/>
  <c r="E12" i="10" l="1"/>
  <c r="F12" i="10"/>
  <c r="M55" i="10"/>
  <c r="U14" i="10" s="1"/>
  <c r="F5" i="10"/>
  <c r="N55" i="10"/>
  <c r="L55" i="10"/>
  <c r="U13" i="10" s="1"/>
  <c r="E5" i="10"/>
  <c r="J26" i="10"/>
  <c r="H12" i="10"/>
  <c r="F11" i="10"/>
  <c r="J12" i="10"/>
  <c r="I55" i="10"/>
  <c r="S14" i="10" s="1"/>
  <c r="K55" i="10"/>
  <c r="T14" i="10" s="1"/>
  <c r="G11" i="10"/>
  <c r="G55" i="10" s="1"/>
  <c r="D11" i="10"/>
  <c r="D7" i="3"/>
  <c r="C7" i="3"/>
  <c r="U5" i="1" s="1"/>
  <c r="D6" i="3"/>
  <c r="C6" i="3"/>
  <c r="U15" i="10" l="1"/>
  <c r="U7" i="10" s="1"/>
  <c r="T15" i="10"/>
  <c r="T7" i="10" s="1"/>
  <c r="S15" i="10"/>
  <c r="R14" i="10"/>
  <c r="D55" i="10"/>
  <c r="E55" i="10" s="1"/>
  <c r="E11" i="10"/>
  <c r="J55" i="10"/>
  <c r="T13" i="10" s="1"/>
  <c r="C8" i="3"/>
  <c r="T3" i="1"/>
  <c r="V3" i="1" s="1"/>
  <c r="R13" i="10" l="1"/>
  <c r="N60" i="10" s="1"/>
  <c r="N62" i="10" s="1"/>
  <c r="X13" i="10"/>
  <c r="S7" i="10"/>
  <c r="C21" i="3"/>
  <c r="T5" i="1"/>
  <c r="V5" i="1" s="1"/>
  <c r="C9" i="3"/>
  <c r="U7" i="1" s="1"/>
  <c r="V7" i="1" s="1"/>
  <c r="R11" i="10" l="1"/>
  <c r="S10" i="10" s="1"/>
  <c r="O60" i="10"/>
  <c r="O62" i="10"/>
  <c r="E21" i="3"/>
  <c r="F21" i="3"/>
  <c r="S11" i="10" l="1"/>
  <c r="T10" i="10" s="1"/>
  <c r="T11" i="10" s="1"/>
  <c r="U10" i="10" s="1"/>
  <c r="U11" i="10" s="1"/>
  <c r="V10" i="10" s="1"/>
  <c r="V11" i="10" s="1"/>
  <c r="W10" i="10" s="1"/>
  <c r="W11" i="10" s="1"/>
  <c r="N63" i="10"/>
  <c r="O63" i="10" s="1"/>
</calcChain>
</file>

<file path=xl/sharedStrings.xml><?xml version="1.0" encoding="utf-8"?>
<sst xmlns="http://schemas.openxmlformats.org/spreadsheetml/2006/main" count="268" uniqueCount="171">
  <si>
    <t>ITEM</t>
  </si>
  <si>
    <t>TIPO</t>
  </si>
  <si>
    <r>
      <rPr>
        <b/>
        <sz val="14"/>
        <color rgb="FFFFFFFF"/>
        <rFont val="Candara"/>
        <family val="2"/>
      </rPr>
      <t xml:space="preserve">VALOR ORÇADO </t>
    </r>
    <r>
      <rPr>
        <b/>
        <sz val="14"/>
        <color theme="9"/>
        <rFont val="Candara"/>
        <family val="2"/>
      </rPr>
      <t>VENDA</t>
    </r>
  </si>
  <si>
    <r>
      <rPr>
        <b/>
        <sz val="14"/>
        <color rgb="FFFFFFFF"/>
        <rFont val="Candara"/>
        <family val="2"/>
      </rPr>
      <t>VALOR ORÇADO</t>
    </r>
    <r>
      <rPr>
        <b/>
        <sz val="14"/>
        <color theme="5"/>
        <rFont val="Candara"/>
        <family val="2"/>
      </rPr>
      <t xml:space="preserve"> CUSTO</t>
    </r>
  </si>
  <si>
    <t>VALOR PREVISTO</t>
  </si>
  <si>
    <t>VALOR REALIZADO</t>
  </si>
  <si>
    <t>VALOR A REALIZAR</t>
  </si>
  <si>
    <t>SALDO</t>
  </si>
  <si>
    <r>
      <rPr>
        <b/>
        <sz val="12"/>
        <color rgb="FFFFFFFF"/>
        <rFont val="Candara"/>
        <family val="2"/>
      </rPr>
      <t xml:space="preserve">MARGEM 
</t>
    </r>
    <r>
      <rPr>
        <b/>
        <sz val="12"/>
        <color theme="0"/>
        <rFont val="Candara"/>
        <family val="2"/>
      </rPr>
      <t xml:space="preserve"> Venda</t>
    </r>
    <r>
      <rPr>
        <b/>
        <sz val="12"/>
        <color theme="9"/>
        <rFont val="Candara"/>
        <family val="2"/>
      </rPr>
      <t xml:space="preserve"> </t>
    </r>
    <r>
      <rPr>
        <b/>
        <sz val="12"/>
        <color rgb="FFFFFFFF"/>
        <rFont val="Candara"/>
        <family val="2"/>
      </rPr>
      <t>X Custo</t>
    </r>
  </si>
  <si>
    <t>MARGEM 
Custo X Realizado</t>
  </si>
  <si>
    <t>MARGEM 
Venda X Realizado</t>
  </si>
  <si>
    <t>TOTAL PAGO</t>
  </si>
  <si>
    <t>FAT DIRETO</t>
  </si>
  <si>
    <t>FALTA PAGAR</t>
  </si>
  <si>
    <t xml:space="preserve">Estrutura em Aço Galvanizado a frio (LSF) Z275 para área de cobertura e muretas. + Estrutura do telhado
Incluso todos os insumos como fixações, parafusos, etc. </t>
  </si>
  <si>
    <t>Material</t>
  </si>
  <si>
    <t>Mão de obra</t>
  </si>
  <si>
    <t>Pintura do aço estrutural LSF do telhado.</t>
  </si>
  <si>
    <t xml:space="preserve">Pintura e fornecimento de material Stain em portão de Pinus fornecido pelo cliente. </t>
  </si>
  <si>
    <t>Execução de Portão em Pinus - Sendo 2 por baia e fornecimento das madeiras pelo cliente.Trilho para portão, 1 por baia</t>
  </si>
  <si>
    <t>Fechamento em placas cimenticias na parte interna das baias incluindo tratamento de superfície com basecoat.</t>
  </si>
  <si>
    <t>Fechamento em reguas de pinus nas paredes externas das baias - Fornecimento da madeira pelo cliente.</t>
  </si>
  <si>
    <t>Pintura dos fechamentos internos em placas cimentícias com acabamento em cimento queimado.</t>
  </si>
  <si>
    <t>Pintura em Stain das paredes externas em reguas de pinus.</t>
  </si>
  <si>
    <t>Estruturação e verticalização de Pilares roliços de tronco de eucalipto para apoio da estrutura LSF incluindo sapatas e concreto armado</t>
  </si>
  <si>
    <t>Execução de 02 corredores de passagem com 2 metros de largura cada em concreto desempenado camurçado, incluso concreto, no perímetro das baias.</t>
  </si>
  <si>
    <t>Revestimento em pedra moledo em pilares em até 1m de altura</t>
  </si>
  <si>
    <t>Instalação de um ponto de luz em cada baia e um ponto de luz em cada pilar de eucalipto. (O fornecimento das luminárias pelo cliente)</t>
  </si>
  <si>
    <t>Instalação de telha Shingle</t>
  </si>
  <si>
    <t>Execução de cercado em todas a baias com 2 réguas de tábua e pilares de 12x12cm - fornecimento das réguas de tábua e pilares pelo cliente e fixadores pela VEKS Engenharia.</t>
  </si>
  <si>
    <t>Pintura em Stain do cercado das baias.</t>
  </si>
  <si>
    <t>Execução de um ponto hidraulico por baia para bebedouro</t>
  </si>
  <si>
    <r>
      <rPr>
        <b/>
        <sz val="11"/>
        <color theme="1"/>
        <rFont val="Candara"/>
        <family val="2"/>
      </rPr>
      <t>Execução de casa de gourmet apoio</t>
    </r>
    <r>
      <rPr>
        <sz val="11"/>
        <color theme="1"/>
        <rFont val="Candara"/>
        <family val="2"/>
      </rPr>
      <t xml:space="preserve">
-Projeto de Fundação e Projeto LSF
-Fundação
-Aço engenheirado
-Fechamento interno e externo
-Forro
-Elétrica
-Hidraulico
-Pintura de madeira em Stain</t>
    </r>
  </si>
  <si>
    <t>Projetos de Fundação, LSF e Metalica pesada</t>
  </si>
  <si>
    <t>Custo de equipe de gerenciamento em campo (Logistica)</t>
  </si>
  <si>
    <t>Custos equipe (alimentação + transporte + outros)</t>
  </si>
  <si>
    <t>TOTAL</t>
  </si>
  <si>
    <t>CUSTO</t>
  </si>
  <si>
    <t>VENDA</t>
  </si>
  <si>
    <t>MATERIAL</t>
  </si>
  <si>
    <t>MÃO DE OBRA</t>
  </si>
  <si>
    <t>RESUMO CUSTOS</t>
  </si>
  <si>
    <t>VALOR</t>
  </si>
  <si>
    <t>TOTAL PROPOSTA ORÇ.</t>
  </si>
  <si>
    <t>Entrada 12/06</t>
  </si>
  <si>
    <t>VALOR CUSTO ORÇ.</t>
  </si>
  <si>
    <t>Entrada 16/06</t>
  </si>
  <si>
    <t>TOTAL REALIZADO</t>
  </si>
  <si>
    <t>Medição 1 - 10/07</t>
  </si>
  <si>
    <t>TOTAL A REALIZAR</t>
  </si>
  <si>
    <t>Medição 2 - 10/08</t>
  </si>
  <si>
    <t>CUSTO REAL DA OBRA</t>
  </si>
  <si>
    <t>Medição 3 - 10/09</t>
  </si>
  <si>
    <t>VERBA DISPONIVEL</t>
  </si>
  <si>
    <t>Medição 4 - 05/10</t>
  </si>
  <si>
    <t>Medição 5 - 20/11</t>
  </si>
  <si>
    <t>FATURAMENTO DIRETO</t>
  </si>
  <si>
    <t>VALOR RECEBIDO</t>
  </si>
  <si>
    <t>VALOR A RECEBER</t>
  </si>
  <si>
    <t>MARGEM PREVISTA</t>
  </si>
  <si>
    <t>MARGEM LIQUIDA</t>
  </si>
  <si>
    <t>ADMINISTRAÇÃO</t>
  </si>
  <si>
    <t>EMPRESTIMO</t>
  </si>
  <si>
    <t>MARGEM REAL</t>
  </si>
  <si>
    <t>LUCRO LIQUIDO</t>
  </si>
  <si>
    <t>IMPOSTOS</t>
  </si>
  <si>
    <t>TOTAL PROJETADO</t>
  </si>
  <si>
    <t>Mês 06</t>
  </si>
  <si>
    <t>Mês 07</t>
  </si>
  <si>
    <t>Mês 08</t>
  </si>
  <si>
    <t>Mês 09</t>
  </si>
  <si>
    <t>CAIXA INICIAL</t>
  </si>
  <si>
    <t>GASTO VEKS</t>
  </si>
  <si>
    <t>CAIXA FINAL</t>
  </si>
  <si>
    <t>IMPOSTO</t>
  </si>
  <si>
    <t>% IMPOSTOS</t>
  </si>
  <si>
    <t xml:space="preserve">ISS </t>
  </si>
  <si>
    <t>DAS</t>
  </si>
  <si>
    <t>Tipo</t>
  </si>
  <si>
    <t>Descrição</t>
  </si>
  <si>
    <t>Mês</t>
  </si>
  <si>
    <t>Valor</t>
  </si>
  <si>
    <t>Rótulos de Linha</t>
  </si>
  <si>
    <t>Soma de Valor</t>
  </si>
  <si>
    <t>(vazio)</t>
  </si>
  <si>
    <t>Total Geral</t>
  </si>
  <si>
    <t>Visita em obra</t>
  </si>
  <si>
    <t>Alan e Paulo (Carro da empresa)</t>
  </si>
  <si>
    <t>Projetos (Realizado)</t>
  </si>
  <si>
    <t xml:space="preserve">Projeto para metalica de cobertura </t>
  </si>
  <si>
    <t>Projeto fundação</t>
  </si>
  <si>
    <t>Projeto de LSF</t>
  </si>
  <si>
    <t>Projetos (A realizar)</t>
  </si>
  <si>
    <t>NF</t>
  </si>
  <si>
    <t>CRONOGRAMA FÍSICO-FINANCEIRO — POR ETAPA (reorganizado da aba Previsao)</t>
  </si>
  <si>
    <t>Mesmos custos da Previsao, ordenados por sequência de obra (EAP) em vez de por mês. Veks = desembolso Veks · Fat = faturamento direto.</t>
  </si>
  <si>
    <t>Etapa / Item</t>
  </si>
  <si>
    <t>Veks (R$)</t>
  </si>
  <si>
    <t>Fat Direto (R$)</t>
  </si>
  <si>
    <t>Total (R$)</t>
  </si>
  <si>
    <t xml:space="preserve">% </t>
  </si>
  <si>
    <t>jun</t>
  </si>
  <si>
    <t>jul</t>
  </si>
  <si>
    <t>ago</t>
  </si>
  <si>
    <t>set</t>
  </si>
  <si>
    <t>out</t>
  </si>
  <si>
    <t>Preliminares e projetos</t>
  </si>
  <si>
    <t xml:space="preserve">   CUSTOS EXTERNOS</t>
  </si>
  <si>
    <t xml:space="preserve">   PROJETOS</t>
  </si>
  <si>
    <t xml:space="preserve">   TOPOGRAFO</t>
  </si>
  <si>
    <t xml:space="preserve">   ASO FUNC.</t>
  </si>
  <si>
    <t xml:space="preserve">   PGR | PCMSO</t>
  </si>
  <si>
    <t>Fundação</t>
  </si>
  <si>
    <t xml:space="preserve">   M.O FUNDAÇÃO</t>
  </si>
  <si>
    <t xml:space="preserve">   MATERIAL FUNDAÇÃO</t>
  </si>
  <si>
    <t xml:space="preserve">   RETROESCAVADEIRA</t>
  </si>
  <si>
    <t xml:space="preserve">   MUNCK</t>
  </si>
  <si>
    <t xml:space="preserve">   PERFURATRIZ</t>
  </si>
  <si>
    <t>Estrutura metálica (cobertura)</t>
  </si>
  <si>
    <t>Estrutura LSF (baias)</t>
  </si>
  <si>
    <t xml:space="preserve">   AÇO LSF</t>
  </si>
  <si>
    <t xml:space="preserve">   M.O AÇO LSF</t>
  </si>
  <si>
    <t>Cobertura (Shingle)</t>
  </si>
  <si>
    <t xml:space="preserve">   M.O SHINGLE</t>
  </si>
  <si>
    <t>Fechamentos</t>
  </si>
  <si>
    <t xml:space="preserve">   MATERIAIS DE PLACA CIMENTICIA</t>
  </si>
  <si>
    <t xml:space="preserve">   M.O PLAQUEAMENTO</t>
  </si>
  <si>
    <t xml:space="preserve">   BASECOAT</t>
  </si>
  <si>
    <t>Pintura / Stain</t>
  </si>
  <si>
    <t xml:space="preserve">   PINTURA Estrutura</t>
  </si>
  <si>
    <t xml:space="preserve">   M.O APLICAÇÃO DE STAIN</t>
  </si>
  <si>
    <t xml:space="preserve">   MATERIAL STAIN</t>
  </si>
  <si>
    <t>Portões</t>
  </si>
  <si>
    <t xml:space="preserve">   CARPINTARIA</t>
  </si>
  <si>
    <t>Pedra moledo</t>
  </si>
  <si>
    <t>Hidráulica</t>
  </si>
  <si>
    <t xml:space="preserve">   M.O HIDRAULICA</t>
  </si>
  <si>
    <t xml:space="preserve">   MATERIAL HIDRAULICO</t>
  </si>
  <si>
    <t>Elétrica</t>
  </si>
  <si>
    <t xml:space="preserve">   M.O ELÉTRICA</t>
  </si>
  <si>
    <t xml:space="preserve">   MATERIAL ELÉTRICO</t>
  </si>
  <si>
    <t>Indiretos / gestão (período)</t>
  </si>
  <si>
    <t xml:space="preserve">   ESCRITÓRIO</t>
  </si>
  <si>
    <t xml:space="preserve">   EMPRESTIMO</t>
  </si>
  <si>
    <t xml:space="preserve">   MISCELANEA</t>
  </si>
  <si>
    <t xml:space="preserve">   ESTADIA</t>
  </si>
  <si>
    <t xml:space="preserve">   REFEIÇÃO</t>
  </si>
  <si>
    <t xml:space="preserve">   REFEIÇÃO EQUIPE PLAQ.</t>
  </si>
  <si>
    <t xml:space="preserve">   REFEIÇÃO LSF</t>
  </si>
  <si>
    <t xml:space="preserve">   ENCARREGADO</t>
  </si>
  <si>
    <t xml:space="preserve">   CARRO ALUGADO</t>
  </si>
  <si>
    <t xml:space="preserve">   REFEIÇÃO ENCARREGADO</t>
  </si>
  <si>
    <t>TOTAL GERAL</t>
  </si>
  <si>
    <t>Nov</t>
  </si>
  <si>
    <t>Total</t>
  </si>
  <si>
    <t xml:space="preserve">Fat Direto </t>
  </si>
  <si>
    <t xml:space="preserve">Veks </t>
  </si>
  <si>
    <t>MEDIÇÕES</t>
  </si>
  <si>
    <t>ENTRADA</t>
  </si>
  <si>
    <t>Item</t>
  </si>
  <si>
    <t>Custo total</t>
  </si>
  <si>
    <t>Imposto</t>
  </si>
  <si>
    <t>Lucro Bruto</t>
  </si>
  <si>
    <t>Lucro liquido</t>
  </si>
  <si>
    <t>Venda</t>
  </si>
  <si>
    <t>%</t>
  </si>
  <si>
    <t>Resumo mês</t>
  </si>
  <si>
    <t xml:space="preserve">   MATERIAL FUNDAÇÃO - FERRAGEM</t>
  </si>
  <si>
    <t xml:space="preserve">  MATERIAL ESTRUTURA METALICA COB.</t>
  </si>
  <si>
    <t xml:space="preserve">  M.O ESTRUTURA METALICA COB. </t>
  </si>
  <si>
    <t>ESTRUTURA NA TORA PARA PEDRA MOLEDO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</si>
</sst>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</numFmts>
  <fonts count="48" x14ac:knownFonts="1">
    <font>
      <sz val="11"/>
      <color theme="1"/>
      <name val="Calibri"/>
      <scheme val="minor"/>
    </font>
    <font>
      <sz val="11"/>
      <color theme="1"/>
      <name val="Candara"/>
      <family val="2"/>
    </font>
    <font>
      <b/>
      <sz val="14"/>
      <color rgb="FFFFFFFF"/>
      <name val="Candara"/>
      <family val="2"/>
    </font>
    <font>
      <sz val="11"/>
      <name val="Calibri"/>
      <family val="2"/>
    </font>
    <font>
      <b/>
      <sz val="12"/>
      <color theme="1"/>
      <name val="Candara"/>
      <family val="2"/>
    </font>
    <font>
      <b/>
      <sz val="12"/>
      <color rgb="FFFFFFFF"/>
      <name val="Candara"/>
      <family val="2"/>
    </font>
    <font>
      <b/>
      <sz val="11"/>
      <color theme="1"/>
      <name val="Candara"/>
      <family val="2"/>
    </font>
    <font>
      <b/>
      <sz val="14"/>
      <color theme="1"/>
      <name val="Candar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ndara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1"/>
      <color rgb="FFFF0000"/>
      <name val="Candara"/>
      <family val="2"/>
    </font>
    <font>
      <b/>
      <sz val="11"/>
      <color rgb="FF00B050"/>
      <name val="Candara"/>
      <family val="2"/>
    </font>
    <font>
      <b/>
      <sz val="11"/>
      <color rgb="FFFF0000"/>
      <name val="Candara"/>
      <family val="2"/>
    </font>
    <font>
      <sz val="11"/>
      <color rgb="FFFF0000"/>
      <name val="Calibri"/>
      <family val="2"/>
    </font>
    <font>
      <sz val="10"/>
      <color theme="1"/>
      <name val="Candara"/>
      <family val="2"/>
    </font>
    <font>
      <i/>
      <sz val="10"/>
      <color theme="1"/>
      <name val="Candara"/>
      <family val="2"/>
    </font>
    <font>
      <b/>
      <sz val="14"/>
      <color theme="9"/>
      <name val="Candara"/>
      <family val="2"/>
    </font>
    <font>
      <b/>
      <sz val="14"/>
      <color theme="5"/>
      <name val="Candara"/>
      <family val="2"/>
    </font>
    <font>
      <b/>
      <sz val="12"/>
      <color theme="0"/>
      <name val="Candara"/>
      <family val="2"/>
    </font>
    <font>
      <b/>
      <sz val="12"/>
      <color theme="9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ndar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595959"/>
        <bgColor rgb="FF595959"/>
      </patternFill>
    </fill>
    <fill>
      <patternFill patternType="solid">
        <fgColor rgb="FF548135"/>
        <bgColor rgb="FF548135"/>
      </patternFill>
    </fill>
    <fill>
      <patternFill patternType="solid">
        <fgColor rgb="FFC55A11"/>
        <bgColor rgb="FFC55A11"/>
      </patternFill>
    </fill>
    <fill>
      <patternFill patternType="solid">
        <fgColor rgb="FFBF9000"/>
        <bgColor rgb="FFBF9000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  <fill>
      <patternFill patternType="solid">
        <fgColor rgb="FFA8D08D"/>
        <bgColor rgb="FFA8D08D"/>
      </patternFill>
    </fill>
    <fill>
      <patternFill patternType="solid">
        <fgColor rgb="FFFFFF66"/>
        <bgColor rgb="FFFFFF66"/>
      </patternFill>
    </fill>
    <fill>
      <patternFill patternType="solid">
        <fgColor rgb="FFD9E2F3"/>
        <bgColor rgb="FFD9E2F3"/>
      </patternFill>
    </fill>
    <fill>
      <patternFill patternType="solid">
        <fgColor rgb="FFFFFF8B"/>
        <bgColor rgb="FFFFFF8B"/>
      </patternFill>
    </fill>
    <fill>
      <patternFill patternType="solid">
        <fgColor rgb="FFFF8F8F"/>
        <bgColor rgb="FFFF8F8F"/>
      </patternFill>
    </fill>
    <fill>
      <patternFill patternType="solid">
        <fgColor rgb="FFF4B083"/>
        <bgColor rgb="FFF4B083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6E0F0"/>
        <bgColor rgb="FFD9D9D9"/>
      </patternFill>
    </fill>
    <fill>
      <patternFill patternType="solid">
        <fgColor rgb="FFBDD7EE"/>
        <bgColor rgb="FFD6E0F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9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BFBFBF"/>
      </left>
      <right/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hair">
        <color indexed="64"/>
      </right>
      <top style="thin">
        <color rgb="FFBFBFBF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thin">
        <color rgb="FFBFBFBF"/>
      </right>
      <top style="medium">
        <color indexed="64"/>
      </top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rgb="FFBFBFBF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BFBFBF"/>
      </right>
      <top/>
      <bottom style="hair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BFBFBF"/>
      </right>
      <top style="medium">
        <color indexed="64"/>
      </top>
      <bottom/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hair">
        <color indexed="64"/>
      </bottom>
      <diagonal/>
    </border>
    <border>
      <left style="thin">
        <color rgb="FFBFBFBF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FBFBF"/>
      </left>
      <right style="medium">
        <color indexed="64"/>
      </right>
      <top/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hair">
        <color indexed="64"/>
      </top>
      <bottom style="hair">
        <color indexed="64"/>
      </bottom>
      <diagonal/>
    </border>
    <border>
      <left style="thin">
        <color rgb="FFBFBFBF"/>
      </left>
      <right style="thin">
        <color rgb="FFBFBFBF"/>
      </right>
      <top style="hair">
        <color indexed="64"/>
      </top>
      <bottom/>
      <diagonal/>
    </border>
    <border>
      <left style="thin">
        <color rgb="FFBFBFBF"/>
      </left>
      <right style="medium">
        <color indexed="64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hair">
        <color indexed="64"/>
      </left>
      <right style="thin">
        <color rgb="FFBFBFBF"/>
      </right>
      <top style="hair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hair">
        <color indexed="64"/>
      </top>
      <bottom style="thin">
        <color rgb="FFBFBFBF"/>
      </bottom>
      <diagonal/>
    </border>
    <border>
      <left style="hair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indexed="64"/>
      </left>
      <right style="thin">
        <color rgb="FFBFBFBF"/>
      </right>
      <top style="thin">
        <color rgb="FFBFBFBF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rgb="FFBFBFBF"/>
      </bottom>
      <diagonal/>
    </border>
    <border>
      <left style="medium">
        <color indexed="64"/>
      </left>
      <right style="hair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hair">
        <color indexed="64"/>
      </top>
      <bottom style="thin">
        <color rgb="FFBFBFBF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rgb="FFBFBFBF"/>
      </right>
      <top style="hair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hair">
        <color indexed="64"/>
      </top>
      <bottom style="medium">
        <color indexed="64"/>
      </bottom>
      <diagonal/>
    </border>
    <border>
      <left style="thin">
        <color rgb="FFBFBFBF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rgb="FFBFBFBF"/>
      </right>
      <top style="hair">
        <color indexed="64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thin">
        <color rgb="FFBFBFBF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44" fontId="24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319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/>
    </xf>
    <xf numFmtId="164" fontId="1" fillId="7" borderId="7" xfId="0" applyNumberFormat="1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8" borderId="7" xfId="0" applyNumberFormat="1" applyFont="1" applyFill="1" applyBorder="1" applyAlignment="1">
      <alignment horizontal="center" vertical="center"/>
    </xf>
    <xf numFmtId="164" fontId="6" fillId="9" borderId="7" xfId="0" applyNumberFormat="1" applyFont="1" applyFill="1" applyBorder="1" applyAlignment="1">
      <alignment horizontal="center" vertical="center"/>
    </xf>
    <xf numFmtId="164" fontId="6" fillId="10" borderId="7" xfId="0" applyNumberFormat="1" applyFont="1" applyFill="1" applyBorder="1" applyAlignment="1">
      <alignment horizontal="center" vertical="center"/>
    </xf>
    <xf numFmtId="164" fontId="4" fillId="11" borderId="7" xfId="0" applyNumberFormat="1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164" fontId="1" fillId="7" borderId="11" xfId="0" applyNumberFormat="1" applyFont="1" applyFill="1" applyBorder="1" applyAlignment="1">
      <alignment horizontal="center" vertical="center"/>
    </xf>
    <xf numFmtId="164" fontId="1" fillId="8" borderId="11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164" fontId="1" fillId="8" borderId="15" xfId="0" applyNumberFormat="1" applyFont="1" applyFill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164" fontId="7" fillId="0" borderId="15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8" fillId="7" borderId="17" xfId="0" applyFont="1" applyFill="1" applyBorder="1"/>
    <xf numFmtId="0" fontId="9" fillId="7" borderId="17" xfId="0" applyFont="1" applyFill="1" applyBorder="1" applyAlignment="1">
      <alignment horizontal="center"/>
    </xf>
    <xf numFmtId="164" fontId="8" fillId="7" borderId="17" xfId="0" applyNumberFormat="1" applyFont="1" applyFill="1" applyBorder="1"/>
    <xf numFmtId="164" fontId="10" fillId="0" borderId="0" xfId="0" applyNumberFormat="1" applyFont="1" applyAlignment="1">
      <alignment vertical="center"/>
    </xf>
    <xf numFmtId="0" fontId="9" fillId="12" borderId="17" xfId="0" applyFont="1" applyFill="1" applyBorder="1" applyAlignment="1">
      <alignment horizontal="center" vertical="center"/>
    </xf>
    <xf numFmtId="164" fontId="9" fillId="12" borderId="1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12" fillId="2" borderId="17" xfId="0" applyFont="1" applyFill="1" applyBorder="1"/>
    <xf numFmtId="164" fontId="12" fillId="2" borderId="17" xfId="0" applyNumberFormat="1" applyFont="1" applyFill="1" applyBorder="1"/>
    <xf numFmtId="164" fontId="1" fillId="13" borderId="17" xfId="0" applyNumberFormat="1" applyFont="1" applyFill="1" applyBorder="1" applyAlignment="1">
      <alignment horizontal="center" vertical="center"/>
    </xf>
    <xf numFmtId="9" fontId="1" fillId="13" borderId="17" xfId="0" applyNumberFormat="1" applyFont="1" applyFill="1" applyBorder="1" applyAlignment="1">
      <alignment horizontal="center" vertical="center"/>
    </xf>
    <xf numFmtId="164" fontId="1" fillId="13" borderId="17" xfId="0" applyNumberFormat="1" applyFont="1" applyFill="1" applyBorder="1" applyAlignment="1">
      <alignment vertical="center"/>
    </xf>
    <xf numFmtId="0" fontId="13" fillId="14" borderId="17" xfId="0" applyFont="1" applyFill="1" applyBorder="1" applyAlignment="1">
      <alignment vertical="center"/>
    </xf>
    <xf numFmtId="164" fontId="13" fillId="14" borderId="17" xfId="0" applyNumberFormat="1" applyFont="1" applyFill="1" applyBorder="1" applyAlignment="1">
      <alignment vertical="center"/>
    </xf>
    <xf numFmtId="0" fontId="13" fillId="15" borderId="17" xfId="0" applyFont="1" applyFill="1" applyBorder="1"/>
    <xf numFmtId="164" fontId="13" fillId="15" borderId="17" xfId="0" applyNumberFormat="1" applyFont="1" applyFill="1" applyBorder="1"/>
    <xf numFmtId="164" fontId="1" fillId="16" borderId="17" xfId="0" applyNumberFormat="1" applyFont="1" applyFill="1" applyBorder="1" applyAlignment="1">
      <alignment horizontal="center" vertical="center"/>
    </xf>
    <xf numFmtId="9" fontId="1" fillId="16" borderId="17" xfId="0" applyNumberFormat="1" applyFont="1" applyFill="1" applyBorder="1" applyAlignment="1">
      <alignment horizontal="center" vertical="center"/>
    </xf>
    <xf numFmtId="164" fontId="1" fillId="16" borderId="17" xfId="0" applyNumberFormat="1" applyFont="1" applyFill="1" applyBorder="1" applyAlignment="1">
      <alignment vertical="center"/>
    </xf>
    <xf numFmtId="0" fontId="13" fillId="17" borderId="17" xfId="0" applyFont="1" applyFill="1" applyBorder="1"/>
    <xf numFmtId="164" fontId="13" fillId="17" borderId="17" xfId="0" applyNumberFormat="1" applyFont="1" applyFill="1" applyBorder="1"/>
    <xf numFmtId="0" fontId="13" fillId="13" borderId="17" xfId="0" applyFont="1" applyFill="1" applyBorder="1"/>
    <xf numFmtId="164" fontId="13" fillId="13" borderId="17" xfId="0" applyNumberFormat="1" applyFont="1" applyFill="1" applyBorder="1"/>
    <xf numFmtId="0" fontId="10" fillId="0" borderId="0" xfId="0" applyFont="1" applyAlignment="1">
      <alignment vertical="center"/>
    </xf>
    <xf numFmtId="164" fontId="1" fillId="16" borderId="23" xfId="0" applyNumberFormat="1" applyFont="1" applyFill="1" applyBorder="1" applyAlignment="1">
      <alignment horizontal="center" vertical="center"/>
    </xf>
    <xf numFmtId="9" fontId="1" fillId="16" borderId="23" xfId="0" applyNumberFormat="1" applyFont="1" applyFill="1" applyBorder="1" applyAlignment="1">
      <alignment horizontal="center" vertical="center"/>
    </xf>
    <xf numFmtId="164" fontId="1" fillId="16" borderId="23" xfId="0" applyNumberFormat="1" applyFont="1" applyFill="1" applyBorder="1" applyAlignment="1">
      <alignment vertical="center"/>
    </xf>
    <xf numFmtId="0" fontId="13" fillId="15" borderId="17" xfId="0" applyFont="1" applyFill="1" applyBorder="1" applyAlignment="1">
      <alignment vertical="center"/>
    </xf>
    <xf numFmtId="164" fontId="13" fillId="15" borderId="17" xfId="0" applyNumberFormat="1" applyFont="1" applyFill="1" applyBorder="1" applyAlignment="1">
      <alignment vertical="center"/>
    </xf>
    <xf numFmtId="0" fontId="13" fillId="18" borderId="17" xfId="0" applyFont="1" applyFill="1" applyBorder="1" applyAlignment="1">
      <alignment vertical="center"/>
    </xf>
    <xf numFmtId="164" fontId="13" fillId="18" borderId="17" xfId="0" applyNumberFormat="1" applyFont="1" applyFill="1" applyBorder="1" applyAlignment="1">
      <alignment vertical="center"/>
    </xf>
    <xf numFmtId="164" fontId="14" fillId="0" borderId="0" xfId="0" applyNumberFormat="1" applyFont="1" applyAlignment="1">
      <alignment vertical="center"/>
    </xf>
    <xf numFmtId="0" fontId="6" fillId="20" borderId="17" xfId="0" applyFont="1" applyFill="1" applyBorder="1" applyAlignment="1">
      <alignment vertical="center"/>
    </xf>
    <xf numFmtId="164" fontId="6" fillId="20" borderId="17" xfId="0" applyNumberFormat="1" applyFont="1" applyFill="1" applyBorder="1" applyAlignment="1">
      <alignment vertical="center"/>
    </xf>
    <xf numFmtId="9" fontId="1" fillId="0" borderId="0" xfId="0" applyNumberFormat="1" applyFont="1" applyAlignment="1">
      <alignment vertical="center"/>
    </xf>
    <xf numFmtId="0" fontId="1" fillId="20" borderId="17" xfId="0" applyFont="1" applyFill="1" applyBorder="1" applyAlignment="1">
      <alignment vertical="center"/>
    </xf>
    <xf numFmtId="164" fontId="1" fillId="20" borderId="17" xfId="0" applyNumberFormat="1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8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8" fillId="0" borderId="20" xfId="0" applyFont="1" applyFill="1" applyBorder="1"/>
    <xf numFmtId="164" fontId="9" fillId="0" borderId="20" xfId="0" applyNumberFormat="1" applyFont="1" applyFill="1" applyBorder="1"/>
    <xf numFmtId="9" fontId="8" fillId="0" borderId="20" xfId="0" applyNumberFormat="1" applyFont="1" applyFill="1" applyBorder="1"/>
    <xf numFmtId="164" fontId="8" fillId="0" borderId="20" xfId="0" applyNumberFormat="1" applyFont="1" applyFill="1" applyBorder="1"/>
    <xf numFmtId="9" fontId="9" fillId="0" borderId="20" xfId="0" applyNumberFormat="1" applyFont="1" applyFill="1" applyBorder="1"/>
    <xf numFmtId="10" fontId="8" fillId="0" borderId="20" xfId="0" applyNumberFormat="1" applyFont="1" applyFill="1" applyBorder="1"/>
    <xf numFmtId="10" fontId="9" fillId="0" borderId="20" xfId="0" applyNumberFormat="1" applyFont="1" applyFill="1" applyBorder="1"/>
    <xf numFmtId="0" fontId="9" fillId="0" borderId="20" xfId="0" applyFont="1" applyFill="1" applyBorder="1" applyAlignment="1">
      <alignment horizontal="center"/>
    </xf>
    <xf numFmtId="44" fontId="9" fillId="0" borderId="20" xfId="1" applyFont="1" applyFill="1" applyBorder="1" applyAlignment="1">
      <alignment horizontal="center"/>
    </xf>
    <xf numFmtId="44" fontId="8" fillId="0" borderId="20" xfId="1" applyFont="1" applyFill="1" applyBorder="1" applyAlignment="1">
      <alignment horizontal="center"/>
    </xf>
    <xf numFmtId="0" fontId="8" fillId="0" borderId="20" xfId="0" applyFont="1" applyFill="1" applyBorder="1" applyAlignment="1">
      <alignment horizontal="center"/>
    </xf>
    <xf numFmtId="44" fontId="17" fillId="0" borderId="20" xfId="1" applyFont="1" applyFill="1" applyBorder="1" applyAlignment="1">
      <alignment horizontal="center"/>
    </xf>
    <xf numFmtId="0" fontId="17" fillId="0" borderId="20" xfId="0" applyFont="1" applyFill="1" applyBorder="1" applyAlignment="1">
      <alignment horizontal="center"/>
    </xf>
    <xf numFmtId="0" fontId="0" fillId="0" borderId="20" xfId="0" applyFont="1" applyFill="1" applyBorder="1" applyAlignment="1"/>
    <xf numFmtId="44" fontId="0" fillId="0" borderId="0" xfId="1" applyFont="1"/>
    <xf numFmtId="44" fontId="31" fillId="24" borderId="28" xfId="1" applyFont="1" applyFill="1" applyBorder="1"/>
    <xf numFmtId="44" fontId="32" fillId="0" borderId="28" xfId="1" applyFont="1" applyBorder="1"/>
    <xf numFmtId="0" fontId="0" fillId="0" borderId="0" xfId="0" applyFill="1"/>
    <xf numFmtId="0" fontId="0" fillId="0" borderId="20" xfId="0" applyBorder="1"/>
    <xf numFmtId="44" fontId="32" fillId="0" borderId="30" xfId="1" applyFont="1" applyBorder="1"/>
    <xf numFmtId="44" fontId="32" fillId="0" borderId="50" xfId="1" applyFont="1" applyBorder="1"/>
    <xf numFmtId="44" fontId="32" fillId="0" borderId="51" xfId="1" applyFont="1" applyBorder="1"/>
    <xf numFmtId="44" fontId="32" fillId="0" borderId="52" xfId="1" applyFont="1" applyBorder="1"/>
    <xf numFmtId="44" fontId="31" fillId="24" borderId="51" xfId="1" applyFont="1" applyFill="1" applyBorder="1"/>
    <xf numFmtId="44" fontId="31" fillId="24" borderId="52" xfId="1" applyFont="1" applyFill="1" applyBorder="1"/>
    <xf numFmtId="44" fontId="29" fillId="23" borderId="55" xfId="1" applyFont="1" applyFill="1" applyBorder="1" applyAlignment="1">
      <alignment horizontal="center" vertical="center" wrapText="1"/>
    </xf>
    <xf numFmtId="16" fontId="38" fillId="0" borderId="0" xfId="0" applyNumberFormat="1" applyFont="1"/>
    <xf numFmtId="0" fontId="38" fillId="0" borderId="0" xfId="0" applyFont="1" applyAlignment="1">
      <alignment horizontal="left" vertical="center"/>
    </xf>
    <xf numFmtId="16" fontId="38" fillId="0" borderId="0" xfId="0" applyNumberFormat="1" applyFont="1" applyAlignment="1">
      <alignment horizontal="center" vertical="center"/>
    </xf>
    <xf numFmtId="44" fontId="38" fillId="0" borderId="0" xfId="0" applyNumberFormat="1" applyFont="1" applyAlignment="1">
      <alignment horizontal="center" vertical="center"/>
    </xf>
    <xf numFmtId="44" fontId="1" fillId="0" borderId="0" xfId="0" applyNumberFormat="1" applyFont="1"/>
    <xf numFmtId="0" fontId="38" fillId="0" borderId="0" xfId="0" applyFont="1" applyAlignment="1">
      <alignment horizontal="center" vertical="center"/>
    </xf>
    <xf numFmtId="0" fontId="38" fillId="0" borderId="0" xfId="0" applyFont="1"/>
    <xf numFmtId="0" fontId="1" fillId="0" borderId="0" xfId="0" pivotButton="1" applyFont="1"/>
    <xf numFmtId="44" fontId="1" fillId="0" borderId="0" xfId="1" applyFont="1" applyAlignment="1">
      <alignment horizontal="center" vertical="center"/>
    </xf>
    <xf numFmtId="44" fontId="1" fillId="0" borderId="0" xfId="1" applyFont="1" applyFill="1" applyAlignment="1">
      <alignment horizontal="center" vertical="center"/>
    </xf>
    <xf numFmtId="14" fontId="38" fillId="0" borderId="0" xfId="0" applyNumberFormat="1" applyFont="1" applyAlignment="1">
      <alignment horizontal="center" vertical="center"/>
    </xf>
    <xf numFmtId="44" fontId="38" fillId="0" borderId="0" xfId="1" applyFont="1" applyFill="1" applyAlignment="1">
      <alignment horizontal="center" vertical="center"/>
    </xf>
    <xf numFmtId="0" fontId="19" fillId="21" borderId="0" xfId="0" applyFont="1" applyFill="1"/>
    <xf numFmtId="0" fontId="38" fillId="21" borderId="0" xfId="0" applyFont="1" applyFill="1"/>
    <xf numFmtId="0" fontId="1" fillId="21" borderId="0" xfId="0" applyFont="1" applyFill="1"/>
    <xf numFmtId="14" fontId="1" fillId="21" borderId="0" xfId="0" applyNumberFormat="1" applyFont="1" applyFill="1" applyAlignment="1">
      <alignment horizontal="center" vertical="center"/>
    </xf>
    <xf numFmtId="44" fontId="1" fillId="21" borderId="0" xfId="1" applyFont="1" applyFill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0" fontId="38" fillId="0" borderId="0" xfId="0" applyFont="1" applyAlignment="1">
      <alignment vertical="center"/>
    </xf>
    <xf numFmtId="0" fontId="38" fillId="27" borderId="0" xfId="0" applyFont="1" applyFill="1"/>
    <xf numFmtId="14" fontId="38" fillId="27" borderId="0" xfId="0" applyNumberFormat="1" applyFont="1" applyFill="1" applyAlignment="1">
      <alignment horizontal="center" vertical="center"/>
    </xf>
    <xf numFmtId="44" fontId="38" fillId="27" borderId="0" xfId="1" applyFont="1" applyFill="1" applyAlignment="1">
      <alignment horizontal="center" vertical="center"/>
    </xf>
    <xf numFmtId="44" fontId="1" fillId="27" borderId="0" xfId="1" applyFont="1" applyFill="1" applyAlignment="1">
      <alignment horizontal="center" vertical="center"/>
    </xf>
    <xf numFmtId="14" fontId="1" fillId="27" borderId="0" xfId="0" applyNumberFormat="1" applyFont="1" applyFill="1" applyAlignment="1">
      <alignment horizontal="center" vertical="center"/>
    </xf>
    <xf numFmtId="0" fontId="1" fillId="27" borderId="0" xfId="0" applyFont="1" applyFill="1"/>
    <xf numFmtId="9" fontId="32" fillId="0" borderId="28" xfId="2" applyFont="1" applyBorder="1"/>
    <xf numFmtId="10" fontId="31" fillId="24" borderId="52" xfId="2" applyNumberFormat="1" applyFont="1" applyFill="1" applyBorder="1"/>
    <xf numFmtId="10" fontId="32" fillId="0" borderId="52" xfId="2" applyNumberFormat="1" applyFont="1" applyBorder="1"/>
    <xf numFmtId="10" fontId="31" fillId="24" borderId="51" xfId="2" applyNumberFormat="1" applyFont="1" applyFill="1" applyBorder="1" applyAlignment="1">
      <alignment horizontal="center"/>
    </xf>
    <xf numFmtId="10" fontId="0" fillId="0" borderId="0" xfId="1" applyNumberFormat="1" applyFont="1"/>
    <xf numFmtId="10" fontId="32" fillId="0" borderId="28" xfId="2" applyNumberFormat="1" applyFont="1" applyBorder="1"/>
    <xf numFmtId="0" fontId="32" fillId="0" borderId="51" xfId="0" applyFont="1" applyBorder="1" applyAlignment="1">
      <alignment horizontal="center" vertical="center" wrapText="1"/>
    </xf>
    <xf numFmtId="44" fontId="29" fillId="23" borderId="49" xfId="1" applyFont="1" applyFill="1" applyBorder="1" applyAlignment="1">
      <alignment horizontal="center" vertical="center" wrapText="1"/>
    </xf>
    <xf numFmtId="9" fontId="0" fillId="0" borderId="44" xfId="2" applyFont="1" applyBorder="1" applyAlignment="1">
      <alignment horizontal="center"/>
    </xf>
    <xf numFmtId="9" fontId="0" fillId="0" borderId="46" xfId="2" applyFont="1" applyBorder="1" applyAlignment="1">
      <alignment horizontal="center"/>
    </xf>
    <xf numFmtId="44" fontId="29" fillId="23" borderId="56" xfId="1" applyFont="1" applyFill="1" applyBorder="1" applyAlignment="1">
      <alignment horizontal="center" vertical="center" wrapText="1"/>
    </xf>
    <xf numFmtId="164" fontId="34" fillId="0" borderId="20" xfId="0" applyNumberFormat="1" applyFont="1" applyFill="1" applyBorder="1" applyAlignment="1"/>
    <xf numFmtId="44" fontId="29" fillId="23" borderId="59" xfId="1" applyFont="1" applyFill="1" applyBorder="1" applyAlignment="1">
      <alignment horizontal="center" vertical="center" wrapText="1"/>
    </xf>
    <xf numFmtId="44" fontId="31" fillId="24" borderId="60" xfId="1" applyFont="1" applyFill="1" applyBorder="1"/>
    <xf numFmtId="44" fontId="32" fillId="0" borderId="60" xfId="1" applyFont="1" applyBorder="1"/>
    <xf numFmtId="44" fontId="31" fillId="24" borderId="61" xfId="1" applyFont="1" applyFill="1" applyBorder="1"/>
    <xf numFmtId="44" fontId="32" fillId="0" borderId="62" xfId="1" applyFont="1" applyBorder="1"/>
    <xf numFmtId="44" fontId="31" fillId="24" borderId="62" xfId="1" applyFont="1" applyFill="1" applyBorder="1"/>
    <xf numFmtId="44" fontId="31" fillId="24" borderId="63" xfId="1" applyFont="1" applyFill="1" applyBorder="1"/>
    <xf numFmtId="44" fontId="32" fillId="0" borderId="63" xfId="1" applyFont="1" applyBorder="1"/>
    <xf numFmtId="44" fontId="31" fillId="24" borderId="32" xfId="1" applyFont="1" applyFill="1" applyBorder="1"/>
    <xf numFmtId="44" fontId="31" fillId="24" borderId="30" xfId="1" applyFont="1" applyFill="1" applyBorder="1"/>
    <xf numFmtId="44" fontId="32" fillId="0" borderId="31" xfId="1" applyFont="1" applyBorder="1"/>
    <xf numFmtId="10" fontId="32" fillId="0" borderId="64" xfId="2" applyNumberFormat="1" applyFont="1" applyBorder="1"/>
    <xf numFmtId="44" fontId="32" fillId="0" borderId="65" xfId="1" applyFont="1" applyBorder="1"/>
    <xf numFmtId="44" fontId="32" fillId="0" borderId="67" xfId="1" applyFont="1" applyBorder="1"/>
    <xf numFmtId="44" fontId="32" fillId="0" borderId="68" xfId="1" applyFont="1" applyBorder="1"/>
    <xf numFmtId="44" fontId="31" fillId="24" borderId="69" xfId="1" applyFont="1" applyFill="1" applyBorder="1"/>
    <xf numFmtId="44" fontId="32" fillId="0" borderId="69" xfId="1" applyFont="1" applyBorder="1"/>
    <xf numFmtId="44" fontId="32" fillId="0" borderId="70" xfId="1" applyFont="1" applyBorder="1"/>
    <xf numFmtId="0" fontId="30" fillId="24" borderId="45" xfId="0" applyFont="1" applyFill="1" applyBorder="1"/>
    <xf numFmtId="0" fontId="32" fillId="0" borderId="45" xfId="0" applyFont="1" applyBorder="1" applyAlignment="1">
      <alignment horizontal="left" vertical="center" wrapText="1"/>
    </xf>
    <xf numFmtId="0" fontId="30" fillId="24" borderId="72" xfId="0" applyFont="1" applyFill="1" applyBorder="1"/>
    <xf numFmtId="0" fontId="32" fillId="0" borderId="73" xfId="0" applyFont="1" applyBorder="1" applyAlignment="1">
      <alignment horizontal="left" vertical="center" wrapText="1"/>
    </xf>
    <xf numFmtId="0" fontId="30" fillId="24" borderId="73" xfId="0" applyFont="1" applyFill="1" applyBorder="1"/>
    <xf numFmtId="0" fontId="30" fillId="24" borderId="36" xfId="0" applyFont="1" applyFill="1" applyBorder="1"/>
    <xf numFmtId="0" fontId="32" fillId="0" borderId="74" xfId="0" applyFont="1" applyBorder="1" applyAlignment="1">
      <alignment horizontal="left" vertical="center" wrapText="1"/>
    </xf>
    <xf numFmtId="44" fontId="32" fillId="0" borderId="75" xfId="1" applyFont="1" applyBorder="1"/>
    <xf numFmtId="0" fontId="32" fillId="0" borderId="47" xfId="0" applyFont="1" applyBorder="1" applyAlignment="1">
      <alignment horizontal="left" vertical="center" wrapText="1"/>
    </xf>
    <xf numFmtId="0" fontId="32" fillId="0" borderId="36" xfId="0" applyFont="1" applyBorder="1" applyAlignment="1">
      <alignment horizontal="left" vertical="center" wrapText="1"/>
    </xf>
    <xf numFmtId="0" fontId="33" fillId="25" borderId="76" xfId="0" applyFont="1" applyFill="1" applyBorder="1"/>
    <xf numFmtId="44" fontId="31" fillId="25" borderId="77" xfId="1" applyFont="1" applyFill="1" applyBorder="1"/>
    <xf numFmtId="44" fontId="31" fillId="25" borderId="78" xfId="1" applyFont="1" applyFill="1" applyBorder="1"/>
    <xf numFmtId="10" fontId="31" fillId="25" borderId="78" xfId="2" applyNumberFormat="1" applyFont="1" applyFill="1" applyBorder="1"/>
    <xf numFmtId="44" fontId="31" fillId="25" borderId="80" xfId="1" applyFont="1" applyFill="1" applyBorder="1"/>
    <xf numFmtId="44" fontId="31" fillId="25" borderId="81" xfId="1" applyFont="1" applyFill="1" applyBorder="1"/>
    <xf numFmtId="0" fontId="0" fillId="0" borderId="20" xfId="0" applyFill="1" applyBorder="1"/>
    <xf numFmtId="0" fontId="29" fillId="23" borderId="84" xfId="0" applyFont="1" applyFill="1" applyBorder="1" applyAlignment="1">
      <alignment horizontal="center" vertical="center" wrapText="1"/>
    </xf>
    <xf numFmtId="0" fontId="25" fillId="21" borderId="85" xfId="0" applyFont="1" applyFill="1" applyBorder="1" applyAlignment="1">
      <alignment horizontal="center"/>
    </xf>
    <xf numFmtId="0" fontId="25" fillId="21" borderId="86" xfId="0" applyFont="1" applyFill="1" applyBorder="1"/>
    <xf numFmtId="0" fontId="0" fillId="21" borderId="87" xfId="0" applyFill="1" applyBorder="1"/>
    <xf numFmtId="0" fontId="41" fillId="21" borderId="86" xfId="0" applyFont="1" applyFill="1" applyBorder="1"/>
    <xf numFmtId="0" fontId="36" fillId="21" borderId="86" xfId="0" applyFont="1" applyFill="1" applyBorder="1"/>
    <xf numFmtId="0" fontId="25" fillId="21" borderId="87" xfId="0" applyFont="1" applyFill="1" applyBorder="1"/>
    <xf numFmtId="0" fontId="39" fillId="21" borderId="86" xfId="0" applyFont="1" applyFill="1" applyBorder="1"/>
    <xf numFmtId="0" fontId="0" fillId="21" borderId="88" xfId="0" applyFill="1" applyBorder="1"/>
    <xf numFmtId="9" fontId="0" fillId="21" borderId="85" xfId="2" applyFont="1" applyFill="1" applyBorder="1" applyAlignment="1">
      <alignment horizontal="center"/>
    </xf>
    <xf numFmtId="44" fontId="0" fillId="21" borderId="86" xfId="1" applyFont="1" applyFill="1" applyBorder="1"/>
    <xf numFmtId="44" fontId="42" fillId="21" borderId="86" xfId="1" applyFont="1" applyFill="1" applyBorder="1"/>
    <xf numFmtId="44" fontId="35" fillId="21" borderId="86" xfId="1" applyFont="1" applyFill="1" applyBorder="1"/>
    <xf numFmtId="44" fontId="0" fillId="21" borderId="87" xfId="1" applyFont="1" applyFill="1" applyBorder="1"/>
    <xf numFmtId="44" fontId="40" fillId="21" borderId="86" xfId="1" applyFont="1" applyFill="1" applyBorder="1" applyAlignment="1">
      <alignment horizontal="center"/>
    </xf>
    <xf numFmtId="0" fontId="0" fillId="21" borderId="87" xfId="0" applyFont="1" applyFill="1" applyBorder="1" applyAlignment="1"/>
    <xf numFmtId="44" fontId="42" fillId="21" borderId="86" xfId="1" applyFont="1" applyFill="1" applyBorder="1" applyAlignment="1"/>
    <xf numFmtId="44" fontId="0" fillId="21" borderId="87" xfId="1" applyFont="1" applyFill="1" applyBorder="1" applyAlignment="1"/>
    <xf numFmtId="44" fontId="40" fillId="21" borderId="86" xfId="1" applyFont="1" applyFill="1" applyBorder="1" applyAlignment="1"/>
    <xf numFmtId="0" fontId="0" fillId="21" borderId="88" xfId="0" applyFont="1" applyFill="1" applyBorder="1" applyAlignment="1"/>
    <xf numFmtId="9" fontId="0" fillId="21" borderId="87" xfId="2" applyFont="1" applyFill="1" applyBorder="1" applyAlignment="1">
      <alignment horizontal="center"/>
    </xf>
    <xf numFmtId="9" fontId="25" fillId="21" borderId="87" xfId="0" applyNumberFormat="1" applyFont="1" applyFill="1" applyBorder="1" applyAlignment="1">
      <alignment horizontal="center"/>
    </xf>
    <xf numFmtId="44" fontId="25" fillId="21" borderId="86" xfId="1" applyFont="1" applyFill="1" applyBorder="1"/>
    <xf numFmtId="44" fontId="37" fillId="21" borderId="87" xfId="1" applyFont="1" applyFill="1" applyBorder="1"/>
    <xf numFmtId="0" fontId="36" fillId="21" borderId="87" xfId="0" applyFont="1" applyFill="1" applyBorder="1"/>
    <xf numFmtId="44" fontId="0" fillId="0" borderId="91" xfId="1" applyFont="1" applyBorder="1"/>
    <xf numFmtId="44" fontId="32" fillId="0" borderId="43" xfId="1" applyFont="1" applyBorder="1"/>
    <xf numFmtId="44" fontId="45" fillId="0" borderId="39" xfId="1" applyFont="1" applyBorder="1"/>
    <xf numFmtId="9" fontId="35" fillId="0" borderId="27" xfId="2" applyFont="1" applyBorder="1" applyAlignment="1">
      <alignment horizontal="center"/>
    </xf>
    <xf numFmtId="0" fontId="34" fillId="26" borderId="48" xfId="0" applyFont="1" applyFill="1" applyBorder="1" applyAlignment="1">
      <alignment horizontal="center"/>
    </xf>
    <xf numFmtId="0" fontId="34" fillId="26" borderId="82" xfId="0" applyFont="1" applyFill="1" applyBorder="1" applyAlignment="1">
      <alignment horizontal="center"/>
    </xf>
    <xf numFmtId="44" fontId="0" fillId="0" borderId="86" xfId="1" applyFont="1" applyFill="1" applyBorder="1"/>
    <xf numFmtId="44" fontId="42" fillId="0" borderId="86" xfId="1" applyFont="1" applyFill="1" applyBorder="1" applyAlignment="1"/>
    <xf numFmtId="44" fontId="35" fillId="0" borderId="86" xfId="1" applyFont="1" applyFill="1" applyBorder="1"/>
    <xf numFmtId="44" fontId="0" fillId="0" borderId="87" xfId="1" applyFont="1" applyFill="1" applyBorder="1" applyAlignment="1"/>
    <xf numFmtId="44" fontId="0" fillId="0" borderId="87" xfId="1" applyFont="1" applyFill="1" applyBorder="1"/>
    <xf numFmtId="44" fontId="40" fillId="0" borderId="86" xfId="1" applyFont="1" applyFill="1" applyBorder="1" applyAlignment="1">
      <alignment horizontal="center"/>
    </xf>
    <xf numFmtId="44" fontId="40" fillId="0" borderId="86" xfId="1" applyFont="1" applyFill="1" applyBorder="1" applyAlignment="1"/>
    <xf numFmtId="44" fontId="40" fillId="0" borderId="86" xfId="1" applyFont="1" applyFill="1" applyBorder="1"/>
    <xf numFmtId="9" fontId="0" fillId="0" borderId="87" xfId="2" applyFont="1" applyFill="1" applyBorder="1" applyAlignment="1">
      <alignment horizontal="center"/>
    </xf>
    <xf numFmtId="0" fontId="32" fillId="0" borderId="73" xfId="0" applyFont="1" applyFill="1" applyBorder="1" applyAlignment="1">
      <alignment horizontal="left" vertical="center" wrapText="1"/>
    </xf>
    <xf numFmtId="44" fontId="32" fillId="0" borderId="30" xfId="1" applyFont="1" applyFill="1" applyBorder="1"/>
    <xf numFmtId="44" fontId="32" fillId="0" borderId="28" xfId="1" applyFont="1" applyFill="1" applyBorder="1"/>
    <xf numFmtId="10" fontId="32" fillId="0" borderId="52" xfId="2" applyNumberFormat="1" applyFont="1" applyFill="1" applyBorder="1"/>
    <xf numFmtId="44" fontId="32" fillId="0" borderId="62" xfId="1" applyFont="1" applyFill="1" applyBorder="1"/>
    <xf numFmtId="44" fontId="47" fillId="23" borderId="55" xfId="1" applyFont="1" applyFill="1" applyBorder="1" applyAlignment="1">
      <alignment horizontal="center" vertical="center" wrapText="1"/>
    </xf>
    <xf numFmtId="44" fontId="47" fillId="24" borderId="52" xfId="1" applyFont="1" applyFill="1" applyBorder="1"/>
    <xf numFmtId="44" fontId="45" fillId="0" borderId="52" xfId="1" applyFont="1" applyBorder="1"/>
    <xf numFmtId="44" fontId="47" fillId="24" borderId="51" xfId="1" applyFont="1" applyFill="1" applyBorder="1"/>
    <xf numFmtId="44" fontId="45" fillId="0" borderId="28" xfId="1" applyFont="1" applyBorder="1"/>
    <xf numFmtId="44" fontId="46" fillId="0" borderId="0" xfId="1" applyFont="1"/>
    <xf numFmtId="44" fontId="47" fillId="24" borderId="28" xfId="1" applyFont="1" applyFill="1" applyBorder="1"/>
    <xf numFmtId="44" fontId="45" fillId="0" borderId="29" xfId="1" applyFont="1" applyBorder="1"/>
    <xf numFmtId="44" fontId="47" fillId="24" borderId="29" xfId="1" applyFont="1" applyFill="1" applyBorder="1"/>
    <xf numFmtId="44" fontId="45" fillId="0" borderId="66" xfId="1" applyFont="1" applyBorder="1"/>
    <xf numFmtId="44" fontId="47" fillId="25" borderId="79" xfId="1" applyFont="1" applyFill="1" applyBorder="1"/>
    <xf numFmtId="0" fontId="8" fillId="21" borderId="45" xfId="0" applyFont="1" applyFill="1" applyBorder="1" applyAlignment="1">
      <alignment horizontal="center"/>
    </xf>
    <xf numFmtId="9" fontId="8" fillId="21" borderId="83" xfId="0" applyNumberFormat="1" applyFont="1" applyFill="1" applyBorder="1" applyAlignment="1">
      <alignment horizontal="center"/>
    </xf>
    <xf numFmtId="10" fontId="9" fillId="21" borderId="26" xfId="0" applyNumberFormat="1" applyFont="1" applyFill="1" applyBorder="1" applyAlignment="1">
      <alignment horizontal="center"/>
    </xf>
    <xf numFmtId="0" fontId="9" fillId="21" borderId="37" xfId="0" applyFont="1" applyFill="1" applyBorder="1" applyAlignment="1">
      <alignment horizontal="center"/>
    </xf>
    <xf numFmtId="0" fontId="8" fillId="21" borderId="45" xfId="0" applyFont="1" applyFill="1" applyBorder="1" applyAlignment="1">
      <alignment horizontal="center" vertical="center"/>
    </xf>
    <xf numFmtId="10" fontId="8" fillId="21" borderId="83" xfId="0" applyNumberFormat="1" applyFont="1" applyFill="1" applyBorder="1" applyAlignment="1">
      <alignment horizontal="center" vertical="center"/>
    </xf>
    <xf numFmtId="44" fontId="32" fillId="0" borderId="30" xfId="1" applyFont="1" applyFill="1" applyBorder="1" applyAlignment="1">
      <alignment horizontal="left"/>
    </xf>
    <xf numFmtId="44" fontId="32" fillId="0" borderId="28" xfId="1" applyFont="1" applyFill="1" applyBorder="1" applyAlignment="1">
      <alignment horizontal="left"/>
    </xf>
    <xf numFmtId="10" fontId="32" fillId="0" borderId="52" xfId="2" applyNumberFormat="1" applyFont="1" applyFill="1" applyBorder="1" applyAlignment="1">
      <alignment horizontal="left"/>
    </xf>
    <xf numFmtId="44" fontId="45" fillId="0" borderId="28" xfId="1" applyFont="1" applyFill="1" applyBorder="1" applyAlignment="1">
      <alignment horizontal="left"/>
    </xf>
    <xf numFmtId="44" fontId="32" fillId="0" borderId="62" xfId="1" applyFont="1" applyFill="1" applyBorder="1" applyAlignment="1">
      <alignment horizontal="left"/>
    </xf>
    <xf numFmtId="44" fontId="32" fillId="0" borderId="28" xfId="1" applyFont="1" applyFill="1" applyBorder="1" applyAlignment="1">
      <alignment horizontal="left" vertical="center"/>
    </xf>
    <xf numFmtId="10" fontId="32" fillId="0" borderId="52" xfId="2" applyNumberFormat="1" applyFont="1" applyFill="1" applyBorder="1" applyAlignment="1">
      <alignment horizontal="left" vertical="center"/>
    </xf>
    <xf numFmtId="44" fontId="45" fillId="0" borderId="28" xfId="1" applyFont="1" applyFill="1" applyBorder="1" applyAlignment="1">
      <alignment horizontal="left" vertical="center"/>
    </xf>
    <xf numFmtId="44" fontId="32" fillId="0" borderId="62" xfId="1" applyFont="1" applyFill="1" applyBorder="1" applyAlignment="1">
      <alignment horizontal="left" vertical="center"/>
    </xf>
    <xf numFmtId="44" fontId="45" fillId="0" borderId="28" xfId="1" applyFont="1" applyFill="1" applyBorder="1"/>
    <xf numFmtId="44" fontId="32" fillId="0" borderId="30" xfId="1" applyFont="1" applyBorder="1" applyAlignment="1">
      <alignment vertical="center"/>
    </xf>
    <xf numFmtId="44" fontId="32" fillId="0" borderId="28" xfId="1" applyFont="1" applyBorder="1" applyAlignment="1">
      <alignment vertical="center"/>
    </xf>
    <xf numFmtId="10" fontId="32" fillId="0" borderId="52" xfId="2" applyNumberFormat="1" applyFont="1" applyBorder="1" applyAlignment="1">
      <alignment vertical="center"/>
    </xf>
    <xf numFmtId="44" fontId="45" fillId="0" borderId="29" xfId="1" applyFont="1" applyBorder="1" applyAlignment="1">
      <alignment vertical="center"/>
    </xf>
    <xf numFmtId="44" fontId="32" fillId="0" borderId="69" xfId="1" applyFont="1" applyBorder="1" applyAlignment="1">
      <alignment vertical="center"/>
    </xf>
    <xf numFmtId="44" fontId="32" fillId="0" borderId="62" xfId="1" applyFont="1" applyBorder="1" applyAlignment="1">
      <alignment vertical="center"/>
    </xf>
    <xf numFmtId="164" fontId="6" fillId="7" borderId="8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1" fillId="7" borderId="5" xfId="0" applyFont="1" applyFill="1" applyBorder="1" applyAlignment="1">
      <alignment horizontal="left" vertical="center" wrapText="1"/>
    </xf>
    <xf numFmtId="0" fontId="3" fillId="0" borderId="9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/>
    <xf numFmtId="164" fontId="7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3" fillId="0" borderId="14" xfId="0" applyFont="1" applyBorder="1"/>
    <xf numFmtId="0" fontId="7" fillId="0" borderId="3" xfId="0" applyFont="1" applyBorder="1" applyAlignment="1">
      <alignment horizontal="center" vertical="center"/>
    </xf>
    <xf numFmtId="0" fontId="9" fillId="7" borderId="18" xfId="0" applyFont="1" applyFill="1" applyBorder="1" applyAlignment="1">
      <alignment horizontal="center"/>
    </xf>
    <xf numFmtId="0" fontId="3" fillId="0" borderId="19" xfId="0" applyFont="1" applyBorder="1"/>
    <xf numFmtId="0" fontId="3" fillId="0" borderId="20" xfId="0" applyFont="1" applyBorder="1"/>
    <xf numFmtId="0" fontId="11" fillId="2" borderId="21" xfId="0" applyFont="1" applyFill="1" applyBorder="1" applyAlignment="1">
      <alignment horizontal="center" vertical="center"/>
    </xf>
    <xf numFmtId="0" fontId="3" fillId="0" borderId="22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5" fillId="19" borderId="18" xfId="0" applyFont="1" applyFill="1" applyBorder="1" applyAlignment="1">
      <alignment horizontal="center" vertical="center"/>
    </xf>
    <xf numFmtId="0" fontId="16" fillId="19" borderId="18" xfId="0" applyFont="1" applyFill="1" applyBorder="1" applyAlignment="1">
      <alignment horizontal="center" vertical="center"/>
    </xf>
    <xf numFmtId="44" fontId="44" fillId="21" borderId="95" xfId="1" applyFont="1" applyFill="1" applyBorder="1" applyAlignment="1">
      <alignment horizontal="center" vertical="center"/>
    </xf>
    <xf numFmtId="44" fontId="44" fillId="21" borderId="86" xfId="1" applyFont="1" applyFill="1" applyBorder="1" applyAlignment="1">
      <alignment horizontal="center" vertical="center"/>
    </xf>
    <xf numFmtId="44" fontId="0" fillId="21" borderId="87" xfId="1" applyFont="1" applyFill="1" applyBorder="1" applyAlignment="1">
      <alignment horizontal="center" vertical="center"/>
    </xf>
    <xf numFmtId="44" fontId="0" fillId="21" borderId="86" xfId="1" applyFont="1" applyFill="1" applyBorder="1" applyAlignment="1">
      <alignment horizontal="center" vertical="center"/>
    </xf>
    <xf numFmtId="44" fontId="35" fillId="0" borderId="95" xfId="1" applyFont="1" applyFill="1" applyBorder="1" applyAlignment="1">
      <alignment horizontal="center" vertical="center"/>
    </xf>
    <xf numFmtId="44" fontId="35" fillId="0" borderId="87" xfId="1" applyFont="1" applyFill="1" applyBorder="1" applyAlignment="1">
      <alignment horizontal="center" vertical="center"/>
    </xf>
    <xf numFmtId="44" fontId="35" fillId="0" borderId="86" xfId="1" applyFont="1" applyFill="1" applyBorder="1" applyAlignment="1">
      <alignment horizontal="center" vertical="center"/>
    </xf>
    <xf numFmtId="44" fontId="35" fillId="21" borderId="95" xfId="1" applyFont="1" applyFill="1" applyBorder="1" applyAlignment="1">
      <alignment horizontal="center" vertical="center"/>
    </xf>
    <xf numFmtId="44" fontId="35" fillId="21" borderId="87" xfId="1" applyFont="1" applyFill="1" applyBorder="1" applyAlignment="1">
      <alignment horizontal="center" vertical="center"/>
    </xf>
    <xf numFmtId="44" fontId="35" fillId="21" borderId="88" xfId="1" applyFont="1" applyFill="1" applyBorder="1" applyAlignment="1">
      <alignment horizontal="center" vertical="center"/>
    </xf>
    <xf numFmtId="44" fontId="35" fillId="21" borderId="86" xfId="1" applyFont="1" applyFill="1" applyBorder="1" applyAlignment="1">
      <alignment horizontal="center" vertical="center"/>
    </xf>
    <xf numFmtId="0" fontId="43" fillId="21" borderId="95" xfId="0" applyFont="1" applyFill="1" applyBorder="1" applyAlignment="1">
      <alignment horizontal="center" vertical="center"/>
    </xf>
    <xf numFmtId="0" fontId="43" fillId="21" borderId="86" xfId="0" applyFont="1" applyFill="1" applyBorder="1" applyAlignment="1">
      <alignment horizontal="center" vertical="center"/>
    </xf>
    <xf numFmtId="44" fontId="29" fillId="23" borderId="48" xfId="1" applyFont="1" applyFill="1" applyBorder="1" applyAlignment="1">
      <alignment horizontal="center" vertical="center" wrapText="1"/>
    </xf>
    <xf numFmtId="44" fontId="29" fillId="23" borderId="82" xfId="1" applyFont="1" applyFill="1" applyBorder="1" applyAlignment="1">
      <alignment horizontal="center" vertical="center" wrapText="1"/>
    </xf>
    <xf numFmtId="44" fontId="29" fillId="23" borderId="90" xfId="1" applyFont="1" applyFill="1" applyBorder="1" applyAlignment="1">
      <alignment horizontal="center" vertical="center" wrapText="1"/>
    </xf>
    <xf numFmtId="44" fontId="29" fillId="23" borderId="94" xfId="1" applyFont="1" applyFill="1" applyBorder="1" applyAlignment="1">
      <alignment horizontal="center" vertical="center" wrapText="1"/>
    </xf>
    <xf numFmtId="44" fontId="29" fillId="23" borderId="89" xfId="1" applyFont="1" applyFill="1" applyBorder="1" applyAlignment="1">
      <alignment horizontal="center" vertical="center" wrapText="1"/>
    </xf>
    <xf numFmtId="44" fontId="29" fillId="23" borderId="93" xfId="1" applyFont="1" applyFill="1" applyBorder="1" applyAlignment="1">
      <alignment horizontal="center" vertical="center" wrapText="1"/>
    </xf>
    <xf numFmtId="44" fontId="29" fillId="23" borderId="24" xfId="1" applyFont="1" applyFill="1" applyBorder="1" applyAlignment="1">
      <alignment horizontal="center" vertical="center" wrapText="1"/>
    </xf>
    <xf numFmtId="44" fontId="29" fillId="23" borderId="38" xfId="1" applyFont="1" applyFill="1" applyBorder="1" applyAlignment="1">
      <alignment horizontal="center" vertical="center" wrapText="1"/>
    </xf>
    <xf numFmtId="44" fontId="29" fillId="23" borderId="92" xfId="1" applyFont="1" applyFill="1" applyBorder="1" applyAlignment="1">
      <alignment horizontal="center" vertical="center" wrapText="1"/>
    </xf>
    <xf numFmtId="44" fontId="29" fillId="23" borderId="91" xfId="1" applyFont="1" applyFill="1" applyBorder="1" applyAlignment="1">
      <alignment horizontal="center" vertical="center" wrapText="1"/>
    </xf>
    <xf numFmtId="0" fontId="27" fillId="22" borderId="33" xfId="0" applyFont="1" applyFill="1" applyBorder="1" applyAlignment="1">
      <alignment horizontal="center" vertical="center" wrapText="1"/>
    </xf>
    <xf numFmtId="0" fontId="27" fillId="22" borderId="57" xfId="0" applyFont="1" applyFill="1" applyBorder="1" applyAlignment="1">
      <alignment horizontal="center" vertical="center" wrapText="1"/>
    </xf>
    <xf numFmtId="0" fontId="27" fillId="22" borderId="34" xfId="0" applyFont="1" applyFill="1" applyBorder="1" applyAlignment="1">
      <alignment horizontal="center" vertical="center" wrapText="1"/>
    </xf>
    <xf numFmtId="0" fontId="28" fillId="22" borderId="24" xfId="0" applyFont="1" applyFill="1" applyBorder="1" applyAlignment="1">
      <alignment horizontal="center" vertical="center" wrapText="1"/>
    </xf>
    <xf numFmtId="0" fontId="28" fillId="22" borderId="20" xfId="0" applyFont="1" applyFill="1" applyBorder="1" applyAlignment="1">
      <alignment horizontal="center" vertical="center" wrapText="1"/>
    </xf>
    <xf numFmtId="0" fontId="28" fillId="22" borderId="26" xfId="0" applyFont="1" applyFill="1" applyBorder="1" applyAlignment="1">
      <alignment horizontal="center" vertical="center" wrapText="1"/>
    </xf>
    <xf numFmtId="0" fontId="28" fillId="22" borderId="27" xfId="0" applyFont="1" applyFill="1" applyBorder="1" applyAlignment="1">
      <alignment horizontal="center" vertical="center" wrapText="1"/>
    </xf>
    <xf numFmtId="44" fontId="29" fillId="23" borderId="35" xfId="1" applyFont="1" applyFill="1" applyBorder="1" applyAlignment="1">
      <alignment horizontal="center" vertical="center" wrapText="1"/>
    </xf>
    <xf numFmtId="44" fontId="29" fillId="23" borderId="41" xfId="1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/>
    </xf>
    <xf numFmtId="44" fontId="29" fillId="23" borderId="40" xfId="1" applyFont="1" applyFill="1" applyBorder="1" applyAlignment="1">
      <alignment horizontal="center" vertical="center" wrapText="1"/>
    </xf>
    <xf numFmtId="0" fontId="29" fillId="23" borderId="71" xfId="0" applyFont="1" applyFill="1" applyBorder="1" applyAlignment="1">
      <alignment horizontal="center" vertical="center" wrapText="1"/>
    </xf>
    <xf numFmtId="0" fontId="29" fillId="23" borderId="42" xfId="0" applyFont="1" applyFill="1" applyBorder="1" applyAlignment="1">
      <alignment horizontal="center" vertical="center" wrapText="1"/>
    </xf>
    <xf numFmtId="44" fontId="29" fillId="23" borderId="57" xfId="1" applyFont="1" applyFill="1" applyBorder="1" applyAlignment="1">
      <alignment horizontal="center" vertical="center" wrapText="1"/>
    </xf>
    <xf numFmtId="44" fontId="29" fillId="23" borderId="53" xfId="1" applyFont="1" applyFill="1" applyBorder="1" applyAlignment="1">
      <alignment horizontal="center" vertical="center" wrapText="1"/>
    </xf>
    <xf numFmtId="10" fontId="29" fillId="23" borderId="58" xfId="1" applyNumberFormat="1" applyFont="1" applyFill="1" applyBorder="1" applyAlignment="1">
      <alignment horizontal="center" vertical="center" wrapText="1"/>
    </xf>
    <xf numFmtId="10" fontId="29" fillId="23" borderId="54" xfId="1" applyNumberFormat="1" applyFont="1" applyFill="1" applyBorder="1" applyAlignment="1">
      <alignment horizontal="center" vertical="center" wrapText="1"/>
    </xf>
    <xf numFmtId="0" fontId="28" fillId="22" borderId="2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3">
    <cellStyle name="Moeda" xfId="1" builtinId="4"/>
    <cellStyle name="Normal" xfId="0" builtinId="0"/>
    <cellStyle name="Porcentagem" xfId="2" builtinId="5"/>
  </cellStyles>
  <dxfs count="2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numFmt numFmtId="34" formatCode="_-&quot;R$&quot;\ * #,##0.00_-;\-&quot;R$&quot;\ * #,##0.00_-;_-&quot;R$&quot;\ * &quot;-&quot;??_-;_-@_-"/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numFmt numFmtId="34" formatCode="_-&quot;R$&quot;\ * #,##0.00_-;\-&quot;R$&quot;\ * #,##0.00_-;_-&quot;R$&quot;\ * &quot;-&quot;??_-;_-@_-"/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color rgb="FFFF0000"/>
      </font>
    </dxf>
    <dxf>
      <font>
        <color rgb="FF00B050"/>
      </font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Mão de Obra-style" pivot="0" count="3" xr9:uid="{00000000-0011-0000-FFFF-FFFF00000000}">
      <tableStyleElement type="headerRow" dxfId="202"/>
      <tableStyleElement type="firstRowStripe" dxfId="201"/>
      <tableStyleElement type="secondRowStripe" dxfId="200"/>
    </tableStyle>
    <tableStyle name="Materiais-style" pivot="0" count="3" xr9:uid="{00000000-0011-0000-FFFF-FFFF01000000}">
      <tableStyleElement type="headerRow" dxfId="199"/>
      <tableStyleElement type="firstRowStripe" dxfId="198"/>
      <tableStyleElement type="secondRowStripe" dxfId="197"/>
    </tableStyle>
    <tableStyle name="Refeição + Transporte-style" pivot="0" count="3" xr9:uid="{00000000-0011-0000-FFFF-FFFF02000000}">
      <tableStyleElement type="headerRow" dxfId="196"/>
      <tableStyleElement type="firstRowStripe" dxfId="195"/>
      <tableStyleElement type="secondRowStripe" dxfId="194"/>
    </tableStyle>
    <tableStyle name="Locação + Frete-style" pivot="0" count="3" xr9:uid="{00000000-0011-0000-FFFF-FFFF03000000}">
      <tableStyleElement type="headerRow" dxfId="193"/>
      <tableStyleElement type="firstRowStripe" dxfId="192"/>
      <tableStyleElement type="secondRowStripe" dxfId="191"/>
    </tableStyle>
    <tableStyle name="Fat Direto-style" pivot="0" count="3" xr9:uid="{00000000-0011-0000-FFFF-FFFF04000000}">
      <tableStyleElement type="headerRow" dxfId="190"/>
      <tableStyleElement type="firstRowStripe" dxfId="189"/>
      <tableStyleElement type="secondRowStripe" dxfId="188"/>
    </tableStyle>
  </tableStyles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lanilha%20de%20Custo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Planilha%20de%20Custo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Planilha%20de%20Custo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Planilha%20de%20Custos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Planilha%20de%20Custos.xlsx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KS ENGENHARIA" refreshedDate="46185.629532870371" createdVersion="8" refreshedVersion="7" minRefreshableVersion="3" recordCount="32" xr:uid="{99F0DF66-5B49-4899-AEF1-A4FB83138E9D}">
  <cacheSource type="worksheet">
    <worksheetSource name="Tabela1" r:id="rId2"/>
  </cacheSource>
  <cacheFields count="4">
    <cacheField name="Tipo" numFmtId="16">
      <sharedItems containsNonDate="0" containsBlank="1" count="27">
        <m/>
        <s v="Aço LSF" u="1"/>
        <s v="Nivelamento de piso" u="1"/>
        <s v="Parede DW" u="1"/>
        <s v="Demolição Forro" u="1"/>
        <s v="Calha" u="1"/>
        <s v="Mão-de-Obra" u="1"/>
        <s v="Caixa d'água" u="1"/>
        <s v="OUTROS" u="1"/>
        <s v="Retirada Vinílico" u="1"/>
        <s v="Demolição calçada" u="1"/>
        <s v="Coordenação" u="1"/>
        <s v="Portas" u="1"/>
        <s v="Hidraulica" u="1"/>
        <s v="Elétrica" u="1"/>
        <s v="Retirada piso externo" u="1"/>
        <s v="Montagem LSF" u="1"/>
        <s v="Piso Interno" u="1"/>
        <s v="Calhas" u="1"/>
        <s v="Demolição" u="1"/>
        <s v="Forro" u="1"/>
        <s v="Fachada" u="1"/>
        <s v="Pintura" u="1"/>
        <s v="Telhado" u="1"/>
        <s v="Funcionários Veks" u="1"/>
        <s v="Demolição e descarte paredes" u="1"/>
        <s v="Eletrica" u="1"/>
      </sharedItems>
    </cacheField>
    <cacheField name="Descrição" numFmtId="0">
      <sharedItems containsNonDate="0" containsString="0" containsBlank="1"/>
    </cacheField>
    <cacheField name="Mês" numFmtId="16">
      <sharedItems containsNonDate="0" containsString="0" containsBlank="1"/>
    </cacheField>
    <cacheField name="Valor" numFmtId="4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KS ENGENHARIA" refreshedDate="46185.629532754632" createdVersion="7" refreshedVersion="7" minRefreshableVersion="3" recordCount="53" xr:uid="{17A75329-270B-4EB8-B153-1CB3F7B98BF9}">
  <cacheSource type="worksheet">
    <worksheetSource name="Tabela15" r:id="rId2"/>
  </cacheSource>
  <cacheFields count="4">
    <cacheField name="Tipo" numFmtId="0">
      <sharedItems containsNonDate="0" containsBlank="1" count="23">
        <m/>
        <s v="Material Pintura" u="1"/>
        <s v="s" u="1"/>
        <s v="Nivelamento de piso" u="1"/>
        <s v="PAREDE DW" u="1"/>
        <s v="Material" u="1"/>
        <s v="ESTRUTURA EM LSF" u="1"/>
        <s v="Material " u="1"/>
        <s v="Hidraulica geral" u="1"/>
        <s v="outros" u="1"/>
        <s v="Material Forro" u="1"/>
        <s v="LSF" u="1"/>
        <s v="Material Drywall" u="1"/>
        <s v="Piso" u="1"/>
        <s v="Material LSF" u="1"/>
        <s v="Vidros" u="1"/>
        <s v="Elétrica" u="1"/>
        <s v="Canteiro" u="1"/>
        <s v="Hidraulica caixa" u="1"/>
        <s v="Forro" u="1"/>
        <s v="Fechamento" u="1"/>
        <s v="Pintura" u="1"/>
        <s v="Material Elétrico" u="1"/>
      </sharedItems>
    </cacheField>
    <cacheField name="Descrição" numFmtId="0">
      <sharedItems containsNonDate="0" containsString="0" containsBlank="1"/>
    </cacheField>
    <cacheField name="Mês" numFmtId="14">
      <sharedItems containsNonDate="0" containsString="0" containsBlank="1"/>
    </cacheField>
    <cacheField name="Valor" numFmtId="4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KS ENGENHARIA" refreshedDate="46188.60774363426" createdVersion="7" refreshedVersion="7" minRefreshableVersion="3" recordCount="216" xr:uid="{08E26DB3-DAF6-47E3-94C0-7E1EF3BB44EF}">
  <cacheSource type="worksheet">
    <worksheetSource name="Tabela7" r:id="rId2"/>
  </cacheSource>
  <cacheFields count="4">
    <cacheField name="Tipo" numFmtId="0">
      <sharedItems containsBlank="1" count="14">
        <s v="Visita em obra"/>
        <m/>
        <s v="s" u="1"/>
        <s v="Transporte" u="1"/>
        <s v="Uber" u="1"/>
        <s v="Bonus 02" u="1"/>
        <s v="Refeição" u="1"/>
        <s v="Ferramentas" u="1"/>
        <s v="Bonus 01" u="1"/>
        <s v="Viagem Volta" u="1"/>
        <s v="Combustivel" u="1"/>
        <s v="Viagem ida" u="1"/>
        <s v="Alimentação" u="1"/>
        <s v="Café e Janta" u="1"/>
      </sharedItems>
    </cacheField>
    <cacheField name="Descrição" numFmtId="0">
      <sharedItems containsBlank="1"/>
    </cacheField>
    <cacheField name="Mês" numFmtId="0">
      <sharedItems containsNonDate="0" containsDate="1" containsString="0" containsBlank="1" minDate="2026-06-11T00:00:00" maxDate="2026-06-12T00:00:00"/>
    </cacheField>
    <cacheField name="Valor" numFmtId="44">
      <sharedItems containsString="0" containsBlank="1" containsNumber="1" containsInteger="1" minValue="382" maxValue="3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KS ENGENHARIA" refreshedDate="46188.605988425923" createdVersion="7" refreshedVersion="7" minRefreshableVersion="3" recordCount="25" xr:uid="{3104E42A-FB26-470E-A0CB-23D20DF725FC}">
  <cacheSource type="worksheet">
    <worksheetSource name="Tabela154" r:id="rId2"/>
  </cacheSource>
  <cacheFields count="4">
    <cacheField name="Tipo" numFmtId="0">
      <sharedItems containsBlank="1" count="10">
        <s v="Projetos (Realizado)"/>
        <s v="Projetos (A realizar)"/>
        <m/>
        <s v="s" u="1"/>
        <s v="Frete" u="1"/>
        <s v="Alojamento" u="1"/>
        <s v="Projetos" u="1"/>
        <s v="Estadia Abel" u="1"/>
        <s v="Locação" u="1"/>
        <s v="Projetos Realizado" u="1"/>
      </sharedItems>
    </cacheField>
    <cacheField name="Descrição" numFmtId="0">
      <sharedItems containsBlank="1"/>
    </cacheField>
    <cacheField name="Mês" numFmtId="0">
      <sharedItems containsNonDate="0" containsDate="1" containsString="0" containsBlank="1" minDate="2026-06-15T00:00:00" maxDate="2026-06-16T00:00:00"/>
    </cacheField>
    <cacheField name="Valor" numFmtId="44">
      <sharedItems containsString="0" containsBlank="1" containsNumber="1" containsInteger="1" minValue="1250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KS ENGENHARIA" refreshedDate="46185.629532523148" createdVersion="7" refreshedVersion="7" minRefreshableVersion="3" recordCount="29" xr:uid="{39113AC7-EA1E-4ACD-8795-786B1B2ABE8B}">
  <cacheSource type="worksheet">
    <worksheetSource name="Tabela153" r:id="rId2"/>
  </cacheSource>
  <cacheFields count="4">
    <cacheField name="Tipo" numFmtId="0">
      <sharedItems containsNonDate="0" containsBlank="1" count="14">
        <m/>
        <s v="Material Pintura" u="1"/>
        <s v="PAREDE DW" u="1"/>
        <s v="ESTRUTURA EM LSF" u="1"/>
        <s v="Hidraulica geral" u="1"/>
        <s v="Material Forro" u="1"/>
        <s v="Material Drywall" u="1"/>
        <s v="Piso" u="1"/>
        <s v="Material LSF" u="1"/>
        <s v="Elétrica" u="1"/>
        <s v="Canteiro" u="1"/>
        <s v="Forro" u="1"/>
        <s v="Pintura" u="1"/>
        <s v="Material Elétrico" u="1"/>
      </sharedItems>
    </cacheField>
    <cacheField name="Descrição" numFmtId="0">
      <sharedItems containsNonDate="0" containsString="0" containsBlank="1"/>
    </cacheField>
    <cacheField name="Mês" numFmtId="14">
      <sharedItems containsNonDate="0" containsString="0" containsBlank="1"/>
    </cacheField>
    <cacheField name="Valor" numFmtId="4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x v="0"/>
    <s v="Alan e Paulo (Carro da empresa)"/>
    <d v="2026-06-11T00:00:00"/>
    <n v="382"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Projeto para metalica de cobertura "/>
    <d v="2026-06-15T00:00:00"/>
    <n v="2000"/>
  </r>
  <r>
    <x v="0"/>
    <s v="Projeto fundação"/>
    <d v="2026-06-15T00:00:00"/>
    <n v="1250"/>
  </r>
  <r>
    <x v="0"/>
    <s v="Projeto de LSF"/>
    <d v="2026-06-15T00:00:00"/>
    <n v="1500"/>
  </r>
  <r>
    <x v="1"/>
    <s v="Projeto para metalica de cobertura "/>
    <d v="2026-06-15T00:00:00"/>
    <n v="2000"/>
  </r>
  <r>
    <x v="1"/>
    <s v="Projeto fundação"/>
    <d v="2026-06-15T00:00:00"/>
    <n v="1250"/>
  </r>
  <r>
    <x v="1"/>
    <s v="Projeto de LSF"/>
    <d v="2026-06-15T00:00:00"/>
    <n v="1500"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2E80F-0262-4AF8-98B1-F6BDE6A722F1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G2:H4" firstHeaderRow="1" firstDataRow="1" firstDataCol="1"/>
  <pivotFields count="4">
    <pivotField axis="axisRow" showAll="0">
      <items count="28">
        <item m="1" x="18"/>
        <item m="1" x="23"/>
        <item x="0"/>
        <item m="1" x="5"/>
        <item m="1" x="7"/>
        <item m="1" x="24"/>
        <item m="1" x="17"/>
        <item m="1" x="9"/>
        <item m="1" x="15"/>
        <item m="1" x="21"/>
        <item m="1" x="10"/>
        <item m="1" x="6"/>
        <item m="1" x="19"/>
        <item m="1" x="4"/>
        <item m="1" x="11"/>
        <item m="1" x="22"/>
        <item m="1" x="14"/>
        <item m="1" x="20"/>
        <item m="1" x="8"/>
        <item m="1" x="3"/>
        <item m="1" x="12"/>
        <item m="1" x="25"/>
        <item m="1" x="2"/>
        <item m="1" x="16"/>
        <item m="1" x="26"/>
        <item m="1" x="13"/>
        <item m="1" x="1"/>
        <item t="default"/>
      </items>
    </pivotField>
    <pivotField showAll="0"/>
    <pivotField showAll="0"/>
    <pivotField dataField="1" showAl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Soma de Valor" fld="3" baseField="0" baseItem="0" numFmtId="44"/>
  </dataFields>
  <formats count="11">
    <format dxfId="100">
      <pivotArea outline="0" collapsedLevelsAreSubtotals="1" fieldPosition="0"/>
    </format>
    <format dxfId="99">
      <pivotArea collapsedLevelsAreSubtotals="1" fieldPosition="0">
        <references count="1">
          <reference field="0" count="3">
            <x v="6"/>
            <x v="7"/>
            <x v="8"/>
          </reference>
        </references>
      </pivotArea>
    </format>
    <format dxfId="98">
      <pivotArea dataOnly="0" labelOnly="1" fieldPosition="0">
        <references count="1">
          <reference field="0" count="3">
            <x v="6"/>
            <x v="7"/>
            <x v="8"/>
          </reference>
        </references>
      </pivotArea>
    </format>
    <format dxfId="97">
      <pivotArea collapsedLevelsAreSubtotals="1" fieldPosition="0">
        <references count="1">
          <reference field="0" count="1">
            <x v="10"/>
          </reference>
        </references>
      </pivotArea>
    </format>
    <format dxfId="96">
      <pivotArea dataOnly="0" labelOnly="1" fieldPosition="0">
        <references count="1">
          <reference field="0" count="1">
            <x v="10"/>
          </reference>
        </references>
      </pivotArea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0" type="button" dataOnly="0" labelOnly="1" outline="0" axis="axisRow" fieldPosition="0"/>
    </format>
    <format dxfId="92">
      <pivotArea dataOnly="0" labelOnly="1" fieldPosition="0">
        <references count="1">
          <reference field="0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14002-E157-4E98-BCDA-61F4C747D334}" name="Tabela dinâ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G2:H4" firstHeaderRow="1" firstDataRow="1" firstDataCol="1"/>
  <pivotFields count="4">
    <pivotField axis="axisRow" showAll="0">
      <items count="24">
        <item x="0"/>
        <item m="1" x="2"/>
        <item m="1" x="5"/>
        <item m="1" x="22"/>
        <item m="1" x="10"/>
        <item m="1" x="12"/>
        <item m="1" x="14"/>
        <item m="1" x="1"/>
        <item m="1" x="7"/>
        <item m="1" x="15"/>
        <item m="1" x="17"/>
        <item m="1" x="3"/>
        <item m="1" x="6"/>
        <item m="1" x="18"/>
        <item m="1" x="8"/>
        <item m="1" x="4"/>
        <item m="1" x="16"/>
        <item m="1" x="19"/>
        <item m="1" x="21"/>
        <item m="1" x="9"/>
        <item m="1" x="13"/>
        <item m="1" x="20"/>
        <item m="1" x="11"/>
        <item t="default"/>
      </items>
    </pivotField>
    <pivotField showAll="0"/>
    <pivotField showAll="0"/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oma de Valor" fld="3" baseField="0" baseItem="0" numFmtId="44"/>
  </dataFields>
  <formats count="7">
    <format dxfId="83">
      <pivotArea outline="0" collapsedLevelsAreSubtotals="1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0" type="button" dataOnly="0" labelOnly="1" outline="0" axis="axisRow" fieldPosition="0"/>
    </format>
    <format dxfId="79">
      <pivotArea dataOnly="0" labelOnly="1" fieldPosition="0">
        <references count="1">
          <reference field="0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7770E-BD8D-4A39-9EEB-E494807DBA12}" name="Tabela dinâmica4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G2:H5" firstHeaderRow="1" firstDataRow="1" firstDataCol="1"/>
  <pivotFields count="4">
    <pivotField axis="axisRow" showAll="0">
      <items count="15">
        <item x="1"/>
        <item m="1" x="2"/>
        <item m="1" x="6"/>
        <item m="1" x="3"/>
        <item m="1" x="12"/>
        <item m="1" x="11"/>
        <item m="1" x="13"/>
        <item m="1" x="8"/>
        <item m="1" x="10"/>
        <item m="1" x="4"/>
        <item m="1" x="5"/>
        <item m="1" x="7"/>
        <item m="1" x="9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3">
    <i>
      <x/>
    </i>
    <i>
      <x v="13"/>
    </i>
    <i t="grand">
      <x/>
    </i>
  </rowItems>
  <colItems count="1">
    <i/>
  </colItems>
  <dataFields count="1">
    <dataField name="Soma de Valor" fld="3" baseField="0" baseItem="0" numFmtId="44"/>
  </dataFields>
  <formats count="7">
    <format dxfId="56">
      <pivotArea outline="0" collapsedLevelsAreSubtotals="1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0" type="button" dataOnly="0" labelOnly="1" outline="0" axis="axisRow" fieldPosition="0"/>
    </format>
    <format dxfId="52">
      <pivotArea dataOnly="0" labelOnly="1" fieldPosition="0">
        <references count="1">
          <reference field="0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AEF8D-DB55-483F-8371-7E3BDF8CA6AF}" name="Tabela dinâmica5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G2:H6" firstHeaderRow="1" firstDataRow="1" firstDataCol="1"/>
  <pivotFields count="4">
    <pivotField axis="axisRow" showAll="0">
      <items count="11">
        <item x="2"/>
        <item m="1" x="3"/>
        <item m="1" x="8"/>
        <item m="1" x="4"/>
        <item m="1" x="5"/>
        <item m="1" x="7"/>
        <item m="1" x="6"/>
        <item m="1" x="9"/>
        <item x="0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8"/>
    </i>
    <i>
      <x v="9"/>
    </i>
    <i t="grand">
      <x/>
    </i>
  </rowItems>
  <colItems count="1">
    <i/>
  </colItems>
  <dataFields count="1">
    <dataField name="Soma de Valor" fld="3" baseField="0" baseItem="0" numFmtId="44"/>
  </dataFields>
  <formats count="7">
    <format dxfId="29">
      <pivotArea outline="0" collapsedLevelsAreSubtotals="1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2E73D-F2BE-4921-88D6-048B8FA4B349}" name="Tabela dinâmica6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G2:H4" firstHeaderRow="1" firstDataRow="1" firstDataCol="1"/>
  <pivotFields count="4">
    <pivotField axis="axisRow" showAll="0">
      <items count="15">
        <item x="0"/>
        <item m="1" x="13"/>
        <item m="1" x="5"/>
        <item m="1" x="6"/>
        <item m="1" x="8"/>
        <item m="1" x="1"/>
        <item m="1" x="10"/>
        <item m="1" x="3"/>
        <item m="1" x="4"/>
        <item m="1" x="2"/>
        <item m="1" x="9"/>
        <item m="1" x="11"/>
        <item m="1" x="12"/>
        <item m="1" x="7"/>
        <item t="default"/>
      </items>
    </pivotField>
    <pivotField showAll="0"/>
    <pivotField showAll="0"/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oma de Valor" fld="3" baseField="0" baseItem="0" numFmtId="44"/>
  </dataFields>
  <formats count="7">
    <format dxfId="16">
      <pivotArea outline="0" collapsedLevelsAreSubtotals="1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99272C-C04B-4467-A586-93B5D1F0945C}" name="Tabela1" displayName="Tabela1" ref="B2:E34" totalsRowShown="0" headerRowDxfId="89" dataDxfId="88">
  <autoFilter ref="B2:E34" xr:uid="{A399272C-C04B-4467-A586-93B5D1F0945C}"/>
  <sortState xmlns:xlrd2="http://schemas.microsoft.com/office/spreadsheetml/2017/richdata2" ref="B3:E176">
    <sortCondition ref="D2:D176"/>
  </sortState>
  <tableColumns count="4">
    <tableColumn id="1" xr3:uid="{4317CD32-6446-4334-863C-29FB269CD31E}" name="Tipo" dataDxfId="87"/>
    <tableColumn id="3" xr3:uid="{1753EE95-B79E-450F-8CDA-E5C0E5BA1D2B}" name="Descrição" dataDxfId="86"/>
    <tableColumn id="4" xr3:uid="{E22E8037-17FE-42DF-AE10-7C80E7D00B7F}" name="Mês" dataDxfId="85"/>
    <tableColumn id="5" xr3:uid="{B7B25FFC-F729-4C18-A560-BF1CBD791D32}" name="Valor" dataDxfId="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F6013D-1516-47F0-9090-3E8B94FA89F2}" name="Tabela15" displayName="Tabela15" ref="B2:E55" totalsRowShown="0" headerRowDxfId="76" dataDxfId="75">
  <autoFilter ref="B2:E55" xr:uid="{33F6013D-1516-47F0-9090-3E8B94FA89F2}"/>
  <tableColumns count="4">
    <tableColumn id="1" xr3:uid="{A1DE367B-EEF3-4F4F-9D73-7DF3439B80F9}" name="Tipo" dataDxfId="74"/>
    <tableColumn id="3" xr3:uid="{63F39834-B0E2-4B47-A581-61B274B293CB}" name="Descrição" dataDxfId="73"/>
    <tableColumn id="4" xr3:uid="{03885AC9-0DA0-4F72-AE5F-C049D1C55759}" name="Mês" dataDxfId="72"/>
    <tableColumn id="5" xr3:uid="{530276E4-451F-4703-AAC9-A597E60AAAC2}" name="Valor" dataDxfId="71" dataCellStyle="Mo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CC802E-F7DD-4CC2-8575-D5C3AC8C8A53}" name="Tabela7" displayName="Tabela7" ref="B2:E218" totalsRowShown="0" headerRowDxfId="49" dataDxfId="48">
  <autoFilter ref="B2:E218" xr:uid="{BCCC802E-F7DD-4CC2-8575-D5C3AC8C8A53}"/>
  <sortState xmlns:xlrd2="http://schemas.microsoft.com/office/spreadsheetml/2017/richdata2" ref="B3:E218">
    <sortCondition ref="D2:D218"/>
  </sortState>
  <tableColumns count="4">
    <tableColumn id="1" xr3:uid="{BF0ECAAA-F7A1-4B92-A968-4B4DD07DBA45}" name="Tipo" dataDxfId="47"/>
    <tableColumn id="2" xr3:uid="{9F7FD779-5BF3-48F9-BFD9-6E39F4E43F9C}" name="Descrição" dataDxfId="46"/>
    <tableColumn id="3" xr3:uid="{990D91E9-8F37-491C-9FB7-71DB6E1A3888}" name="Mês" dataDxfId="45"/>
    <tableColumn id="4" xr3:uid="{98EAD737-1131-44F5-8A25-A57731DD02A1}" name="Valor" dataDxfId="4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CD652AA-E4D6-491A-B3B0-53BDF6BDD2AE}" name="Tabela154" displayName="Tabela154" ref="B2:E27" totalsRowShown="0" headerRowDxfId="22" dataDxfId="21">
  <autoFilter ref="B2:E27" xr:uid="{CCD652AA-E4D6-491A-B3B0-53BDF6BDD2AE}"/>
  <tableColumns count="4">
    <tableColumn id="1" xr3:uid="{8B1AC27E-F191-401A-AAB7-0D5F45C5F46E}" name="Tipo" dataDxfId="20"/>
    <tableColumn id="3" xr3:uid="{300062CA-961B-475C-989B-6B6853F142BC}" name="Descrição" dataDxfId="19"/>
    <tableColumn id="4" xr3:uid="{A0BBBE5E-20E6-4185-8B2B-BD67ACCEA3FA}" name="Mês" dataDxfId="18"/>
    <tableColumn id="5" xr3:uid="{54E43A1D-3BF7-4764-9A58-542258A5EA1E}" name="Valor" dataDxfId="17" dataCellStyle="Moe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DC6592-3779-4E98-B491-2CD19EABFCE9}" name="Tabela153" displayName="Tabela153" ref="B2:E31" totalsRowShown="0" headerRowDxfId="9" dataDxfId="8">
  <autoFilter ref="B2:E31" xr:uid="{7BDC6592-3779-4E98-B491-2CD19EABFCE9}"/>
  <tableColumns count="4">
    <tableColumn id="1" xr3:uid="{804E16A7-26C5-40DE-B09D-FD9575ECF298}" name="Tipo" dataDxfId="7" totalsRowDxfId="6"/>
    <tableColumn id="3" xr3:uid="{22B81484-64D0-40D8-AA84-FA6D3FABDF42}" name="Descrição" dataDxfId="5" totalsRowDxfId="4"/>
    <tableColumn id="4" xr3:uid="{F8A6B676-4072-4990-9AD9-AC5A67D61F7A}" name="Mês" dataDxfId="3" totalsRowDxfId="2"/>
    <tableColumn id="5" xr3:uid="{7454BC73-5B7D-400E-8E27-DC3BB55D6B08}" name="Valor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B083"/>
    <pageSetUpPr fitToPage="1"/>
  </sheetPr>
  <dimension ref="A1:Z1000"/>
  <sheetViews>
    <sheetView showGridLines="0" workbookViewId="0">
      <pane ySplit="2" topLeftCell="A36" activePane="bottomLeft" state="frozen"/>
      <selection pane="bottomLeft" activeCell="F42" sqref="F42:G42"/>
    </sheetView>
  </sheetViews>
  <sheetFormatPr defaultColWidth="14.42578125" defaultRowHeight="15" customHeight="1" x14ac:dyDescent="0.25"/>
  <cols>
    <col min="1" max="1" width="1.42578125" customWidth="1"/>
    <col min="2" max="2" width="57.5703125" customWidth="1"/>
    <col min="3" max="3" width="12.7109375" customWidth="1"/>
    <col min="4" max="7" width="16.7109375" customWidth="1"/>
    <col min="8" max="9" width="17.85546875" hidden="1" customWidth="1"/>
    <col min="10" max="10" width="19.42578125" customWidth="1"/>
    <col min="11" max="11" width="17.85546875" customWidth="1"/>
    <col min="12" max="12" width="19.42578125" customWidth="1"/>
    <col min="13" max="13" width="17.85546875" customWidth="1"/>
    <col min="14" max="14" width="18.42578125" customWidth="1"/>
    <col min="15" max="15" width="1.28515625" customWidth="1"/>
    <col min="16" max="16" width="19.85546875" customWidth="1"/>
    <col min="17" max="18" width="19.28515625" customWidth="1"/>
    <col min="19" max="19" width="1.42578125" customWidth="1"/>
    <col min="20" max="21" width="14.85546875" customWidth="1"/>
    <col min="22" max="22" width="16.42578125" customWidth="1"/>
    <col min="23" max="23" width="1.28515625" customWidth="1"/>
    <col min="24" max="24" width="9.140625" customWidth="1"/>
    <col min="25" max="26" width="8.7109375" customWidth="1"/>
  </cols>
  <sheetData>
    <row r="1" spans="1:26" ht="8.25" customHeight="1" x14ac:dyDescent="0.25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4"/>
      <c r="U1" s="4"/>
      <c r="V1" s="4"/>
      <c r="W1" s="1"/>
      <c r="X1" s="1"/>
      <c r="Y1" s="5"/>
      <c r="Z1" s="5"/>
    </row>
    <row r="2" spans="1:26" ht="31.5" customHeight="1" x14ac:dyDescent="0.25">
      <c r="A2" s="3"/>
      <c r="B2" s="6" t="s">
        <v>0</v>
      </c>
      <c r="C2" s="7" t="s">
        <v>1</v>
      </c>
      <c r="D2" s="262" t="s">
        <v>2</v>
      </c>
      <c r="E2" s="263"/>
      <c r="F2" s="262" t="s">
        <v>3</v>
      </c>
      <c r="G2" s="263"/>
      <c r="H2" s="262" t="s">
        <v>4</v>
      </c>
      <c r="I2" s="263"/>
      <c r="J2" s="262" t="s">
        <v>5</v>
      </c>
      <c r="K2" s="263"/>
      <c r="L2" s="262" t="s">
        <v>6</v>
      </c>
      <c r="M2" s="263"/>
      <c r="N2" s="6" t="s">
        <v>7</v>
      </c>
      <c r="O2" s="8"/>
      <c r="P2" s="9" t="s">
        <v>8</v>
      </c>
      <c r="Q2" s="9" t="s">
        <v>9</v>
      </c>
      <c r="R2" s="9" t="s">
        <v>10</v>
      </c>
      <c r="S2" s="8"/>
      <c r="T2" s="10" t="s">
        <v>11</v>
      </c>
      <c r="U2" s="11" t="s">
        <v>12</v>
      </c>
      <c r="V2" s="12" t="s">
        <v>13</v>
      </c>
      <c r="W2" s="3"/>
      <c r="X2" s="3"/>
      <c r="Y2" s="3"/>
      <c r="Z2" s="3"/>
    </row>
    <row r="3" spans="1:26" ht="30" customHeight="1" x14ac:dyDescent="0.25">
      <c r="A3" s="1"/>
      <c r="B3" s="260" t="s">
        <v>14</v>
      </c>
      <c r="C3" s="13" t="s">
        <v>15</v>
      </c>
      <c r="D3" s="14">
        <f>PROPOSTA!F3</f>
        <v>441794</v>
      </c>
      <c r="E3" s="258">
        <f>SUM(D3:D4)</f>
        <v>701624.51</v>
      </c>
      <c r="F3" s="14">
        <v>416647.37</v>
      </c>
      <c r="G3" s="258">
        <f>SUM(F3:F4)</f>
        <v>557172.37</v>
      </c>
      <c r="H3" s="14"/>
      <c r="I3" s="258">
        <f>SUM(H3:H4)</f>
        <v>0</v>
      </c>
      <c r="J3" s="14"/>
      <c r="K3" s="258">
        <f>SUM(J3:J4)</f>
        <v>0</v>
      </c>
      <c r="L3" s="14"/>
      <c r="M3" s="258">
        <f>SUM(L3:L4)</f>
        <v>0</v>
      </c>
      <c r="N3" s="15">
        <f>F3-(L3+H3)</f>
        <v>416647.37</v>
      </c>
      <c r="O3" s="16"/>
      <c r="P3" s="17">
        <f t="shared" ref="P3:P41" si="0">D3-F3</f>
        <v>25146.630000000005</v>
      </c>
      <c r="Q3" s="17">
        <f t="shared" ref="Q3:Q41" si="1">F3-L3</f>
        <v>416647.37</v>
      </c>
      <c r="R3" s="17">
        <f t="shared" ref="R3:R41" si="2">D3-L3</f>
        <v>441794</v>
      </c>
      <c r="S3" s="16"/>
      <c r="T3" s="18">
        <f>Resumo!C6</f>
        <v>5132</v>
      </c>
      <c r="U3" s="19">
        <f>Resumo!C5</f>
        <v>1004567.74</v>
      </c>
      <c r="V3" s="20" t="e">
        <f>#REF!-U3-T3</f>
        <v>#REF!</v>
      </c>
      <c r="W3" s="4"/>
      <c r="X3" s="1"/>
      <c r="Y3" s="5"/>
      <c r="Z3" s="5"/>
    </row>
    <row r="4" spans="1:26" ht="34.5" customHeight="1" x14ac:dyDescent="0.25">
      <c r="A4" s="1"/>
      <c r="B4" s="261"/>
      <c r="C4" s="21" t="s">
        <v>16</v>
      </c>
      <c r="D4" s="22">
        <f>PROPOSTA!G3</f>
        <v>259830.51</v>
      </c>
      <c r="E4" s="259"/>
      <c r="F4" s="22">
        <v>140525</v>
      </c>
      <c r="G4" s="259"/>
      <c r="H4" s="22"/>
      <c r="I4" s="259"/>
      <c r="J4" s="22"/>
      <c r="K4" s="259"/>
      <c r="L4" s="22"/>
      <c r="M4" s="259"/>
      <c r="N4" s="15">
        <f>F4-(L4+J4)</f>
        <v>140525</v>
      </c>
      <c r="O4" s="16"/>
      <c r="P4" s="23">
        <f t="shared" si="0"/>
        <v>119305.51000000001</v>
      </c>
      <c r="Q4" s="17">
        <f t="shared" si="1"/>
        <v>140525</v>
      </c>
      <c r="R4" s="17">
        <f t="shared" si="2"/>
        <v>259830.51</v>
      </c>
      <c r="S4" s="16"/>
      <c r="T4" s="4"/>
      <c r="U4" s="4"/>
      <c r="V4" s="4"/>
      <c r="W4" s="4"/>
      <c r="X4" s="1"/>
      <c r="Y4" s="5"/>
      <c r="Z4" s="5"/>
    </row>
    <row r="5" spans="1:26" ht="30" customHeight="1" x14ac:dyDescent="0.25">
      <c r="A5" s="1"/>
      <c r="B5" s="260" t="s">
        <v>17</v>
      </c>
      <c r="C5" s="13" t="s">
        <v>15</v>
      </c>
      <c r="D5" s="14">
        <f>PROPOSTA!F4</f>
        <v>0</v>
      </c>
      <c r="E5" s="258">
        <f>SUM(D5:D6)</f>
        <v>69584.75</v>
      </c>
      <c r="F5" s="14">
        <f>PROPOSTA!B4</f>
        <v>0</v>
      </c>
      <c r="G5" s="258">
        <f>SUM(F5:F6)</f>
        <v>37633.75</v>
      </c>
      <c r="H5" s="14"/>
      <c r="I5" s="258">
        <f>SUM(H5:H6)</f>
        <v>0</v>
      </c>
      <c r="J5" s="14"/>
      <c r="K5" s="258">
        <f>SUM(J5:J6)</f>
        <v>0</v>
      </c>
      <c r="L5" s="14"/>
      <c r="M5" s="258">
        <f>SUM(L5:L6)</f>
        <v>0</v>
      </c>
      <c r="N5" s="15">
        <f>F5-(L5+H5)</f>
        <v>0</v>
      </c>
      <c r="O5" s="16"/>
      <c r="P5" s="17">
        <f t="shared" si="0"/>
        <v>0</v>
      </c>
      <c r="Q5" s="17">
        <f t="shared" si="1"/>
        <v>0</v>
      </c>
      <c r="R5" s="17">
        <f t="shared" si="2"/>
        <v>0</v>
      </c>
      <c r="S5" s="16"/>
      <c r="T5" s="18">
        <f>Resumo!C8</f>
        <v>9882</v>
      </c>
      <c r="U5" s="19">
        <f>Resumo!C7</f>
        <v>4750</v>
      </c>
      <c r="V5" s="20">
        <f>D38-U5-T5</f>
        <v>-14632</v>
      </c>
      <c r="W5" s="4"/>
      <c r="X5" s="1"/>
      <c r="Y5" s="5"/>
      <c r="Z5" s="5"/>
    </row>
    <row r="6" spans="1:26" ht="34.5" customHeight="1" x14ac:dyDescent="0.25">
      <c r="A6" s="1"/>
      <c r="B6" s="261"/>
      <c r="C6" s="21" t="s">
        <v>16</v>
      </c>
      <c r="D6" s="22">
        <f>PROPOSTA!G4</f>
        <v>69584.75</v>
      </c>
      <c r="E6" s="259"/>
      <c r="F6" s="22">
        <v>37633.75</v>
      </c>
      <c r="G6" s="259"/>
      <c r="H6" s="22"/>
      <c r="I6" s="259"/>
      <c r="J6" s="22"/>
      <c r="K6" s="259"/>
      <c r="L6" s="22"/>
      <c r="M6" s="259"/>
      <c r="N6" s="15">
        <f>F6-(L6+J6)</f>
        <v>37633.75</v>
      </c>
      <c r="O6" s="16"/>
      <c r="P6" s="23">
        <f t="shared" si="0"/>
        <v>31951</v>
      </c>
      <c r="Q6" s="17">
        <f t="shared" si="1"/>
        <v>37633.75</v>
      </c>
      <c r="R6" s="17">
        <f t="shared" si="2"/>
        <v>69584.75</v>
      </c>
      <c r="S6" s="16"/>
      <c r="T6" s="4"/>
      <c r="U6" s="4"/>
      <c r="V6" s="4"/>
      <c r="W6" s="4"/>
      <c r="X6" s="1"/>
      <c r="Y6" s="5"/>
      <c r="Z6" s="5"/>
    </row>
    <row r="7" spans="1:26" ht="30" customHeight="1" thickBot="1" x14ac:dyDescent="0.3">
      <c r="A7" s="1"/>
      <c r="B7" s="260" t="s">
        <v>18</v>
      </c>
      <c r="C7" s="13" t="s">
        <v>15</v>
      </c>
      <c r="D7" s="14">
        <f>PROPOSTA!F5</f>
        <v>161000</v>
      </c>
      <c r="E7" s="258">
        <f>SUM(D7:D8)</f>
        <v>170550.85</v>
      </c>
      <c r="F7" s="14">
        <v>5116</v>
      </c>
      <c r="G7" s="258">
        <f>SUM(F7:F8)</f>
        <v>10232</v>
      </c>
      <c r="H7" s="14"/>
      <c r="I7" s="258">
        <f>SUM(H7:H8)</f>
        <v>0</v>
      </c>
      <c r="J7" s="14"/>
      <c r="K7" s="258">
        <f>SUM(J7:J8)</f>
        <v>0</v>
      </c>
      <c r="L7" s="14"/>
      <c r="M7" s="258">
        <f>SUM(L7:L8)</f>
        <v>0</v>
      </c>
      <c r="N7" s="15">
        <f>F7-(L7+H7)</f>
        <v>5116</v>
      </c>
      <c r="O7" s="16"/>
      <c r="P7" s="17">
        <f t="shared" si="0"/>
        <v>155884</v>
      </c>
      <c r="Q7" s="17">
        <f t="shared" si="1"/>
        <v>5116</v>
      </c>
      <c r="R7" s="17">
        <f t="shared" si="2"/>
        <v>161000</v>
      </c>
      <c r="S7" s="16"/>
      <c r="T7" s="18">
        <f>Resumo!C10</f>
        <v>0</v>
      </c>
      <c r="U7" s="19">
        <f>Resumo!C9</f>
        <v>994685.74</v>
      </c>
      <c r="V7" s="20">
        <f>D40-U7-T7</f>
        <v>-994685.74</v>
      </c>
      <c r="W7" s="4"/>
      <c r="X7" s="1"/>
      <c r="Y7" s="5"/>
      <c r="Z7" s="5"/>
    </row>
    <row r="8" spans="1:26" ht="34.5" customHeight="1" thickBot="1" x14ac:dyDescent="0.3">
      <c r="A8" s="1"/>
      <c r="B8" s="261"/>
      <c r="C8" s="21" t="s">
        <v>16</v>
      </c>
      <c r="D8" s="22">
        <f>PROPOSTA!G5</f>
        <v>9550.85</v>
      </c>
      <c r="E8" s="259"/>
      <c r="F8" s="14">
        <v>5116</v>
      </c>
      <c r="G8" s="259"/>
      <c r="H8" s="22"/>
      <c r="I8" s="259"/>
      <c r="J8" s="22"/>
      <c r="K8" s="259"/>
      <c r="L8" s="22"/>
      <c r="M8" s="259"/>
      <c r="N8" s="15">
        <f>F8-(L8+J8)</f>
        <v>5116</v>
      </c>
      <c r="O8" s="16"/>
      <c r="P8" s="23">
        <f t="shared" si="0"/>
        <v>4434.8500000000004</v>
      </c>
      <c r="Q8" s="17">
        <f t="shared" si="1"/>
        <v>5116</v>
      </c>
      <c r="R8" s="17">
        <f t="shared" si="2"/>
        <v>9550.85</v>
      </c>
      <c r="S8" s="16"/>
      <c r="T8" s="4"/>
      <c r="U8" s="4"/>
      <c r="V8" s="4"/>
      <c r="W8" s="4"/>
      <c r="X8" s="1"/>
      <c r="Y8" s="5"/>
      <c r="Z8" s="5"/>
    </row>
    <row r="9" spans="1:26" ht="30" customHeight="1" thickBot="1" x14ac:dyDescent="0.3">
      <c r="A9" s="1"/>
      <c r="B9" s="260" t="s">
        <v>19</v>
      </c>
      <c r="C9" s="13" t="s">
        <v>15</v>
      </c>
      <c r="D9" s="14">
        <f>PROPOSTA!F6</f>
        <v>7500</v>
      </c>
      <c r="E9" s="258">
        <f>SUM(D9:D10)</f>
        <v>35974.58</v>
      </c>
      <c r="F9" s="14">
        <f>PROPOSTA!B6</f>
        <v>6000</v>
      </c>
      <c r="G9" s="258">
        <f>SUM(F9:F10)</f>
        <v>22800</v>
      </c>
      <c r="H9" s="14"/>
      <c r="I9" s="258">
        <f>SUM(H9:H10)</f>
        <v>0</v>
      </c>
      <c r="J9" s="14"/>
      <c r="K9" s="258">
        <f>SUM(J9:J10)</f>
        <v>0</v>
      </c>
      <c r="L9" s="14"/>
      <c r="M9" s="258">
        <f>SUM(L9:L10)</f>
        <v>0</v>
      </c>
      <c r="N9" s="15">
        <f>F9-(L9+H9)</f>
        <v>6000</v>
      </c>
      <c r="O9" s="16"/>
      <c r="P9" s="17">
        <f t="shared" si="0"/>
        <v>1500</v>
      </c>
      <c r="Q9" s="17">
        <f t="shared" si="1"/>
        <v>6000</v>
      </c>
      <c r="R9" s="17">
        <f t="shared" si="2"/>
        <v>7500</v>
      </c>
      <c r="S9" s="16"/>
      <c r="T9" s="18" t="e">
        <f>Resumo!#REF!</f>
        <v>#REF!</v>
      </c>
      <c r="U9" s="19" t="e">
        <f>Resumo!#REF!</f>
        <v>#REF!</v>
      </c>
      <c r="V9" s="20" t="e">
        <f>D16-U9-T9</f>
        <v>#REF!</v>
      </c>
      <c r="W9" s="4"/>
      <c r="X9" s="1"/>
      <c r="Y9" s="5"/>
      <c r="Z9" s="5"/>
    </row>
    <row r="10" spans="1:26" ht="34.5" customHeight="1" x14ac:dyDescent="0.25">
      <c r="A10" s="1"/>
      <c r="B10" s="261"/>
      <c r="C10" s="21" t="s">
        <v>16</v>
      </c>
      <c r="D10" s="22">
        <f>PROPOSTA!G6</f>
        <v>28474.58</v>
      </c>
      <c r="E10" s="259"/>
      <c r="F10" s="22">
        <f>PROPOSTA!C6</f>
        <v>16800</v>
      </c>
      <c r="G10" s="259"/>
      <c r="H10" s="22"/>
      <c r="I10" s="259"/>
      <c r="J10" s="22"/>
      <c r="K10" s="259"/>
      <c r="L10" s="22"/>
      <c r="M10" s="259"/>
      <c r="N10" s="15">
        <f>F10-(L10+J10)</f>
        <v>16800</v>
      </c>
      <c r="O10" s="16"/>
      <c r="P10" s="23">
        <f t="shared" si="0"/>
        <v>11674.580000000002</v>
      </c>
      <c r="Q10" s="17">
        <f t="shared" si="1"/>
        <v>16800</v>
      </c>
      <c r="R10" s="17">
        <f t="shared" si="2"/>
        <v>28474.58</v>
      </c>
      <c r="S10" s="16"/>
      <c r="T10" s="4"/>
      <c r="U10" s="4"/>
      <c r="V10" s="4"/>
      <c r="W10" s="4"/>
      <c r="X10" s="1"/>
      <c r="Y10" s="5"/>
      <c r="Z10" s="5"/>
    </row>
    <row r="11" spans="1:26" ht="30" customHeight="1" x14ac:dyDescent="0.25">
      <c r="A11" s="1"/>
      <c r="B11" s="260" t="s">
        <v>20</v>
      </c>
      <c r="C11" s="13" t="s">
        <v>15</v>
      </c>
      <c r="D11" s="14">
        <f>PROPOSTA!F7</f>
        <v>0</v>
      </c>
      <c r="E11" s="258">
        <f>SUM(D11:D12)</f>
        <v>68644.070000000007</v>
      </c>
      <c r="F11" s="14">
        <f>PROPOSTA!B7</f>
        <v>0</v>
      </c>
      <c r="G11" s="258">
        <f>SUM(F11:F12)</f>
        <v>40500</v>
      </c>
      <c r="H11" s="14"/>
      <c r="I11" s="258">
        <f>SUM(H11:H12)</f>
        <v>0</v>
      </c>
      <c r="J11" s="14"/>
      <c r="K11" s="258">
        <f>SUM(J11:J12)</f>
        <v>0</v>
      </c>
      <c r="L11" s="14"/>
      <c r="M11" s="258">
        <f>SUM(L11:L12)</f>
        <v>0</v>
      </c>
      <c r="N11" s="15">
        <f>F11-(L11+H11)</f>
        <v>0</v>
      </c>
      <c r="O11" s="16"/>
      <c r="P11" s="17">
        <f t="shared" si="0"/>
        <v>0</v>
      </c>
      <c r="Q11" s="17">
        <f t="shared" si="1"/>
        <v>0</v>
      </c>
      <c r="R11" s="17">
        <f t="shared" si="2"/>
        <v>0</v>
      </c>
      <c r="S11" s="16"/>
      <c r="T11" s="18" t="e">
        <f>Resumo!#REF!</f>
        <v>#REF!</v>
      </c>
      <c r="U11" s="19" t="e">
        <f>Resumo!#REF!</f>
        <v>#REF!</v>
      </c>
      <c r="V11" s="20" t="e">
        <f>D18-U11-T11</f>
        <v>#REF!</v>
      </c>
      <c r="W11" s="4"/>
      <c r="X11" s="1"/>
      <c r="Y11" s="5"/>
      <c r="Z11" s="5"/>
    </row>
    <row r="12" spans="1:26" ht="34.5" customHeight="1" x14ac:dyDescent="0.25">
      <c r="A12" s="1"/>
      <c r="B12" s="261"/>
      <c r="C12" s="21" t="s">
        <v>16</v>
      </c>
      <c r="D12" s="22">
        <f>PROPOSTA!G7</f>
        <v>68644.070000000007</v>
      </c>
      <c r="E12" s="259"/>
      <c r="F12" s="22">
        <f>PROPOSTA!C7</f>
        <v>40500</v>
      </c>
      <c r="G12" s="259"/>
      <c r="H12" s="22"/>
      <c r="I12" s="259"/>
      <c r="J12" s="22"/>
      <c r="K12" s="259"/>
      <c r="L12" s="22"/>
      <c r="M12" s="259"/>
      <c r="N12" s="15">
        <f>F12-(L12+J12)</f>
        <v>40500</v>
      </c>
      <c r="O12" s="16"/>
      <c r="P12" s="23">
        <f t="shared" si="0"/>
        <v>28144.070000000007</v>
      </c>
      <c r="Q12" s="17">
        <f t="shared" si="1"/>
        <v>40500</v>
      </c>
      <c r="R12" s="17">
        <f t="shared" si="2"/>
        <v>68644.070000000007</v>
      </c>
      <c r="S12" s="16"/>
      <c r="T12" s="4"/>
      <c r="U12" s="4"/>
      <c r="V12" s="4"/>
      <c r="W12" s="4"/>
      <c r="X12" s="1"/>
      <c r="Y12" s="5"/>
      <c r="Z12" s="5"/>
    </row>
    <row r="13" spans="1:26" ht="30" customHeight="1" x14ac:dyDescent="0.25">
      <c r="A13" s="1"/>
      <c r="B13" s="260" t="s">
        <v>21</v>
      </c>
      <c r="C13" s="13" t="s">
        <v>15</v>
      </c>
      <c r="D13" s="14">
        <f>PROPOSTA!F8</f>
        <v>0</v>
      </c>
      <c r="E13" s="258">
        <f>SUM(D13:D14)</f>
        <v>50338.98</v>
      </c>
      <c r="F13" s="14">
        <f>PROPOSTA!B8</f>
        <v>0</v>
      </c>
      <c r="G13" s="258">
        <f>SUM(F13:F14)</f>
        <v>29700</v>
      </c>
      <c r="H13" s="14"/>
      <c r="I13" s="258">
        <f>SUM(H13:H14)</f>
        <v>0</v>
      </c>
      <c r="J13" s="14"/>
      <c r="K13" s="258">
        <f>SUM(J13:J14)</f>
        <v>0</v>
      </c>
      <c r="L13" s="14"/>
      <c r="M13" s="258">
        <f>SUM(L13:L14)</f>
        <v>0</v>
      </c>
      <c r="N13" s="15">
        <f>F13-(L13+H13)</f>
        <v>0</v>
      </c>
      <c r="O13" s="16"/>
      <c r="P13" s="17">
        <f t="shared" si="0"/>
        <v>0</v>
      </c>
      <c r="Q13" s="17">
        <f t="shared" si="1"/>
        <v>0</v>
      </c>
      <c r="R13" s="17">
        <f t="shared" si="2"/>
        <v>0</v>
      </c>
      <c r="S13" s="16"/>
      <c r="T13" s="18" t="e">
        <f>Resumo!#REF!</f>
        <v>#REF!</v>
      </c>
      <c r="U13" s="19" t="e">
        <f>Resumo!#REF!</f>
        <v>#REF!</v>
      </c>
      <c r="V13" s="20" t="e">
        <f>D20-U13-T13</f>
        <v>#REF!</v>
      </c>
      <c r="W13" s="4"/>
      <c r="X13" s="1"/>
      <c r="Y13" s="5"/>
      <c r="Z13" s="5"/>
    </row>
    <row r="14" spans="1:26" ht="34.5" customHeight="1" x14ac:dyDescent="0.25">
      <c r="A14" s="1"/>
      <c r="B14" s="261"/>
      <c r="C14" s="21" t="s">
        <v>16</v>
      </c>
      <c r="D14" s="22">
        <f>PROPOSTA!G8</f>
        <v>50338.98</v>
      </c>
      <c r="E14" s="259"/>
      <c r="F14" s="22">
        <f>PROPOSTA!C8</f>
        <v>29700</v>
      </c>
      <c r="G14" s="259"/>
      <c r="H14" s="22"/>
      <c r="I14" s="259"/>
      <c r="J14" s="22"/>
      <c r="K14" s="259"/>
      <c r="L14" s="22"/>
      <c r="M14" s="259"/>
      <c r="N14" s="15">
        <f>F14-(L14+J14)</f>
        <v>29700</v>
      </c>
      <c r="O14" s="16"/>
      <c r="P14" s="23">
        <f t="shared" si="0"/>
        <v>20638.980000000003</v>
      </c>
      <c r="Q14" s="17">
        <f t="shared" si="1"/>
        <v>29700</v>
      </c>
      <c r="R14" s="17">
        <f t="shared" si="2"/>
        <v>50338.98</v>
      </c>
      <c r="S14" s="16"/>
      <c r="T14" s="4"/>
      <c r="U14" s="4"/>
      <c r="V14" s="4"/>
      <c r="W14" s="4"/>
      <c r="X14" s="1"/>
      <c r="Y14" s="5"/>
      <c r="Z14" s="5"/>
    </row>
    <row r="15" spans="1:26" ht="30" customHeight="1" x14ac:dyDescent="0.25">
      <c r="A15" s="1"/>
      <c r="B15" s="260" t="s">
        <v>22</v>
      </c>
      <c r="C15" s="13" t="s">
        <v>15</v>
      </c>
      <c r="D15" s="14">
        <f>PROPOSTA!F9</f>
        <v>0</v>
      </c>
      <c r="E15" s="258">
        <f>SUM(D15:D16)</f>
        <v>68644.070000000007</v>
      </c>
      <c r="F15" s="14">
        <f>PROPOSTA!B9</f>
        <v>0</v>
      </c>
      <c r="G15" s="258">
        <f>SUM(F15:F16)</f>
        <v>40500</v>
      </c>
      <c r="H15" s="14"/>
      <c r="I15" s="258">
        <f>SUM(H15:H16)</f>
        <v>0</v>
      </c>
      <c r="J15" s="14"/>
      <c r="K15" s="258">
        <f>SUM(J15:J16)</f>
        <v>0</v>
      </c>
      <c r="L15" s="14"/>
      <c r="M15" s="258">
        <f>SUM(L15:L16)</f>
        <v>0</v>
      </c>
      <c r="N15" s="15">
        <f>F15-(L15+H15)</f>
        <v>0</v>
      </c>
      <c r="O15" s="16"/>
      <c r="P15" s="17">
        <f t="shared" si="0"/>
        <v>0</v>
      </c>
      <c r="Q15" s="17">
        <f t="shared" si="1"/>
        <v>0</v>
      </c>
      <c r="R15" s="17">
        <f t="shared" si="2"/>
        <v>0</v>
      </c>
      <c r="S15" s="16"/>
      <c r="T15" s="18" t="e">
        <f>Resumo!#REF!</f>
        <v>#REF!</v>
      </c>
      <c r="U15" s="19" t="e">
        <f>Resumo!#REF!</f>
        <v>#REF!</v>
      </c>
      <c r="V15" s="20" t="e">
        <f>D22-U15-T15</f>
        <v>#REF!</v>
      </c>
      <c r="W15" s="4"/>
      <c r="X15" s="1"/>
      <c r="Y15" s="5"/>
      <c r="Z15" s="5"/>
    </row>
    <row r="16" spans="1:26" ht="34.5" customHeight="1" x14ac:dyDescent="0.25">
      <c r="A16" s="1"/>
      <c r="B16" s="261"/>
      <c r="C16" s="21" t="s">
        <v>16</v>
      </c>
      <c r="D16" s="22">
        <f>PROPOSTA!G9</f>
        <v>68644.070000000007</v>
      </c>
      <c r="E16" s="259"/>
      <c r="F16" s="22">
        <f>PROPOSTA!C9</f>
        <v>40500</v>
      </c>
      <c r="G16" s="259"/>
      <c r="H16" s="22"/>
      <c r="I16" s="259"/>
      <c r="J16" s="22"/>
      <c r="K16" s="259"/>
      <c r="L16" s="22"/>
      <c r="M16" s="259"/>
      <c r="N16" s="15">
        <f>F16-(L16+J16)</f>
        <v>40500</v>
      </c>
      <c r="O16" s="16"/>
      <c r="P16" s="23">
        <f t="shared" si="0"/>
        <v>28144.070000000007</v>
      </c>
      <c r="Q16" s="17">
        <f t="shared" si="1"/>
        <v>40500</v>
      </c>
      <c r="R16" s="17">
        <f t="shared" si="2"/>
        <v>68644.070000000007</v>
      </c>
      <c r="S16" s="16"/>
      <c r="T16" s="4"/>
      <c r="U16" s="4"/>
      <c r="V16" s="4"/>
      <c r="W16" s="4"/>
      <c r="X16" s="1"/>
      <c r="Y16" s="5"/>
      <c r="Z16" s="5"/>
    </row>
    <row r="17" spans="1:26" ht="30" customHeight="1" x14ac:dyDescent="0.25">
      <c r="A17" s="1"/>
      <c r="B17" s="260" t="s">
        <v>23</v>
      </c>
      <c r="C17" s="13" t="s">
        <v>15</v>
      </c>
      <c r="D17" s="14">
        <f>PROPOSTA!F10</f>
        <v>1000</v>
      </c>
      <c r="E17" s="258">
        <f>SUM(D17:D18)</f>
        <v>34559.32</v>
      </c>
      <c r="F17" s="14">
        <f>PROPOSTA!B10</f>
        <v>800</v>
      </c>
      <c r="G17" s="258">
        <f>SUM(F17:F18)</f>
        <v>20600</v>
      </c>
      <c r="H17" s="14"/>
      <c r="I17" s="258">
        <f>SUM(H17:H18)</f>
        <v>0</v>
      </c>
      <c r="J17" s="14"/>
      <c r="K17" s="258">
        <f>SUM(J17:J18)</f>
        <v>0</v>
      </c>
      <c r="L17" s="14"/>
      <c r="M17" s="258">
        <f>SUM(L17:L18)</f>
        <v>0</v>
      </c>
      <c r="N17" s="15">
        <f>F17-(L17+H17)</f>
        <v>800</v>
      </c>
      <c r="O17" s="16"/>
      <c r="P17" s="17">
        <f t="shared" si="0"/>
        <v>200</v>
      </c>
      <c r="Q17" s="17">
        <f t="shared" si="1"/>
        <v>800</v>
      </c>
      <c r="R17" s="17">
        <f t="shared" si="2"/>
        <v>1000</v>
      </c>
      <c r="S17" s="16"/>
      <c r="T17" s="18" t="e">
        <f>Resumo!#REF!</f>
        <v>#REF!</v>
      </c>
      <c r="U17" s="19" t="e">
        <f>Resumo!#REF!</f>
        <v>#REF!</v>
      </c>
      <c r="V17" s="20" t="e">
        <f>D24-U17-T17</f>
        <v>#REF!</v>
      </c>
      <c r="W17" s="4"/>
      <c r="X17" s="1"/>
      <c r="Y17" s="5"/>
      <c r="Z17" s="5"/>
    </row>
    <row r="18" spans="1:26" ht="34.5" customHeight="1" x14ac:dyDescent="0.25">
      <c r="A18" s="1"/>
      <c r="B18" s="261"/>
      <c r="C18" s="21" t="s">
        <v>16</v>
      </c>
      <c r="D18" s="22">
        <f>PROPOSTA!G10</f>
        <v>33559.32</v>
      </c>
      <c r="E18" s="259"/>
      <c r="F18" s="22">
        <f>PROPOSTA!C10</f>
        <v>19800</v>
      </c>
      <c r="G18" s="259"/>
      <c r="H18" s="22"/>
      <c r="I18" s="259"/>
      <c r="J18" s="22"/>
      <c r="K18" s="259"/>
      <c r="L18" s="22"/>
      <c r="M18" s="259"/>
      <c r="N18" s="15">
        <f>F18-(L18+J18)</f>
        <v>19800</v>
      </c>
      <c r="O18" s="16"/>
      <c r="P18" s="23">
        <f t="shared" si="0"/>
        <v>13759.32</v>
      </c>
      <c r="Q18" s="17">
        <f t="shared" si="1"/>
        <v>19800</v>
      </c>
      <c r="R18" s="17">
        <f t="shared" si="2"/>
        <v>33559.32</v>
      </c>
      <c r="S18" s="16"/>
      <c r="T18" s="4"/>
      <c r="U18" s="4"/>
      <c r="V18" s="4"/>
      <c r="W18" s="4"/>
      <c r="X18" s="1"/>
      <c r="Y18" s="5"/>
      <c r="Z18" s="5"/>
    </row>
    <row r="19" spans="1:26" ht="30" customHeight="1" x14ac:dyDescent="0.25">
      <c r="A19" s="1"/>
      <c r="B19" s="260" t="s">
        <v>24</v>
      </c>
      <c r="C19" s="13" t="s">
        <v>15</v>
      </c>
      <c r="D19" s="14">
        <f>PROPOSTA!F11</f>
        <v>0</v>
      </c>
      <c r="E19" s="258">
        <f>SUM(D19:D20)</f>
        <v>30816.639999999999</v>
      </c>
      <c r="F19" s="14">
        <f>PROPOSTA!B11</f>
        <v>0</v>
      </c>
      <c r="G19" s="258">
        <f>SUM(F19:F20)</f>
        <v>18181.82</v>
      </c>
      <c r="H19" s="14"/>
      <c r="I19" s="258">
        <f>SUM(H19:H20)</f>
        <v>0</v>
      </c>
      <c r="J19" s="14"/>
      <c r="K19" s="258">
        <f>SUM(J19:J20)</f>
        <v>0</v>
      </c>
      <c r="L19" s="14"/>
      <c r="M19" s="258">
        <f>SUM(L19:L20)</f>
        <v>0</v>
      </c>
      <c r="N19" s="15">
        <f>F19-(L19+H19)</f>
        <v>0</v>
      </c>
      <c r="O19" s="16"/>
      <c r="P19" s="17">
        <f t="shared" si="0"/>
        <v>0</v>
      </c>
      <c r="Q19" s="17">
        <f t="shared" si="1"/>
        <v>0</v>
      </c>
      <c r="R19" s="17">
        <f t="shared" si="2"/>
        <v>0</v>
      </c>
      <c r="S19" s="16"/>
      <c r="T19" s="18" t="e">
        <f>Resumo!#REF!</f>
        <v>#REF!</v>
      </c>
      <c r="U19" s="19" t="e">
        <f>Resumo!#REF!</f>
        <v>#REF!</v>
      </c>
      <c r="V19" s="20" t="e">
        <f>D26-U19-T19</f>
        <v>#REF!</v>
      </c>
      <c r="W19" s="4"/>
      <c r="X19" s="1"/>
      <c r="Y19" s="5"/>
      <c r="Z19" s="5"/>
    </row>
    <row r="20" spans="1:26" ht="34.5" customHeight="1" x14ac:dyDescent="0.25">
      <c r="A20" s="1"/>
      <c r="B20" s="261"/>
      <c r="C20" s="21" t="s">
        <v>16</v>
      </c>
      <c r="D20" s="22">
        <f>PROPOSTA!G11</f>
        <v>30816.639999999999</v>
      </c>
      <c r="E20" s="259"/>
      <c r="F20" s="22">
        <f>PROPOSTA!C11</f>
        <v>18181.82</v>
      </c>
      <c r="G20" s="259"/>
      <c r="H20" s="22"/>
      <c r="I20" s="259"/>
      <c r="J20" s="22"/>
      <c r="K20" s="259"/>
      <c r="L20" s="22"/>
      <c r="M20" s="259"/>
      <c r="N20" s="15">
        <f>F20-(L20+J20)</f>
        <v>18181.82</v>
      </c>
      <c r="O20" s="16"/>
      <c r="P20" s="23">
        <f t="shared" si="0"/>
        <v>12634.82</v>
      </c>
      <c r="Q20" s="17">
        <f t="shared" si="1"/>
        <v>18181.82</v>
      </c>
      <c r="R20" s="17">
        <f t="shared" si="2"/>
        <v>30816.639999999999</v>
      </c>
      <c r="S20" s="16"/>
      <c r="T20" s="4"/>
      <c r="U20" s="4"/>
      <c r="V20" s="4"/>
      <c r="W20" s="4"/>
      <c r="X20" s="1"/>
      <c r="Y20" s="5"/>
      <c r="Z20" s="5"/>
    </row>
    <row r="21" spans="1:26" ht="30" customHeight="1" x14ac:dyDescent="0.25">
      <c r="A21" s="1"/>
      <c r="B21" s="260" t="s">
        <v>25</v>
      </c>
      <c r="C21" s="13" t="s">
        <v>15</v>
      </c>
      <c r="D21" s="14">
        <f>PROPOSTA!F12</f>
        <v>70680</v>
      </c>
      <c r="E21" s="258">
        <f>SUM(D21:D22)</f>
        <v>96120.68</v>
      </c>
      <c r="F21" s="14">
        <f>PROPOSTA!B12</f>
        <v>56544</v>
      </c>
      <c r="G21" s="258">
        <f>SUM(F21:F22)</f>
        <v>71554</v>
      </c>
      <c r="H21" s="14"/>
      <c r="I21" s="258">
        <f>SUM(H21:H22)</f>
        <v>0</v>
      </c>
      <c r="J21" s="14"/>
      <c r="K21" s="258">
        <f>SUM(J21:J22)</f>
        <v>0</v>
      </c>
      <c r="L21" s="14"/>
      <c r="M21" s="258">
        <f>SUM(L21:L22)</f>
        <v>0</v>
      </c>
      <c r="N21" s="15">
        <f>F21-(L21+H21)</f>
        <v>56544</v>
      </c>
      <c r="O21" s="16"/>
      <c r="P21" s="17">
        <f t="shared" si="0"/>
        <v>14136</v>
      </c>
      <c r="Q21" s="17">
        <f t="shared" si="1"/>
        <v>56544</v>
      </c>
      <c r="R21" s="17">
        <f t="shared" si="2"/>
        <v>70680</v>
      </c>
      <c r="S21" s="16"/>
      <c r="T21" s="18" t="e">
        <f>Resumo!#REF!</f>
        <v>#REF!</v>
      </c>
      <c r="U21" s="19" t="e">
        <f>Resumo!#REF!</f>
        <v>#REF!</v>
      </c>
      <c r="V21" s="20" t="e">
        <f>D28-U21-T21</f>
        <v>#REF!</v>
      </c>
      <c r="W21" s="4"/>
      <c r="X21" s="1"/>
      <c r="Y21" s="5"/>
      <c r="Z21" s="5"/>
    </row>
    <row r="22" spans="1:26" ht="34.5" customHeight="1" x14ac:dyDescent="0.25">
      <c r="A22" s="1"/>
      <c r="B22" s="261"/>
      <c r="C22" s="21" t="s">
        <v>16</v>
      </c>
      <c r="D22" s="22">
        <f>PROPOSTA!G12</f>
        <v>25440.68</v>
      </c>
      <c r="E22" s="259"/>
      <c r="F22" s="22">
        <f>PROPOSTA!C12</f>
        <v>15010</v>
      </c>
      <c r="G22" s="259"/>
      <c r="H22" s="22"/>
      <c r="I22" s="259"/>
      <c r="J22" s="22"/>
      <c r="K22" s="259"/>
      <c r="L22" s="22"/>
      <c r="M22" s="259"/>
      <c r="N22" s="15">
        <f>F22-(L22+J22)</f>
        <v>15010</v>
      </c>
      <c r="O22" s="16"/>
      <c r="P22" s="23">
        <f t="shared" si="0"/>
        <v>10430.68</v>
      </c>
      <c r="Q22" s="17">
        <f t="shared" si="1"/>
        <v>15010</v>
      </c>
      <c r="R22" s="17">
        <f t="shared" si="2"/>
        <v>25440.68</v>
      </c>
      <c r="S22" s="16"/>
      <c r="T22" s="4"/>
      <c r="U22" s="4"/>
      <c r="V22" s="4"/>
      <c r="W22" s="4"/>
      <c r="X22" s="1"/>
      <c r="Y22" s="5"/>
      <c r="Z22" s="5"/>
    </row>
    <row r="23" spans="1:26" ht="30" customHeight="1" x14ac:dyDescent="0.25">
      <c r="A23" s="1"/>
      <c r="B23" s="260" t="s">
        <v>26</v>
      </c>
      <c r="C23" s="13" t="s">
        <v>15</v>
      </c>
      <c r="D23" s="14">
        <f>PROPOSTA!F13</f>
        <v>0</v>
      </c>
      <c r="E23" s="258">
        <f>SUM(D23:D24)</f>
        <v>15593.22</v>
      </c>
      <c r="F23" s="14">
        <f>PROPOSTA!B13</f>
        <v>0</v>
      </c>
      <c r="G23" s="258">
        <f>SUM(F23:F24)</f>
        <v>9200</v>
      </c>
      <c r="H23" s="14"/>
      <c r="I23" s="258">
        <f>SUM(H23:H24)</f>
        <v>0</v>
      </c>
      <c r="J23" s="14"/>
      <c r="K23" s="258">
        <f>SUM(J23:J24)</f>
        <v>0</v>
      </c>
      <c r="L23" s="14"/>
      <c r="M23" s="258">
        <f>SUM(L23:L24)</f>
        <v>0</v>
      </c>
      <c r="N23" s="15">
        <f>F23-(L23+H23)</f>
        <v>0</v>
      </c>
      <c r="O23" s="16"/>
      <c r="P23" s="17">
        <f t="shared" si="0"/>
        <v>0</v>
      </c>
      <c r="Q23" s="17">
        <f t="shared" si="1"/>
        <v>0</v>
      </c>
      <c r="R23" s="17">
        <f t="shared" si="2"/>
        <v>0</v>
      </c>
      <c r="S23" s="16"/>
      <c r="T23" s="18" t="e">
        <f>Resumo!#REF!</f>
        <v>#REF!</v>
      </c>
      <c r="U23" s="19" t="e">
        <f>Resumo!#REF!</f>
        <v>#REF!</v>
      </c>
      <c r="V23" s="20" t="e">
        <f>D30-U23-T23</f>
        <v>#REF!</v>
      </c>
      <c r="W23" s="4"/>
      <c r="X23" s="1"/>
      <c r="Y23" s="5"/>
      <c r="Z23" s="5"/>
    </row>
    <row r="24" spans="1:26" ht="34.5" customHeight="1" x14ac:dyDescent="0.25">
      <c r="A24" s="1"/>
      <c r="B24" s="261"/>
      <c r="C24" s="21" t="s">
        <v>16</v>
      </c>
      <c r="D24" s="22">
        <f>PROPOSTA!G13</f>
        <v>15593.22</v>
      </c>
      <c r="E24" s="259"/>
      <c r="F24" s="22">
        <f>PROPOSTA!C13</f>
        <v>9200</v>
      </c>
      <c r="G24" s="259"/>
      <c r="H24" s="22"/>
      <c r="I24" s="259"/>
      <c r="J24" s="22"/>
      <c r="K24" s="259"/>
      <c r="L24" s="22"/>
      <c r="M24" s="259"/>
      <c r="N24" s="15">
        <f>F24-(L24+J24)</f>
        <v>9200</v>
      </c>
      <c r="O24" s="16"/>
      <c r="P24" s="23">
        <f t="shared" si="0"/>
        <v>6393.2199999999993</v>
      </c>
      <c r="Q24" s="17">
        <f t="shared" si="1"/>
        <v>9200</v>
      </c>
      <c r="R24" s="17">
        <f t="shared" si="2"/>
        <v>15593.22</v>
      </c>
      <c r="S24" s="16"/>
      <c r="T24" s="4"/>
      <c r="U24" s="4"/>
      <c r="V24" s="4"/>
      <c r="W24" s="4"/>
      <c r="X24" s="1"/>
      <c r="Y24" s="5"/>
      <c r="Z24" s="5"/>
    </row>
    <row r="25" spans="1:26" ht="30" customHeight="1" x14ac:dyDescent="0.25">
      <c r="A25" s="1"/>
      <c r="B25" s="260" t="s">
        <v>27</v>
      </c>
      <c r="C25" s="13" t="s">
        <v>15</v>
      </c>
      <c r="D25" s="14">
        <f>PROPOSTA!F14</f>
        <v>8637.5</v>
      </c>
      <c r="E25" s="258">
        <f>SUM(D25:D26)</f>
        <v>19654.45</v>
      </c>
      <c r="F25" s="14">
        <f>PROPOSTA!B14</f>
        <v>6910</v>
      </c>
      <c r="G25" s="258">
        <f>SUM(F25:F26)</f>
        <v>13410</v>
      </c>
      <c r="H25" s="14"/>
      <c r="I25" s="258">
        <f>SUM(H25:H26)</f>
        <v>0</v>
      </c>
      <c r="J25" s="14"/>
      <c r="K25" s="258">
        <f>SUM(J25:J26)</f>
        <v>0</v>
      </c>
      <c r="L25" s="14"/>
      <c r="M25" s="258">
        <f>SUM(L25:L26)</f>
        <v>0</v>
      </c>
      <c r="N25" s="15">
        <f>F25-(L25+H25)</f>
        <v>6910</v>
      </c>
      <c r="O25" s="16"/>
      <c r="P25" s="17">
        <f t="shared" si="0"/>
        <v>1727.5</v>
      </c>
      <c r="Q25" s="17">
        <f t="shared" si="1"/>
        <v>6910</v>
      </c>
      <c r="R25" s="17">
        <f t="shared" si="2"/>
        <v>8637.5</v>
      </c>
      <c r="S25" s="16"/>
      <c r="T25" s="18" t="e">
        <f>Resumo!#REF!</f>
        <v>#REF!</v>
      </c>
      <c r="U25" s="19" t="e">
        <f>Resumo!#REF!</f>
        <v>#REF!</v>
      </c>
      <c r="V25" s="20" t="e">
        <f>D32-U25-T25</f>
        <v>#REF!</v>
      </c>
      <c r="W25" s="4"/>
      <c r="X25" s="1"/>
      <c r="Y25" s="5"/>
      <c r="Z25" s="5"/>
    </row>
    <row r="26" spans="1:26" ht="34.5" customHeight="1" x14ac:dyDescent="0.25">
      <c r="A26" s="1"/>
      <c r="B26" s="261"/>
      <c r="C26" s="21" t="s">
        <v>16</v>
      </c>
      <c r="D26" s="22">
        <f>PROPOSTA!G14</f>
        <v>11016.95</v>
      </c>
      <c r="E26" s="259"/>
      <c r="F26" s="22">
        <f>PROPOSTA!C14</f>
        <v>6500</v>
      </c>
      <c r="G26" s="259"/>
      <c r="H26" s="22"/>
      <c r="I26" s="259"/>
      <c r="J26" s="22"/>
      <c r="K26" s="259"/>
      <c r="L26" s="22"/>
      <c r="M26" s="259"/>
      <c r="N26" s="15">
        <f>F26-(L26+J26)</f>
        <v>6500</v>
      </c>
      <c r="O26" s="16"/>
      <c r="P26" s="23">
        <f t="shared" si="0"/>
        <v>4516.9500000000007</v>
      </c>
      <c r="Q26" s="17">
        <f t="shared" si="1"/>
        <v>6500</v>
      </c>
      <c r="R26" s="17">
        <f t="shared" si="2"/>
        <v>11016.95</v>
      </c>
      <c r="S26" s="16"/>
      <c r="T26" s="4"/>
      <c r="U26" s="4"/>
      <c r="V26" s="4"/>
      <c r="W26" s="4"/>
      <c r="X26" s="1"/>
      <c r="Y26" s="5"/>
      <c r="Z26" s="5"/>
    </row>
    <row r="27" spans="1:26" ht="30" customHeight="1" x14ac:dyDescent="0.25">
      <c r="A27" s="1"/>
      <c r="B27" s="260" t="s">
        <v>28</v>
      </c>
      <c r="C27" s="13" t="s">
        <v>15</v>
      </c>
      <c r="D27" s="14">
        <f>PROPOSTA!F15</f>
        <v>0</v>
      </c>
      <c r="E27" s="258">
        <f>SUM(D27:D28)</f>
        <v>168991.53</v>
      </c>
      <c r="F27" s="14">
        <f>PROPOSTA!B15</f>
        <v>0</v>
      </c>
      <c r="G27" s="258">
        <f>SUM(F27:F28)</f>
        <v>99705</v>
      </c>
      <c r="H27" s="14"/>
      <c r="I27" s="258">
        <f>SUM(H27:H28)</f>
        <v>0</v>
      </c>
      <c r="J27" s="14"/>
      <c r="K27" s="258">
        <f>SUM(J27:J28)</f>
        <v>0</v>
      </c>
      <c r="L27" s="14"/>
      <c r="M27" s="258">
        <f>SUM(L27:L28)</f>
        <v>0</v>
      </c>
      <c r="N27" s="15">
        <f>F27-(L27+H27)</f>
        <v>0</v>
      </c>
      <c r="O27" s="16"/>
      <c r="P27" s="17">
        <f t="shared" si="0"/>
        <v>0</v>
      </c>
      <c r="Q27" s="17">
        <f t="shared" si="1"/>
        <v>0</v>
      </c>
      <c r="R27" s="17">
        <f t="shared" si="2"/>
        <v>0</v>
      </c>
      <c r="S27" s="16"/>
      <c r="T27" s="18" t="e">
        <f>Resumo!#REF!</f>
        <v>#REF!</v>
      </c>
      <c r="U27" s="19" t="e">
        <f>Resumo!#REF!</f>
        <v>#REF!</v>
      </c>
      <c r="V27" s="20" t="e">
        <f>D34-U27-T27</f>
        <v>#REF!</v>
      </c>
      <c r="W27" s="4"/>
      <c r="X27" s="1"/>
      <c r="Y27" s="5"/>
      <c r="Z27" s="5"/>
    </row>
    <row r="28" spans="1:26" ht="34.5" customHeight="1" x14ac:dyDescent="0.25">
      <c r="A28" s="1"/>
      <c r="B28" s="261"/>
      <c r="C28" s="21" t="s">
        <v>16</v>
      </c>
      <c r="D28" s="22">
        <f>PROPOSTA!G15</f>
        <v>168991.53</v>
      </c>
      <c r="E28" s="259"/>
      <c r="F28" s="22">
        <f>PROPOSTA!C15</f>
        <v>99705</v>
      </c>
      <c r="G28" s="259"/>
      <c r="H28" s="22"/>
      <c r="I28" s="259"/>
      <c r="J28" s="22"/>
      <c r="K28" s="259"/>
      <c r="L28" s="22"/>
      <c r="M28" s="259"/>
      <c r="N28" s="15">
        <f>F28-(L28+J28)</f>
        <v>99705</v>
      </c>
      <c r="O28" s="16"/>
      <c r="P28" s="23">
        <f t="shared" si="0"/>
        <v>69286.53</v>
      </c>
      <c r="Q28" s="17">
        <f t="shared" si="1"/>
        <v>99705</v>
      </c>
      <c r="R28" s="17">
        <f t="shared" si="2"/>
        <v>168991.53</v>
      </c>
      <c r="S28" s="16"/>
      <c r="T28" s="4"/>
      <c r="U28" s="4"/>
      <c r="V28" s="4"/>
      <c r="W28" s="4"/>
      <c r="X28" s="1"/>
      <c r="Y28" s="5"/>
      <c r="Z28" s="5"/>
    </row>
    <row r="29" spans="1:26" ht="30" customHeight="1" x14ac:dyDescent="0.25">
      <c r="A29" s="1"/>
      <c r="B29" s="260" t="s">
        <v>29</v>
      </c>
      <c r="C29" s="13" t="s">
        <v>15</v>
      </c>
      <c r="D29" s="14">
        <f>PROPOSTA!F16</f>
        <v>3000</v>
      </c>
      <c r="E29" s="258">
        <f>SUM(D29:D30)</f>
        <v>21305.08</v>
      </c>
      <c r="F29" s="14">
        <f>PROPOSTA!B16</f>
        <v>2400</v>
      </c>
      <c r="G29" s="258">
        <f>SUM(F29:F30)</f>
        <v>13200</v>
      </c>
      <c r="H29" s="14"/>
      <c r="I29" s="258">
        <f>SUM(H29:H30)</f>
        <v>0</v>
      </c>
      <c r="J29" s="14"/>
      <c r="K29" s="258">
        <f>SUM(J29:J30)</f>
        <v>0</v>
      </c>
      <c r="L29" s="14"/>
      <c r="M29" s="258">
        <f>SUM(L29:L30)</f>
        <v>0</v>
      </c>
      <c r="N29" s="15">
        <f>F29-(L29+H29)</f>
        <v>2400</v>
      </c>
      <c r="O29" s="16"/>
      <c r="P29" s="17">
        <f t="shared" si="0"/>
        <v>600</v>
      </c>
      <c r="Q29" s="17">
        <f t="shared" si="1"/>
        <v>2400</v>
      </c>
      <c r="R29" s="17">
        <f t="shared" si="2"/>
        <v>3000</v>
      </c>
      <c r="S29" s="16"/>
      <c r="T29" s="18" t="e">
        <f>Resumo!#REF!</f>
        <v>#REF!</v>
      </c>
      <c r="U29" s="19" t="e">
        <f>Resumo!#REF!</f>
        <v>#REF!</v>
      </c>
      <c r="V29" s="20" t="e">
        <f>D36-U29-T29</f>
        <v>#REF!</v>
      </c>
      <c r="W29" s="4"/>
      <c r="X29" s="1"/>
      <c r="Y29" s="5"/>
      <c r="Z29" s="5"/>
    </row>
    <row r="30" spans="1:26" ht="34.5" customHeight="1" x14ac:dyDescent="0.25">
      <c r="A30" s="1"/>
      <c r="B30" s="261"/>
      <c r="C30" s="21" t="s">
        <v>16</v>
      </c>
      <c r="D30" s="22">
        <f>PROPOSTA!G16</f>
        <v>18305.080000000002</v>
      </c>
      <c r="E30" s="259"/>
      <c r="F30" s="22">
        <f>PROPOSTA!C16</f>
        <v>10800</v>
      </c>
      <c r="G30" s="259"/>
      <c r="H30" s="22"/>
      <c r="I30" s="259"/>
      <c r="J30" s="22"/>
      <c r="K30" s="259"/>
      <c r="L30" s="22"/>
      <c r="M30" s="259"/>
      <c r="N30" s="15">
        <f>F30-(L30+J30)</f>
        <v>10800</v>
      </c>
      <c r="O30" s="16"/>
      <c r="P30" s="23">
        <f t="shared" si="0"/>
        <v>7505.0800000000017</v>
      </c>
      <c r="Q30" s="17">
        <f t="shared" si="1"/>
        <v>10800</v>
      </c>
      <c r="R30" s="17">
        <f t="shared" si="2"/>
        <v>18305.080000000002</v>
      </c>
      <c r="S30" s="16"/>
      <c r="T30" s="4"/>
      <c r="U30" s="4"/>
      <c r="V30" s="4"/>
      <c r="W30" s="4"/>
      <c r="X30" s="1"/>
      <c r="Y30" s="5"/>
      <c r="Z30" s="5"/>
    </row>
    <row r="31" spans="1:26" ht="30" customHeight="1" x14ac:dyDescent="0.25">
      <c r="A31" s="1"/>
      <c r="B31" s="260" t="s">
        <v>30</v>
      </c>
      <c r="C31" s="13" t="s">
        <v>15</v>
      </c>
      <c r="D31" s="14">
        <f>PROPOSTA!F17</f>
        <v>24000</v>
      </c>
      <c r="E31" s="258">
        <f>SUM(D31:D32)</f>
        <v>40271.19</v>
      </c>
      <c r="F31" s="14">
        <f>PROPOSTA!B17</f>
        <v>800</v>
      </c>
      <c r="G31" s="258">
        <f>SUM(F31:F32)</f>
        <v>10400</v>
      </c>
      <c r="H31" s="14"/>
      <c r="I31" s="258">
        <f>SUM(H31:H32)</f>
        <v>0</v>
      </c>
      <c r="J31" s="14"/>
      <c r="K31" s="258">
        <f>SUM(J31:J32)</f>
        <v>0</v>
      </c>
      <c r="L31" s="14"/>
      <c r="M31" s="258">
        <f>SUM(L31:L32)</f>
        <v>0</v>
      </c>
      <c r="N31" s="15">
        <f>F31-(L31+H31)</f>
        <v>800</v>
      </c>
      <c r="O31" s="16"/>
      <c r="P31" s="17">
        <f t="shared" si="0"/>
        <v>23200</v>
      </c>
      <c r="Q31" s="17">
        <f t="shared" si="1"/>
        <v>800</v>
      </c>
      <c r="R31" s="17">
        <f t="shared" si="2"/>
        <v>24000</v>
      </c>
      <c r="S31" s="16"/>
      <c r="T31" s="18" t="e">
        <f>Resumo!#REF!</f>
        <v>#REF!</v>
      </c>
      <c r="U31" s="19" t="e">
        <f>Resumo!#REF!</f>
        <v>#REF!</v>
      </c>
      <c r="V31" s="20" t="e">
        <f>#REF!-U31-T31</f>
        <v>#REF!</v>
      </c>
      <c r="W31" s="4"/>
      <c r="X31" s="1"/>
      <c r="Y31" s="5"/>
      <c r="Z31" s="5"/>
    </row>
    <row r="32" spans="1:26" ht="34.5" customHeight="1" x14ac:dyDescent="0.25">
      <c r="A32" s="1"/>
      <c r="B32" s="261"/>
      <c r="C32" s="21" t="s">
        <v>16</v>
      </c>
      <c r="D32" s="22">
        <f>PROPOSTA!G17</f>
        <v>16271.19</v>
      </c>
      <c r="E32" s="259"/>
      <c r="F32" s="22">
        <f>PROPOSTA!C17</f>
        <v>9600</v>
      </c>
      <c r="G32" s="259"/>
      <c r="H32" s="22"/>
      <c r="I32" s="259"/>
      <c r="J32" s="22"/>
      <c r="K32" s="259"/>
      <c r="L32" s="22"/>
      <c r="M32" s="259"/>
      <c r="N32" s="15">
        <f>F32-(L32+J32)</f>
        <v>9600</v>
      </c>
      <c r="O32" s="16"/>
      <c r="P32" s="23">
        <f t="shared" si="0"/>
        <v>6671.1900000000005</v>
      </c>
      <c r="Q32" s="17">
        <f t="shared" si="1"/>
        <v>9600</v>
      </c>
      <c r="R32" s="17">
        <f t="shared" si="2"/>
        <v>16271.19</v>
      </c>
      <c r="S32" s="16"/>
      <c r="T32" s="4"/>
      <c r="U32" s="4"/>
      <c r="V32" s="4"/>
      <c r="W32" s="4"/>
      <c r="X32" s="1"/>
      <c r="Y32" s="5"/>
      <c r="Z32" s="5"/>
    </row>
    <row r="33" spans="1:26" ht="30" customHeight="1" x14ac:dyDescent="0.25">
      <c r="A33" s="1"/>
      <c r="B33" s="260" t="s">
        <v>31</v>
      </c>
      <c r="C33" s="13" t="s">
        <v>15</v>
      </c>
      <c r="D33" s="14">
        <f>PROPOSTA!F18</f>
        <v>1083.8800000000001</v>
      </c>
      <c r="E33" s="258">
        <f>SUM(D33:D34)</f>
        <v>5151.68</v>
      </c>
      <c r="F33" s="14">
        <f>PROPOSTA!B18</f>
        <v>867.1</v>
      </c>
      <c r="G33" s="258">
        <f>SUM(F33:F34)</f>
        <v>3267.1</v>
      </c>
      <c r="H33" s="14"/>
      <c r="I33" s="258">
        <f>SUM(H33:H34)</f>
        <v>0</v>
      </c>
      <c r="J33" s="14"/>
      <c r="K33" s="258">
        <f>SUM(J33:J34)</f>
        <v>0</v>
      </c>
      <c r="L33" s="14"/>
      <c r="M33" s="258">
        <f>SUM(L33:L34)</f>
        <v>0</v>
      </c>
      <c r="N33" s="15">
        <f>F33-(L33+H33)</f>
        <v>867.1</v>
      </c>
      <c r="O33" s="16"/>
      <c r="P33" s="17">
        <f t="shared" si="0"/>
        <v>216.78000000000009</v>
      </c>
      <c r="Q33" s="17">
        <f t="shared" si="1"/>
        <v>867.1</v>
      </c>
      <c r="R33" s="17">
        <f t="shared" si="2"/>
        <v>1083.8800000000001</v>
      </c>
      <c r="S33" s="16"/>
      <c r="T33" s="18" t="e">
        <f>Resumo!#REF!</f>
        <v>#REF!</v>
      </c>
      <c r="U33" s="19" t="e">
        <f>Resumo!#REF!</f>
        <v>#REF!</v>
      </c>
      <c r="V33" s="20" t="e">
        <f>#REF!-U33-T33</f>
        <v>#REF!</v>
      </c>
      <c r="W33" s="4"/>
      <c r="X33" s="1"/>
      <c r="Y33" s="5"/>
      <c r="Z33" s="5"/>
    </row>
    <row r="34" spans="1:26" ht="34.5" customHeight="1" x14ac:dyDescent="0.25">
      <c r="A34" s="1"/>
      <c r="B34" s="261"/>
      <c r="C34" s="21" t="s">
        <v>16</v>
      </c>
      <c r="D34" s="22">
        <f>PROPOSTA!G18</f>
        <v>4067.8</v>
      </c>
      <c r="E34" s="259"/>
      <c r="F34" s="22">
        <f>PROPOSTA!C18</f>
        <v>2400</v>
      </c>
      <c r="G34" s="259"/>
      <c r="H34" s="22"/>
      <c r="I34" s="259"/>
      <c r="J34" s="22"/>
      <c r="K34" s="259"/>
      <c r="L34" s="22"/>
      <c r="M34" s="259"/>
      <c r="N34" s="15">
        <f>F34-(L34+J34)</f>
        <v>2400</v>
      </c>
      <c r="O34" s="16"/>
      <c r="P34" s="23">
        <f t="shared" si="0"/>
        <v>1667.8000000000002</v>
      </c>
      <c r="Q34" s="17">
        <f t="shared" si="1"/>
        <v>2400</v>
      </c>
      <c r="R34" s="17">
        <f t="shared" si="2"/>
        <v>4067.8</v>
      </c>
      <c r="S34" s="16"/>
      <c r="T34" s="4"/>
      <c r="U34" s="4"/>
      <c r="V34" s="4"/>
      <c r="W34" s="4"/>
      <c r="X34" s="1"/>
      <c r="Y34" s="5"/>
      <c r="Z34" s="5"/>
    </row>
    <row r="35" spans="1:26" ht="77.25" customHeight="1" x14ac:dyDescent="0.25">
      <c r="A35" s="1"/>
      <c r="B35" s="260" t="s">
        <v>32</v>
      </c>
      <c r="C35" s="13" t="s">
        <v>15</v>
      </c>
      <c r="D35" s="14">
        <f>PROPOSTA!F19</f>
        <v>67079.490000000005</v>
      </c>
      <c r="E35" s="258">
        <f>SUM(D35:D36)</f>
        <v>122971.16</v>
      </c>
      <c r="F35" s="14">
        <f>PROPOSTA!B19</f>
        <v>52322</v>
      </c>
      <c r="G35" s="258">
        <f>SUM(F35:F36)</f>
        <v>92564</v>
      </c>
      <c r="H35" s="14"/>
      <c r="I35" s="258">
        <f>SUM(H35:H36)</f>
        <v>0</v>
      </c>
      <c r="J35" s="14"/>
      <c r="K35" s="258">
        <f>SUM(J35:J36)</f>
        <v>0</v>
      </c>
      <c r="L35" s="14"/>
      <c r="M35" s="258">
        <f>SUM(L35:L36)</f>
        <v>0</v>
      </c>
      <c r="N35" s="15">
        <f>F35-(L35+H35)</f>
        <v>52322</v>
      </c>
      <c r="O35" s="16"/>
      <c r="P35" s="17">
        <f t="shared" si="0"/>
        <v>14757.490000000005</v>
      </c>
      <c r="Q35" s="17">
        <f t="shared" si="1"/>
        <v>52322</v>
      </c>
      <c r="R35" s="17">
        <f t="shared" si="2"/>
        <v>67079.490000000005</v>
      </c>
      <c r="S35" s="16"/>
      <c r="T35" s="18" t="e">
        <f>Resumo!#REF!</f>
        <v>#REF!</v>
      </c>
      <c r="U35" s="19" t="e">
        <f>Resumo!#REF!</f>
        <v>#REF!</v>
      </c>
      <c r="V35" s="20" t="e">
        <f>#REF!-U35-T35</f>
        <v>#REF!</v>
      </c>
      <c r="W35" s="4"/>
      <c r="X35" s="1"/>
      <c r="Y35" s="5"/>
      <c r="Z35" s="5"/>
    </row>
    <row r="36" spans="1:26" ht="74.25" customHeight="1" x14ac:dyDescent="0.25">
      <c r="A36" s="1"/>
      <c r="B36" s="261"/>
      <c r="C36" s="21" t="s">
        <v>16</v>
      </c>
      <c r="D36" s="22">
        <f>PROPOSTA!G19</f>
        <v>55891.67</v>
      </c>
      <c r="E36" s="259"/>
      <c r="F36" s="22">
        <f>PROPOSTA!C19</f>
        <v>40242</v>
      </c>
      <c r="G36" s="259"/>
      <c r="H36" s="22"/>
      <c r="I36" s="259"/>
      <c r="J36" s="22"/>
      <c r="K36" s="259"/>
      <c r="L36" s="22"/>
      <c r="M36" s="259"/>
      <c r="N36" s="15">
        <f t="shared" ref="N36:N41" si="3">F36-(L36+J36)</f>
        <v>40242</v>
      </c>
      <c r="O36" s="16"/>
      <c r="P36" s="23">
        <f t="shared" si="0"/>
        <v>15649.669999999998</v>
      </c>
      <c r="Q36" s="17">
        <f t="shared" si="1"/>
        <v>40242</v>
      </c>
      <c r="R36" s="17">
        <f t="shared" si="2"/>
        <v>55891.67</v>
      </c>
      <c r="S36" s="16"/>
      <c r="T36" s="4"/>
      <c r="U36" s="4"/>
      <c r="V36" s="4"/>
      <c r="W36" s="4"/>
      <c r="X36" s="1"/>
      <c r="Y36" s="5"/>
      <c r="Z36" s="5"/>
    </row>
    <row r="37" spans="1:26" ht="22.5" customHeight="1" x14ac:dyDescent="0.25">
      <c r="A37" s="1"/>
      <c r="B37" s="265" t="s">
        <v>33</v>
      </c>
      <c r="C37" s="266"/>
      <c r="D37" s="25">
        <v>0</v>
      </c>
      <c r="E37" s="26">
        <v>0</v>
      </c>
      <c r="F37" s="25">
        <v>0</v>
      </c>
      <c r="G37" s="26">
        <f>SUM(F37)</f>
        <v>0</v>
      </c>
      <c r="H37" s="25"/>
      <c r="I37" s="26">
        <f>SUM(H37)</f>
        <v>0</v>
      </c>
      <c r="J37" s="25">
        <f>GETPIVOTDATA("Valor",'Locação + Frete'!$G$2,"Tipo","Projetos (Realizado)")</f>
        <v>4750</v>
      </c>
      <c r="K37" s="26">
        <f t="shared" ref="K37:K41" si="4">SUM(J37)</f>
        <v>4750</v>
      </c>
      <c r="L37" s="25">
        <f>GETPIVOTDATA("Valor",'Locação + Frete'!$G$2,"Tipo","Projetos (A realizar)")</f>
        <v>4750</v>
      </c>
      <c r="M37" s="26">
        <f t="shared" ref="M37:M41" si="5">SUM(L37)</f>
        <v>4750</v>
      </c>
      <c r="N37" s="15">
        <f t="shared" si="3"/>
        <v>-9500</v>
      </c>
      <c r="O37" s="16"/>
      <c r="P37" s="17">
        <f t="shared" si="0"/>
        <v>0</v>
      </c>
      <c r="Q37" s="17">
        <f t="shared" si="1"/>
        <v>-4750</v>
      </c>
      <c r="R37" s="17">
        <f t="shared" si="2"/>
        <v>-4750</v>
      </c>
      <c r="S37" s="16"/>
      <c r="T37" s="5"/>
      <c r="U37" s="5"/>
      <c r="V37" s="5"/>
      <c r="W37" s="1"/>
      <c r="X37" s="1"/>
      <c r="Y37" s="5"/>
      <c r="Z37" s="5"/>
    </row>
    <row r="38" spans="1:26" ht="22.5" customHeight="1" x14ac:dyDescent="0.25">
      <c r="A38" s="1"/>
      <c r="B38" s="265" t="s">
        <v>34</v>
      </c>
      <c r="C38" s="266"/>
      <c r="D38" s="27"/>
      <c r="E38" s="26"/>
      <c r="F38" s="28"/>
      <c r="G38" s="29"/>
      <c r="H38" s="28"/>
      <c r="I38" s="29"/>
      <c r="J38" s="28">
        <f>GETPIVOTDATA("Valor",'Refeição + Transporte'!$G$2,"Tipo","Visita em obra")</f>
        <v>382</v>
      </c>
      <c r="K38" s="26">
        <f t="shared" si="4"/>
        <v>382</v>
      </c>
      <c r="L38" s="28">
        <v>0</v>
      </c>
      <c r="M38" s="26">
        <f t="shared" si="5"/>
        <v>0</v>
      </c>
      <c r="N38" s="15">
        <f t="shared" si="3"/>
        <v>-382</v>
      </c>
      <c r="O38" s="16"/>
      <c r="P38" s="23">
        <f t="shared" si="0"/>
        <v>0</v>
      </c>
      <c r="Q38" s="17">
        <f t="shared" si="1"/>
        <v>0</v>
      </c>
      <c r="R38" s="17">
        <f t="shared" si="2"/>
        <v>0</v>
      </c>
      <c r="S38" s="16"/>
      <c r="T38" s="5"/>
      <c r="U38" s="5"/>
      <c r="V38" s="5"/>
      <c r="W38" s="1"/>
      <c r="X38" s="1"/>
      <c r="Y38" s="5"/>
      <c r="Z38" s="5"/>
    </row>
    <row r="39" spans="1:26" ht="22.5" customHeight="1" x14ac:dyDescent="0.25">
      <c r="A39" s="1"/>
      <c r="B39" s="24" t="s">
        <v>35</v>
      </c>
      <c r="C39" s="30"/>
      <c r="D39" s="27"/>
      <c r="E39" s="26"/>
      <c r="F39" s="25"/>
      <c r="G39" s="26"/>
      <c r="H39" s="25"/>
      <c r="I39" s="26"/>
      <c r="J39" s="25"/>
      <c r="K39" s="26">
        <f t="shared" si="4"/>
        <v>0</v>
      </c>
      <c r="L39" s="25"/>
      <c r="M39" s="26">
        <f t="shared" si="5"/>
        <v>0</v>
      </c>
      <c r="N39" s="15">
        <f t="shared" si="3"/>
        <v>0</v>
      </c>
      <c r="O39" s="16"/>
      <c r="P39" s="23">
        <f t="shared" si="0"/>
        <v>0</v>
      </c>
      <c r="Q39" s="17">
        <f t="shared" si="1"/>
        <v>0</v>
      </c>
      <c r="R39" s="17">
        <f t="shared" si="2"/>
        <v>0</v>
      </c>
      <c r="S39" s="16"/>
      <c r="T39" s="5"/>
      <c r="U39" s="5"/>
      <c r="V39" s="5"/>
      <c r="W39" s="1"/>
      <c r="X39" s="1"/>
      <c r="Y39" s="5"/>
      <c r="Z39" s="5"/>
    </row>
    <row r="40" spans="1:26" ht="22.5" customHeight="1" x14ac:dyDescent="0.25">
      <c r="A40" s="1"/>
      <c r="B40" s="24"/>
      <c r="C40" s="30"/>
      <c r="D40" s="27"/>
      <c r="E40" s="26"/>
      <c r="F40" s="27"/>
      <c r="G40" s="26"/>
      <c r="H40" s="27"/>
      <c r="I40" s="26"/>
      <c r="J40" s="27"/>
      <c r="K40" s="26">
        <f t="shared" si="4"/>
        <v>0</v>
      </c>
      <c r="L40" s="27"/>
      <c r="M40" s="26">
        <f t="shared" si="5"/>
        <v>0</v>
      </c>
      <c r="N40" s="15">
        <f t="shared" si="3"/>
        <v>0</v>
      </c>
      <c r="O40" s="16"/>
      <c r="P40" s="23">
        <f t="shared" si="0"/>
        <v>0</v>
      </c>
      <c r="Q40" s="17">
        <f t="shared" si="1"/>
        <v>0</v>
      </c>
      <c r="R40" s="17">
        <f t="shared" si="2"/>
        <v>0</v>
      </c>
      <c r="S40" s="16"/>
      <c r="T40" s="5"/>
      <c r="U40" s="5"/>
      <c r="V40" s="5"/>
      <c r="W40" s="1"/>
      <c r="X40" s="1"/>
      <c r="Y40" s="5"/>
      <c r="Z40" s="5"/>
    </row>
    <row r="41" spans="1:26" ht="22.5" customHeight="1" x14ac:dyDescent="0.25">
      <c r="A41" s="1"/>
      <c r="B41" s="265"/>
      <c r="C41" s="266"/>
      <c r="D41" s="27"/>
      <c r="E41" s="26"/>
      <c r="F41" s="25"/>
      <c r="G41" s="26"/>
      <c r="H41" s="25"/>
      <c r="I41" s="26"/>
      <c r="J41" s="25"/>
      <c r="K41" s="26">
        <f t="shared" si="4"/>
        <v>0</v>
      </c>
      <c r="L41" s="25"/>
      <c r="M41" s="26">
        <f t="shared" si="5"/>
        <v>0</v>
      </c>
      <c r="N41" s="15">
        <f t="shared" si="3"/>
        <v>0</v>
      </c>
      <c r="O41" s="16"/>
      <c r="P41" s="17">
        <f t="shared" si="0"/>
        <v>0</v>
      </c>
      <c r="Q41" s="17">
        <f t="shared" si="1"/>
        <v>0</v>
      </c>
      <c r="R41" s="17">
        <f t="shared" si="2"/>
        <v>0</v>
      </c>
      <c r="S41" s="16"/>
      <c r="T41" s="5"/>
      <c r="U41" s="5"/>
      <c r="V41" s="5"/>
      <c r="W41" s="1"/>
      <c r="X41" s="1"/>
      <c r="Y41" s="5"/>
      <c r="Z41" s="5"/>
    </row>
    <row r="42" spans="1:26" ht="15.75" customHeight="1" x14ac:dyDescent="0.25">
      <c r="A42" s="1"/>
      <c r="B42" s="267" t="s">
        <v>36</v>
      </c>
      <c r="C42" s="263"/>
      <c r="D42" s="264">
        <v>1505613.76</v>
      </c>
      <c r="E42" s="263"/>
      <c r="F42" s="264">
        <v>1004567.74</v>
      </c>
      <c r="G42" s="263"/>
      <c r="H42" s="264">
        <f>SUM(I37:I41)</f>
        <v>0</v>
      </c>
      <c r="I42" s="263"/>
      <c r="J42" s="264">
        <f>SUM(K3:K41)</f>
        <v>5132</v>
      </c>
      <c r="K42" s="263"/>
      <c r="L42" s="264">
        <f>SUM(M37:M41)</f>
        <v>4750</v>
      </c>
      <c r="M42" s="263"/>
      <c r="N42" s="31">
        <f>SUM(N37:N41)</f>
        <v>-9882</v>
      </c>
      <c r="O42" s="32"/>
      <c r="P42" s="33">
        <f t="shared" ref="P42:R42" si="6">SUM(P37:P41)</f>
        <v>0</v>
      </c>
      <c r="Q42" s="33">
        <f t="shared" si="6"/>
        <v>-4750</v>
      </c>
      <c r="R42" s="33">
        <f t="shared" si="6"/>
        <v>-4750</v>
      </c>
      <c r="S42" s="32"/>
      <c r="T42" s="5"/>
      <c r="U42" s="5"/>
      <c r="V42" s="5"/>
      <c r="W42" s="1"/>
      <c r="X42" s="1"/>
      <c r="Y42" s="5"/>
      <c r="Z42" s="5"/>
    </row>
    <row r="43" spans="1:26" ht="15.75" customHeight="1" x14ac:dyDescent="0.25">
      <c r="A43" s="1"/>
      <c r="B43" s="2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5"/>
      <c r="U43" s="5"/>
      <c r="V43" s="5"/>
      <c r="W43" s="1"/>
      <c r="X43" s="1"/>
      <c r="Y43" s="5"/>
      <c r="Z43" s="5"/>
    </row>
    <row r="44" spans="1:26" ht="15.75" customHeight="1" x14ac:dyDescent="0.25">
      <c r="A44" s="5"/>
      <c r="B44" s="34"/>
      <c r="C44" s="3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5"/>
      <c r="B45" s="34"/>
      <c r="C45" s="3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5"/>
      <c r="B46" s="34"/>
      <c r="C46" s="3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5"/>
      <c r="B47" s="34"/>
      <c r="C47" s="3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5"/>
      <c r="B48" s="34"/>
      <c r="C48" s="3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5"/>
      <c r="B49" s="34"/>
      <c r="C49" s="3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5"/>
      <c r="B50" s="34"/>
      <c r="C50" s="3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5"/>
      <c r="B51" s="34"/>
      <c r="C51" s="3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5"/>
      <c r="B52" s="34"/>
      <c r="C52" s="3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5"/>
      <c r="B53" s="34"/>
      <c r="C53" s="3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5"/>
      <c r="B54" s="34"/>
      <c r="C54" s="3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5"/>
      <c r="B55" s="34"/>
      <c r="C55" s="3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5"/>
      <c r="B56" s="34"/>
      <c r="C56" s="3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5"/>
      <c r="B57" s="34"/>
      <c r="C57" s="3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5"/>
      <c r="B58" s="34"/>
      <c r="C58" s="3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5"/>
      <c r="B59" s="34"/>
      <c r="C59" s="3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5"/>
      <c r="B60" s="34"/>
      <c r="C60" s="3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5"/>
      <c r="B61" s="34"/>
      <c r="C61" s="3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5"/>
      <c r="B62" s="34"/>
      <c r="C62" s="3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5"/>
      <c r="B63" s="34"/>
      <c r="C63" s="3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5"/>
      <c r="B64" s="34"/>
      <c r="C64" s="3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5"/>
      <c r="B65" s="34"/>
      <c r="C65" s="3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5"/>
      <c r="B66" s="34"/>
      <c r="C66" s="3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5"/>
      <c r="B67" s="34"/>
      <c r="C67" s="3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5"/>
      <c r="B68" s="34"/>
      <c r="C68" s="3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5"/>
      <c r="B69" s="34"/>
      <c r="C69" s="3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34"/>
      <c r="C70" s="3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34"/>
      <c r="C71" s="3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34"/>
      <c r="C72" s="3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34"/>
      <c r="C73" s="3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34"/>
      <c r="C74" s="3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34"/>
      <c r="C75" s="3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34"/>
      <c r="C76" s="3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34"/>
      <c r="C77" s="3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34"/>
      <c r="C78" s="3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34"/>
      <c r="C79" s="3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34"/>
      <c r="C80" s="3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34"/>
      <c r="C81" s="3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34"/>
      <c r="C82" s="3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34"/>
      <c r="C83" s="3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34"/>
      <c r="C84" s="3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34"/>
      <c r="C85" s="3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34"/>
      <c r="C86" s="3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34"/>
      <c r="C87" s="3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34"/>
      <c r="C88" s="3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34"/>
      <c r="C89" s="3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34"/>
      <c r="C90" s="3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34"/>
      <c r="C91" s="3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34"/>
      <c r="C92" s="3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34"/>
      <c r="C93" s="3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34"/>
      <c r="C94" s="3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34"/>
      <c r="C95" s="3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34"/>
      <c r="C96" s="3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34"/>
      <c r="C97" s="3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34"/>
      <c r="C98" s="3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34"/>
      <c r="C99" s="3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34"/>
      <c r="C100" s="3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34"/>
      <c r="C101" s="3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34"/>
      <c r="C102" s="3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34"/>
      <c r="C103" s="3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34"/>
      <c r="C104" s="3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34"/>
      <c r="C105" s="3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34"/>
      <c r="C106" s="3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34"/>
      <c r="C107" s="3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34"/>
      <c r="C108" s="3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34"/>
      <c r="C109" s="3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34"/>
      <c r="C110" s="3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34"/>
      <c r="C111" s="3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34"/>
      <c r="C112" s="3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34"/>
      <c r="C113" s="3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34"/>
      <c r="C114" s="3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34"/>
      <c r="C115" s="3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34"/>
      <c r="C116" s="3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34"/>
      <c r="C117" s="3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34"/>
      <c r="C118" s="3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34"/>
      <c r="C119" s="3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34"/>
      <c r="C120" s="3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34"/>
      <c r="C121" s="3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34"/>
      <c r="C122" s="3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34"/>
      <c r="C123" s="3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34"/>
      <c r="C124" s="3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34"/>
      <c r="C125" s="3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34"/>
      <c r="C126" s="3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34"/>
      <c r="C127" s="3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34"/>
      <c r="C128" s="3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34"/>
      <c r="C129" s="3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34"/>
      <c r="C130" s="3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34"/>
      <c r="C131" s="3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34"/>
      <c r="C132" s="3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34"/>
      <c r="C133" s="3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34"/>
      <c r="C134" s="3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34"/>
      <c r="C135" s="3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34"/>
      <c r="C136" s="3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34"/>
      <c r="C137" s="3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34"/>
      <c r="C138" s="3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34"/>
      <c r="C139" s="3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34"/>
      <c r="C140" s="3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34"/>
      <c r="C141" s="3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34"/>
      <c r="C142" s="3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34"/>
      <c r="C143" s="3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34"/>
      <c r="C144" s="3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34"/>
      <c r="C145" s="3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34"/>
      <c r="C146" s="3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34"/>
      <c r="C147" s="3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34"/>
      <c r="C148" s="3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34"/>
      <c r="C149" s="3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34"/>
      <c r="C150" s="3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34"/>
      <c r="C151" s="3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34"/>
      <c r="C152" s="3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34"/>
      <c r="C153" s="3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34"/>
      <c r="C154" s="3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34"/>
      <c r="C155" s="3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34"/>
      <c r="C156" s="3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34"/>
      <c r="C157" s="3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34"/>
      <c r="C158" s="3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34"/>
      <c r="C159" s="3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34"/>
      <c r="C160" s="3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34"/>
      <c r="C161" s="3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34"/>
      <c r="C162" s="3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34"/>
      <c r="C163" s="3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34"/>
      <c r="C164" s="3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34"/>
      <c r="C165" s="3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34"/>
      <c r="C166" s="3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34"/>
      <c r="C167" s="3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34"/>
      <c r="C168" s="3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34"/>
      <c r="C169" s="3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34"/>
      <c r="C170" s="3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34"/>
      <c r="C171" s="3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34"/>
      <c r="C172" s="3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34"/>
      <c r="C173" s="3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34"/>
      <c r="C174" s="3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34"/>
      <c r="C175" s="3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34"/>
      <c r="C176" s="3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34"/>
      <c r="C177" s="3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34"/>
      <c r="C178" s="3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34"/>
      <c r="C179" s="3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34"/>
      <c r="C180" s="3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34"/>
      <c r="C181" s="3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34"/>
      <c r="C182" s="3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34"/>
      <c r="C183" s="3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34"/>
      <c r="C184" s="3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34"/>
      <c r="C185" s="3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34"/>
      <c r="C186" s="3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34"/>
      <c r="C187" s="3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34"/>
      <c r="C188" s="3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34"/>
      <c r="C189" s="3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34"/>
      <c r="C190" s="3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34"/>
      <c r="C191" s="3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34"/>
      <c r="C192" s="3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34"/>
      <c r="C193" s="3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34"/>
      <c r="C194" s="3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34"/>
      <c r="C195" s="3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34"/>
      <c r="C196" s="3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34"/>
      <c r="C197" s="3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34"/>
      <c r="C198" s="3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34"/>
      <c r="C199" s="3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34"/>
      <c r="C200" s="3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34"/>
      <c r="C201" s="3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34"/>
      <c r="C202" s="3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34"/>
      <c r="C203" s="3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34"/>
      <c r="C204" s="3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34"/>
      <c r="C205" s="3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34"/>
      <c r="C206" s="3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34"/>
      <c r="C207" s="3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34"/>
      <c r="C208" s="3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34"/>
      <c r="C209" s="3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34"/>
      <c r="C210" s="3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34"/>
      <c r="C211" s="3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34"/>
      <c r="C212" s="3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34"/>
      <c r="C213" s="3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34"/>
      <c r="C214" s="3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34"/>
      <c r="C215" s="3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34"/>
      <c r="C216" s="3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34"/>
      <c r="C217" s="3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34"/>
      <c r="C218" s="3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34"/>
      <c r="C219" s="3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34"/>
      <c r="C220" s="3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34"/>
      <c r="C221" s="3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34"/>
      <c r="C222" s="3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34"/>
      <c r="C223" s="3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34"/>
      <c r="C224" s="3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34"/>
      <c r="C225" s="3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34"/>
      <c r="C226" s="3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34"/>
      <c r="C227" s="3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34"/>
      <c r="C228" s="3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34"/>
      <c r="C229" s="3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34"/>
      <c r="C230" s="3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34"/>
      <c r="C231" s="3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34"/>
      <c r="C232" s="3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34"/>
      <c r="C233" s="3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34"/>
      <c r="C234" s="3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34"/>
      <c r="C235" s="3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34"/>
      <c r="C236" s="3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34"/>
      <c r="C237" s="3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34"/>
      <c r="C238" s="3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34"/>
      <c r="C239" s="3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34"/>
      <c r="C240" s="3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34"/>
      <c r="C241" s="3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34"/>
      <c r="C242" s="3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34"/>
      <c r="C243" s="3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34"/>
      <c r="C244" s="3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34"/>
      <c r="C245" s="3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34"/>
      <c r="C246" s="3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34"/>
      <c r="C247" s="3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34"/>
      <c r="C248" s="3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34"/>
      <c r="C249" s="3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34"/>
      <c r="C250" s="3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34"/>
      <c r="C251" s="3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34"/>
      <c r="C252" s="3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34"/>
      <c r="C253" s="3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34"/>
      <c r="C254" s="3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34"/>
      <c r="C255" s="3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34"/>
      <c r="C256" s="3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34"/>
      <c r="C257" s="3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34"/>
      <c r="C258" s="3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34"/>
      <c r="C259" s="3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34"/>
      <c r="C260" s="3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34"/>
      <c r="C261" s="3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34"/>
      <c r="C262" s="3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34"/>
      <c r="C263" s="3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34"/>
      <c r="C264" s="3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34"/>
      <c r="C265" s="3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34"/>
      <c r="C266" s="3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34"/>
      <c r="C267" s="3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34"/>
      <c r="C268" s="3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5"/>
      <c r="B269" s="34"/>
      <c r="C269" s="3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>
      <c r="A270" s="5"/>
      <c r="B270" s="34"/>
      <c r="C270" s="3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5">
      <c r="A271" s="5"/>
      <c r="B271" s="34"/>
      <c r="C271" s="3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5">
      <c r="A272" s="5"/>
      <c r="B272" s="34"/>
      <c r="C272" s="3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5">
      <c r="A273" s="5"/>
      <c r="B273" s="34"/>
      <c r="C273" s="3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5">
      <c r="A274" s="5"/>
      <c r="B274" s="34"/>
      <c r="C274" s="3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5">
      <c r="A275" s="5"/>
      <c r="B275" s="34"/>
      <c r="C275" s="3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5">
      <c r="A276" s="5"/>
      <c r="B276" s="34"/>
      <c r="C276" s="3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5">
      <c r="A277" s="5"/>
      <c r="B277" s="34"/>
      <c r="C277" s="3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5">
      <c r="A278" s="5"/>
      <c r="B278" s="34"/>
      <c r="C278" s="3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5">
      <c r="A279" s="5"/>
      <c r="B279" s="34"/>
      <c r="C279" s="3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5">
      <c r="A280" s="5"/>
      <c r="B280" s="34"/>
      <c r="C280" s="3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5">
      <c r="A281" s="5"/>
      <c r="B281" s="34"/>
      <c r="C281" s="3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5">
      <c r="A282" s="5"/>
      <c r="B282" s="34"/>
      <c r="C282" s="3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5">
      <c r="A283" s="5"/>
      <c r="B283" s="34"/>
      <c r="C283" s="3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5">
      <c r="A284" s="5"/>
      <c r="B284" s="34"/>
      <c r="C284" s="3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5">
      <c r="A285" s="5"/>
      <c r="B285" s="34"/>
      <c r="C285" s="3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5">
      <c r="A286" s="5"/>
      <c r="B286" s="34"/>
      <c r="C286" s="3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5">
      <c r="A287" s="5"/>
      <c r="B287" s="34"/>
      <c r="C287" s="3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5">
      <c r="A288" s="5"/>
      <c r="B288" s="34"/>
      <c r="C288" s="3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5">
      <c r="A289" s="5"/>
      <c r="B289" s="34"/>
      <c r="C289" s="3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5">
      <c r="A290" s="5"/>
      <c r="B290" s="34"/>
      <c r="C290" s="3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5">
      <c r="A291" s="5"/>
      <c r="B291" s="34"/>
      <c r="C291" s="3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5">
      <c r="A292" s="5"/>
      <c r="B292" s="34"/>
      <c r="C292" s="3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5">
      <c r="A293" s="5"/>
      <c r="B293" s="34"/>
      <c r="C293" s="3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5">
      <c r="A294" s="5"/>
      <c r="B294" s="34"/>
      <c r="C294" s="3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5">
      <c r="A295" s="5"/>
      <c r="B295" s="34"/>
      <c r="C295" s="3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5">
      <c r="A296" s="5"/>
      <c r="B296" s="34"/>
      <c r="C296" s="3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5">
      <c r="A297" s="5"/>
      <c r="B297" s="34"/>
      <c r="C297" s="3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5">
      <c r="A298" s="5"/>
      <c r="B298" s="34"/>
      <c r="C298" s="3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5">
      <c r="A299" s="5"/>
      <c r="B299" s="34"/>
      <c r="C299" s="3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5">
      <c r="A300" s="5"/>
      <c r="B300" s="34"/>
      <c r="C300" s="3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5">
      <c r="A301" s="5"/>
      <c r="B301" s="34"/>
      <c r="C301" s="3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5">
      <c r="A302" s="5"/>
      <c r="B302" s="34"/>
      <c r="C302" s="3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5">
      <c r="A303" s="5"/>
      <c r="B303" s="34"/>
      <c r="C303" s="3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5">
      <c r="A304" s="5"/>
      <c r="B304" s="34"/>
      <c r="C304" s="3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5">
      <c r="A305" s="5"/>
      <c r="B305" s="34"/>
      <c r="C305" s="3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5">
      <c r="A306" s="5"/>
      <c r="B306" s="34"/>
      <c r="C306" s="3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5">
      <c r="A307" s="5"/>
      <c r="B307" s="34"/>
      <c r="C307" s="3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5">
      <c r="A308" s="5"/>
      <c r="B308" s="34"/>
      <c r="C308" s="3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5">
      <c r="A309" s="5"/>
      <c r="B309" s="34"/>
      <c r="C309" s="3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5">
      <c r="A310" s="5"/>
      <c r="B310" s="34"/>
      <c r="C310" s="3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5">
      <c r="A311" s="5"/>
      <c r="B311" s="34"/>
      <c r="C311" s="3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5">
      <c r="A312" s="5"/>
      <c r="B312" s="34"/>
      <c r="C312" s="3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5">
      <c r="A313" s="5"/>
      <c r="B313" s="34"/>
      <c r="C313" s="3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5">
      <c r="A314" s="5"/>
      <c r="B314" s="34"/>
      <c r="C314" s="3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5">
      <c r="A315" s="5"/>
      <c r="B315" s="34"/>
      <c r="C315" s="3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5">
      <c r="A316" s="5"/>
      <c r="B316" s="34"/>
      <c r="C316" s="3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5">
      <c r="A317" s="5"/>
      <c r="B317" s="34"/>
      <c r="C317" s="3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5">
      <c r="A318" s="5"/>
      <c r="B318" s="34"/>
      <c r="C318" s="3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5">
      <c r="A319" s="5"/>
      <c r="B319" s="34"/>
      <c r="C319" s="3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5">
      <c r="A320" s="5"/>
      <c r="B320" s="34"/>
      <c r="C320" s="3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5">
      <c r="A321" s="5"/>
      <c r="B321" s="34"/>
      <c r="C321" s="3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5">
      <c r="A322" s="5"/>
      <c r="B322" s="34"/>
      <c r="C322" s="3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5">
      <c r="A323" s="5"/>
      <c r="B323" s="34"/>
      <c r="C323" s="3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5">
      <c r="A324" s="5"/>
      <c r="B324" s="34"/>
      <c r="C324" s="3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5">
      <c r="A325" s="5"/>
      <c r="B325" s="34"/>
      <c r="C325" s="3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5">
      <c r="A326" s="5"/>
      <c r="B326" s="34"/>
      <c r="C326" s="3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5">
      <c r="A327" s="5"/>
      <c r="B327" s="34"/>
      <c r="C327" s="3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5">
      <c r="A328" s="5"/>
      <c r="B328" s="34"/>
      <c r="C328" s="3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5">
      <c r="A329" s="5"/>
      <c r="B329" s="34"/>
      <c r="C329" s="3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5">
      <c r="A330" s="5"/>
      <c r="B330" s="34"/>
      <c r="C330" s="3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5">
      <c r="A331" s="5"/>
      <c r="B331" s="34"/>
      <c r="C331" s="3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5">
      <c r="A332" s="5"/>
      <c r="B332" s="34"/>
      <c r="C332" s="3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5">
      <c r="A333" s="5"/>
      <c r="B333" s="34"/>
      <c r="C333" s="3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5">
      <c r="A334" s="5"/>
      <c r="B334" s="34"/>
      <c r="C334" s="3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5">
      <c r="A335" s="5"/>
      <c r="B335" s="34"/>
      <c r="C335" s="3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5">
      <c r="A336" s="5"/>
      <c r="B336" s="34"/>
      <c r="C336" s="3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5">
      <c r="A337" s="5"/>
      <c r="B337" s="34"/>
      <c r="C337" s="3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5">
      <c r="A338" s="5"/>
      <c r="B338" s="34"/>
      <c r="C338" s="3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5">
      <c r="A339" s="5"/>
      <c r="B339" s="34"/>
      <c r="C339" s="3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5">
      <c r="A340" s="5"/>
      <c r="B340" s="34"/>
      <c r="C340" s="3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5">
      <c r="A341" s="5"/>
      <c r="B341" s="34"/>
      <c r="C341" s="3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5">
      <c r="A342" s="5"/>
      <c r="B342" s="34"/>
      <c r="C342" s="3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5">
      <c r="A343" s="5"/>
      <c r="B343" s="34"/>
      <c r="C343" s="3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5">
      <c r="A344" s="5"/>
      <c r="B344" s="34"/>
      <c r="C344" s="3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5">
      <c r="A345" s="5"/>
      <c r="B345" s="34"/>
      <c r="C345" s="3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5">
      <c r="A346" s="5"/>
      <c r="B346" s="34"/>
      <c r="C346" s="3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5">
      <c r="A347" s="5"/>
      <c r="B347" s="34"/>
      <c r="C347" s="3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5">
      <c r="A348" s="5"/>
      <c r="B348" s="34"/>
      <c r="C348" s="3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5">
      <c r="A349" s="5"/>
      <c r="B349" s="34"/>
      <c r="C349" s="3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5">
      <c r="A350" s="5"/>
      <c r="B350" s="34"/>
      <c r="C350" s="3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5">
      <c r="A351" s="5"/>
      <c r="B351" s="34"/>
      <c r="C351" s="3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5">
      <c r="A352" s="5"/>
      <c r="B352" s="34"/>
      <c r="C352" s="3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5">
      <c r="A353" s="5"/>
      <c r="B353" s="34"/>
      <c r="C353" s="3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5">
      <c r="A354" s="5"/>
      <c r="B354" s="34"/>
      <c r="C354" s="3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5">
      <c r="A355" s="5"/>
      <c r="B355" s="34"/>
      <c r="C355" s="3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5">
      <c r="A356" s="5"/>
      <c r="B356" s="34"/>
      <c r="C356" s="3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5">
      <c r="A357" s="5"/>
      <c r="B357" s="34"/>
      <c r="C357" s="3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5">
      <c r="A358" s="5"/>
      <c r="B358" s="34"/>
      <c r="C358" s="3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5">
      <c r="A359" s="5"/>
      <c r="B359" s="34"/>
      <c r="C359" s="3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5">
      <c r="A360" s="5"/>
      <c r="B360" s="34"/>
      <c r="C360" s="3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5">
      <c r="A361" s="5"/>
      <c r="B361" s="34"/>
      <c r="C361" s="3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5">
      <c r="A362" s="5"/>
      <c r="B362" s="34"/>
      <c r="C362" s="3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5">
      <c r="A363" s="5"/>
      <c r="B363" s="34"/>
      <c r="C363" s="3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5">
      <c r="A364" s="5"/>
      <c r="B364" s="34"/>
      <c r="C364" s="3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5">
      <c r="A365" s="5"/>
      <c r="B365" s="34"/>
      <c r="C365" s="3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5">
      <c r="A366" s="5"/>
      <c r="B366" s="34"/>
      <c r="C366" s="3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5">
      <c r="A367" s="5"/>
      <c r="B367" s="34"/>
      <c r="C367" s="3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5">
      <c r="A368" s="5"/>
      <c r="B368" s="34"/>
      <c r="C368" s="3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5">
      <c r="A369" s="5"/>
      <c r="B369" s="34"/>
      <c r="C369" s="3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5">
      <c r="A370" s="5"/>
      <c r="B370" s="34"/>
      <c r="C370" s="3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5">
      <c r="A371" s="5"/>
      <c r="B371" s="34"/>
      <c r="C371" s="3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5">
      <c r="A372" s="5"/>
      <c r="B372" s="34"/>
      <c r="C372" s="3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5">
      <c r="A373" s="5"/>
      <c r="B373" s="34"/>
      <c r="C373" s="3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5">
      <c r="A374" s="5"/>
      <c r="B374" s="34"/>
      <c r="C374" s="3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5">
      <c r="A375" s="5"/>
      <c r="B375" s="34"/>
      <c r="C375" s="3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5">
      <c r="A376" s="5"/>
      <c r="B376" s="34"/>
      <c r="C376" s="3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5">
      <c r="A377" s="5"/>
      <c r="B377" s="34"/>
      <c r="C377" s="3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5">
      <c r="A378" s="5"/>
      <c r="B378" s="34"/>
      <c r="C378" s="3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5">
      <c r="A379" s="5"/>
      <c r="B379" s="34"/>
      <c r="C379" s="3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5">
      <c r="A380" s="5"/>
      <c r="B380" s="34"/>
      <c r="C380" s="3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5">
      <c r="A381" s="5"/>
      <c r="B381" s="34"/>
      <c r="C381" s="3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5">
      <c r="A382" s="5"/>
      <c r="B382" s="34"/>
      <c r="C382" s="3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5">
      <c r="A383" s="5"/>
      <c r="B383" s="34"/>
      <c r="C383" s="3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5">
      <c r="A384" s="5"/>
      <c r="B384" s="34"/>
      <c r="C384" s="3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5">
      <c r="A385" s="5"/>
      <c r="B385" s="34"/>
      <c r="C385" s="3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5">
      <c r="A386" s="5"/>
      <c r="B386" s="34"/>
      <c r="C386" s="3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5">
      <c r="A387" s="5"/>
      <c r="B387" s="34"/>
      <c r="C387" s="3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5">
      <c r="A388" s="5"/>
      <c r="B388" s="34"/>
      <c r="C388" s="3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5">
      <c r="A389" s="5"/>
      <c r="B389" s="34"/>
      <c r="C389" s="3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5">
      <c r="A390" s="5"/>
      <c r="B390" s="34"/>
      <c r="C390" s="3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5">
      <c r="A391" s="5"/>
      <c r="B391" s="34"/>
      <c r="C391" s="3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5">
      <c r="A392" s="5"/>
      <c r="B392" s="34"/>
      <c r="C392" s="3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5">
      <c r="A393" s="5"/>
      <c r="B393" s="34"/>
      <c r="C393" s="3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5">
      <c r="A394" s="5"/>
      <c r="B394" s="34"/>
      <c r="C394" s="3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5">
      <c r="A395" s="5"/>
      <c r="B395" s="34"/>
      <c r="C395" s="3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5">
      <c r="A396" s="5"/>
      <c r="B396" s="34"/>
      <c r="C396" s="3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5">
      <c r="A397" s="5"/>
      <c r="B397" s="34"/>
      <c r="C397" s="3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5">
      <c r="A398" s="5"/>
      <c r="B398" s="34"/>
      <c r="C398" s="3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5">
      <c r="A399" s="5"/>
      <c r="B399" s="34"/>
      <c r="C399" s="3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5">
      <c r="A400" s="5"/>
      <c r="B400" s="34"/>
      <c r="C400" s="3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5">
      <c r="A401" s="5"/>
      <c r="B401" s="34"/>
      <c r="C401" s="3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5">
      <c r="A402" s="5"/>
      <c r="B402" s="34"/>
      <c r="C402" s="3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5">
      <c r="A403" s="5"/>
      <c r="B403" s="34"/>
      <c r="C403" s="3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5">
      <c r="A404" s="5"/>
      <c r="B404" s="34"/>
      <c r="C404" s="3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5">
      <c r="A405" s="5"/>
      <c r="B405" s="34"/>
      <c r="C405" s="3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5">
      <c r="A406" s="5"/>
      <c r="B406" s="34"/>
      <c r="C406" s="3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5">
      <c r="A407" s="5"/>
      <c r="B407" s="34"/>
      <c r="C407" s="3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5">
      <c r="A408" s="5"/>
      <c r="B408" s="34"/>
      <c r="C408" s="3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5">
      <c r="A409" s="5"/>
      <c r="B409" s="34"/>
      <c r="C409" s="3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5">
      <c r="A410" s="5"/>
      <c r="B410" s="34"/>
      <c r="C410" s="3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5">
      <c r="A411" s="5"/>
      <c r="B411" s="34"/>
      <c r="C411" s="3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5">
      <c r="A412" s="5"/>
      <c r="B412" s="34"/>
      <c r="C412" s="3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5">
      <c r="A413" s="5"/>
      <c r="B413" s="34"/>
      <c r="C413" s="3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5">
      <c r="A414" s="5"/>
      <c r="B414" s="34"/>
      <c r="C414" s="3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5">
      <c r="A415" s="5"/>
      <c r="B415" s="34"/>
      <c r="C415" s="3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5">
      <c r="A416" s="5"/>
      <c r="B416" s="34"/>
      <c r="C416" s="3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5">
      <c r="A417" s="5"/>
      <c r="B417" s="34"/>
      <c r="C417" s="3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5">
      <c r="A418" s="5"/>
      <c r="B418" s="34"/>
      <c r="C418" s="3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5">
      <c r="A419" s="5"/>
      <c r="B419" s="34"/>
      <c r="C419" s="3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5">
      <c r="A420" s="5"/>
      <c r="B420" s="34"/>
      <c r="C420" s="3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5">
      <c r="A421" s="5"/>
      <c r="B421" s="34"/>
      <c r="C421" s="3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5">
      <c r="A422" s="5"/>
      <c r="B422" s="34"/>
      <c r="C422" s="3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5">
      <c r="A423" s="5"/>
      <c r="B423" s="34"/>
      <c r="C423" s="3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5">
      <c r="A424" s="5"/>
      <c r="B424" s="34"/>
      <c r="C424" s="3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5">
      <c r="A425" s="5"/>
      <c r="B425" s="34"/>
      <c r="C425" s="3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5">
      <c r="A426" s="5"/>
      <c r="B426" s="34"/>
      <c r="C426" s="3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5">
      <c r="A427" s="5"/>
      <c r="B427" s="34"/>
      <c r="C427" s="3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5">
      <c r="A428" s="5"/>
      <c r="B428" s="34"/>
      <c r="C428" s="3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5">
      <c r="A429" s="5"/>
      <c r="B429" s="34"/>
      <c r="C429" s="3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5">
      <c r="A430" s="5"/>
      <c r="B430" s="34"/>
      <c r="C430" s="3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5">
      <c r="A431" s="5"/>
      <c r="B431" s="34"/>
      <c r="C431" s="3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5">
      <c r="A432" s="5"/>
      <c r="B432" s="34"/>
      <c r="C432" s="3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5">
      <c r="A433" s="5"/>
      <c r="B433" s="34"/>
      <c r="C433" s="3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5">
      <c r="A434" s="5"/>
      <c r="B434" s="34"/>
      <c r="C434" s="3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5">
      <c r="A435" s="5"/>
      <c r="B435" s="34"/>
      <c r="C435" s="3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5">
      <c r="A436" s="5"/>
      <c r="B436" s="34"/>
      <c r="C436" s="3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5">
      <c r="A437" s="5"/>
      <c r="B437" s="34"/>
      <c r="C437" s="3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5">
      <c r="A438" s="5"/>
      <c r="B438" s="34"/>
      <c r="C438" s="3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5">
      <c r="A439" s="5"/>
      <c r="B439" s="34"/>
      <c r="C439" s="3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5">
      <c r="A440" s="5"/>
      <c r="B440" s="34"/>
      <c r="C440" s="3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5">
      <c r="A441" s="5"/>
      <c r="B441" s="34"/>
      <c r="C441" s="3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5">
      <c r="A442" s="5"/>
      <c r="B442" s="34"/>
      <c r="C442" s="3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5">
      <c r="A443" s="5"/>
      <c r="B443" s="34"/>
      <c r="C443" s="3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5">
      <c r="A444" s="5"/>
      <c r="B444" s="34"/>
      <c r="C444" s="3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5">
      <c r="A445" s="5"/>
      <c r="B445" s="34"/>
      <c r="C445" s="3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5">
      <c r="A446" s="5"/>
      <c r="B446" s="34"/>
      <c r="C446" s="3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5">
      <c r="A447" s="5"/>
      <c r="B447" s="34"/>
      <c r="C447" s="3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5">
      <c r="A448" s="5"/>
      <c r="B448" s="34"/>
      <c r="C448" s="3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5">
      <c r="A449" s="5"/>
      <c r="B449" s="34"/>
      <c r="C449" s="3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5">
      <c r="A450" s="5"/>
      <c r="B450" s="34"/>
      <c r="C450" s="3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5">
      <c r="A451" s="5"/>
      <c r="B451" s="34"/>
      <c r="C451" s="3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5">
      <c r="A452" s="5"/>
      <c r="B452" s="34"/>
      <c r="C452" s="3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5">
      <c r="A453" s="5"/>
      <c r="B453" s="34"/>
      <c r="C453" s="3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5">
      <c r="A454" s="5"/>
      <c r="B454" s="34"/>
      <c r="C454" s="3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5">
      <c r="A455" s="5"/>
      <c r="B455" s="34"/>
      <c r="C455" s="3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5">
      <c r="A456" s="5"/>
      <c r="B456" s="34"/>
      <c r="C456" s="3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5">
      <c r="A457" s="5"/>
      <c r="B457" s="34"/>
      <c r="C457" s="3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5">
      <c r="A458" s="5"/>
      <c r="B458" s="34"/>
      <c r="C458" s="3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5">
      <c r="A459" s="5"/>
      <c r="B459" s="34"/>
      <c r="C459" s="3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5">
      <c r="A460" s="5"/>
      <c r="B460" s="34"/>
      <c r="C460" s="3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5">
      <c r="A461" s="5"/>
      <c r="B461" s="34"/>
      <c r="C461" s="3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5">
      <c r="A462" s="5"/>
      <c r="B462" s="34"/>
      <c r="C462" s="3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5">
      <c r="A463" s="5"/>
      <c r="B463" s="34"/>
      <c r="C463" s="3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5">
      <c r="A464" s="5"/>
      <c r="B464" s="34"/>
      <c r="C464" s="3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5">
      <c r="A465" s="5"/>
      <c r="B465" s="34"/>
      <c r="C465" s="3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5">
      <c r="A466" s="5"/>
      <c r="B466" s="34"/>
      <c r="C466" s="3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5">
      <c r="A467" s="5"/>
      <c r="B467" s="34"/>
      <c r="C467" s="3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5">
      <c r="A468" s="5"/>
      <c r="B468" s="34"/>
      <c r="C468" s="3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5">
      <c r="A469" s="5"/>
      <c r="B469" s="34"/>
      <c r="C469" s="3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5">
      <c r="A470" s="5"/>
      <c r="B470" s="34"/>
      <c r="C470" s="3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5">
      <c r="A471" s="5"/>
      <c r="B471" s="34"/>
      <c r="C471" s="3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5">
      <c r="A472" s="5"/>
      <c r="B472" s="34"/>
      <c r="C472" s="3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5">
      <c r="A473" s="5"/>
      <c r="B473" s="34"/>
      <c r="C473" s="3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5">
      <c r="A474" s="5"/>
      <c r="B474" s="34"/>
      <c r="C474" s="3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5">
      <c r="A475" s="5"/>
      <c r="B475" s="34"/>
      <c r="C475" s="3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5">
      <c r="A476" s="5"/>
      <c r="B476" s="34"/>
      <c r="C476" s="3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5">
      <c r="A477" s="5"/>
      <c r="B477" s="34"/>
      <c r="C477" s="3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5">
      <c r="A478" s="5"/>
      <c r="B478" s="34"/>
      <c r="C478" s="3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5">
      <c r="A479" s="5"/>
      <c r="B479" s="34"/>
      <c r="C479" s="3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5">
      <c r="A480" s="5"/>
      <c r="B480" s="34"/>
      <c r="C480" s="3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5">
      <c r="A481" s="5"/>
      <c r="B481" s="34"/>
      <c r="C481" s="3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5">
      <c r="A482" s="5"/>
      <c r="B482" s="34"/>
      <c r="C482" s="3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5">
      <c r="A483" s="5"/>
      <c r="B483" s="34"/>
      <c r="C483" s="3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5">
      <c r="A484" s="5"/>
      <c r="B484" s="34"/>
      <c r="C484" s="3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5">
      <c r="A485" s="5"/>
      <c r="B485" s="34"/>
      <c r="C485" s="3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5">
      <c r="A486" s="5"/>
      <c r="B486" s="34"/>
      <c r="C486" s="3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5">
      <c r="A487" s="5"/>
      <c r="B487" s="34"/>
      <c r="C487" s="3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5">
      <c r="A488" s="5"/>
      <c r="B488" s="34"/>
      <c r="C488" s="3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5">
      <c r="A489" s="5"/>
      <c r="B489" s="34"/>
      <c r="C489" s="3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5">
      <c r="A490" s="5"/>
      <c r="B490" s="34"/>
      <c r="C490" s="3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5">
      <c r="A491" s="5"/>
      <c r="B491" s="34"/>
      <c r="C491" s="3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5">
      <c r="A492" s="5"/>
      <c r="B492" s="34"/>
      <c r="C492" s="3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5">
      <c r="A493" s="5"/>
      <c r="B493" s="34"/>
      <c r="C493" s="3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5">
      <c r="A494" s="5"/>
      <c r="B494" s="34"/>
      <c r="C494" s="3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5">
      <c r="A495" s="5"/>
      <c r="B495" s="34"/>
      <c r="C495" s="3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5">
      <c r="A496" s="5"/>
      <c r="B496" s="34"/>
      <c r="C496" s="3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5">
      <c r="A497" s="5"/>
      <c r="B497" s="34"/>
      <c r="C497" s="3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5">
      <c r="A498" s="5"/>
      <c r="B498" s="34"/>
      <c r="C498" s="3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5">
      <c r="A499" s="5"/>
      <c r="B499" s="34"/>
      <c r="C499" s="3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5">
      <c r="A500" s="5"/>
      <c r="B500" s="34"/>
      <c r="C500" s="3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5">
      <c r="A501" s="5"/>
      <c r="B501" s="34"/>
      <c r="C501" s="3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5">
      <c r="A502" s="5"/>
      <c r="B502" s="34"/>
      <c r="C502" s="3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5">
      <c r="A503" s="5"/>
      <c r="B503" s="34"/>
      <c r="C503" s="3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5">
      <c r="A504" s="5"/>
      <c r="B504" s="34"/>
      <c r="C504" s="3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5">
      <c r="A505" s="5"/>
      <c r="B505" s="34"/>
      <c r="C505" s="3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5">
      <c r="A506" s="5"/>
      <c r="B506" s="34"/>
      <c r="C506" s="3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5">
      <c r="A507" s="5"/>
      <c r="B507" s="34"/>
      <c r="C507" s="3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5">
      <c r="A508" s="5"/>
      <c r="B508" s="34"/>
      <c r="C508" s="3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5">
      <c r="A509" s="5"/>
      <c r="B509" s="34"/>
      <c r="C509" s="3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5">
      <c r="A510" s="5"/>
      <c r="B510" s="34"/>
      <c r="C510" s="3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5">
      <c r="A511" s="5"/>
      <c r="B511" s="34"/>
      <c r="C511" s="3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5">
      <c r="A512" s="5"/>
      <c r="B512" s="34"/>
      <c r="C512" s="3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5">
      <c r="A513" s="5"/>
      <c r="B513" s="34"/>
      <c r="C513" s="3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5">
      <c r="A514" s="5"/>
      <c r="B514" s="34"/>
      <c r="C514" s="3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5">
      <c r="A515" s="5"/>
      <c r="B515" s="34"/>
      <c r="C515" s="3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5">
      <c r="A516" s="5"/>
      <c r="B516" s="34"/>
      <c r="C516" s="3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5">
      <c r="A517" s="5"/>
      <c r="B517" s="34"/>
      <c r="C517" s="3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5">
      <c r="A518" s="5"/>
      <c r="B518" s="34"/>
      <c r="C518" s="3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5">
      <c r="A519" s="5"/>
      <c r="B519" s="34"/>
      <c r="C519" s="3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5">
      <c r="A520" s="5"/>
      <c r="B520" s="34"/>
      <c r="C520" s="3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5">
      <c r="A521" s="5"/>
      <c r="B521" s="34"/>
      <c r="C521" s="3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5">
      <c r="A522" s="5"/>
      <c r="B522" s="34"/>
      <c r="C522" s="3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5">
      <c r="A523" s="5"/>
      <c r="B523" s="34"/>
      <c r="C523" s="3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5">
      <c r="A524" s="5"/>
      <c r="B524" s="34"/>
      <c r="C524" s="3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5">
      <c r="A525" s="5"/>
      <c r="B525" s="34"/>
      <c r="C525" s="3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5">
      <c r="A526" s="5"/>
      <c r="B526" s="34"/>
      <c r="C526" s="3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5">
      <c r="A527" s="5"/>
      <c r="B527" s="34"/>
      <c r="C527" s="3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5">
      <c r="A528" s="5"/>
      <c r="B528" s="34"/>
      <c r="C528" s="3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5">
      <c r="A529" s="5"/>
      <c r="B529" s="34"/>
      <c r="C529" s="3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5">
      <c r="A530" s="5"/>
      <c r="B530" s="34"/>
      <c r="C530" s="3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5">
      <c r="A531" s="5"/>
      <c r="B531" s="34"/>
      <c r="C531" s="3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5">
      <c r="A532" s="5"/>
      <c r="B532" s="34"/>
      <c r="C532" s="3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5">
      <c r="A533" s="5"/>
      <c r="B533" s="34"/>
      <c r="C533" s="3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5">
      <c r="A534" s="5"/>
      <c r="B534" s="34"/>
      <c r="C534" s="3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5">
      <c r="A535" s="5"/>
      <c r="B535" s="34"/>
      <c r="C535" s="3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5">
      <c r="A536" s="5"/>
      <c r="B536" s="34"/>
      <c r="C536" s="3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5">
      <c r="A537" s="5"/>
      <c r="B537" s="34"/>
      <c r="C537" s="3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5">
      <c r="A538" s="5"/>
      <c r="B538" s="34"/>
      <c r="C538" s="3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5">
      <c r="A539" s="5"/>
      <c r="B539" s="34"/>
      <c r="C539" s="3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5">
      <c r="A540" s="5"/>
      <c r="B540" s="34"/>
      <c r="C540" s="3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5">
      <c r="A541" s="5"/>
      <c r="B541" s="34"/>
      <c r="C541" s="3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5">
      <c r="A542" s="5"/>
      <c r="B542" s="34"/>
      <c r="C542" s="3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5">
      <c r="A543" s="5"/>
      <c r="B543" s="34"/>
      <c r="C543" s="3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5">
      <c r="A544" s="5"/>
      <c r="B544" s="34"/>
      <c r="C544" s="3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5">
      <c r="A545" s="5"/>
      <c r="B545" s="34"/>
      <c r="C545" s="3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5">
      <c r="A546" s="5"/>
      <c r="B546" s="34"/>
      <c r="C546" s="3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5">
      <c r="A547" s="5"/>
      <c r="B547" s="34"/>
      <c r="C547" s="3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5">
      <c r="A548" s="5"/>
      <c r="B548" s="34"/>
      <c r="C548" s="3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5">
      <c r="A549" s="5"/>
      <c r="B549" s="34"/>
      <c r="C549" s="3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5">
      <c r="A550" s="5"/>
      <c r="B550" s="34"/>
      <c r="C550" s="3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5">
      <c r="A551" s="5"/>
      <c r="B551" s="34"/>
      <c r="C551" s="3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5">
      <c r="A552" s="5"/>
      <c r="B552" s="34"/>
      <c r="C552" s="3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5">
      <c r="A553" s="5"/>
      <c r="B553" s="34"/>
      <c r="C553" s="3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5">
      <c r="A554" s="5"/>
      <c r="B554" s="34"/>
      <c r="C554" s="3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5">
      <c r="A555" s="5"/>
      <c r="B555" s="34"/>
      <c r="C555" s="3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5">
      <c r="A556" s="5"/>
      <c r="B556" s="34"/>
      <c r="C556" s="3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5">
      <c r="A557" s="5"/>
      <c r="B557" s="34"/>
      <c r="C557" s="3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5">
      <c r="A558" s="5"/>
      <c r="B558" s="34"/>
      <c r="C558" s="3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5">
      <c r="A559" s="5"/>
      <c r="B559" s="34"/>
      <c r="C559" s="3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5">
      <c r="A560" s="5"/>
      <c r="B560" s="34"/>
      <c r="C560" s="3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5">
      <c r="A561" s="5"/>
      <c r="B561" s="34"/>
      <c r="C561" s="3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5">
      <c r="A562" s="5"/>
      <c r="B562" s="34"/>
      <c r="C562" s="3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5">
      <c r="A563" s="5"/>
      <c r="B563" s="34"/>
      <c r="C563" s="3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5">
      <c r="A564" s="5"/>
      <c r="B564" s="34"/>
      <c r="C564" s="3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5">
      <c r="A565" s="5"/>
      <c r="B565" s="34"/>
      <c r="C565" s="3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5">
      <c r="A566" s="5"/>
      <c r="B566" s="34"/>
      <c r="C566" s="3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5">
      <c r="A567" s="5"/>
      <c r="B567" s="34"/>
      <c r="C567" s="3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5">
      <c r="A568" s="5"/>
      <c r="B568" s="34"/>
      <c r="C568" s="3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5">
      <c r="A569" s="5"/>
      <c r="B569" s="34"/>
      <c r="C569" s="3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5">
      <c r="A570" s="5"/>
      <c r="B570" s="34"/>
      <c r="C570" s="3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5">
      <c r="A571" s="5"/>
      <c r="B571" s="34"/>
      <c r="C571" s="3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5">
      <c r="A572" s="5"/>
      <c r="B572" s="34"/>
      <c r="C572" s="3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5">
      <c r="A573" s="5"/>
      <c r="B573" s="34"/>
      <c r="C573" s="3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5">
      <c r="A574" s="5"/>
      <c r="B574" s="34"/>
      <c r="C574" s="3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5">
      <c r="A575" s="5"/>
      <c r="B575" s="34"/>
      <c r="C575" s="3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5">
      <c r="A576" s="5"/>
      <c r="B576" s="34"/>
      <c r="C576" s="3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5">
      <c r="A577" s="5"/>
      <c r="B577" s="34"/>
      <c r="C577" s="3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5">
      <c r="A578" s="5"/>
      <c r="B578" s="34"/>
      <c r="C578" s="3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5">
      <c r="A579" s="5"/>
      <c r="B579" s="34"/>
      <c r="C579" s="3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5">
      <c r="A580" s="5"/>
      <c r="B580" s="34"/>
      <c r="C580" s="3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5">
      <c r="A581" s="5"/>
      <c r="B581" s="34"/>
      <c r="C581" s="3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5">
      <c r="A582" s="5"/>
      <c r="B582" s="34"/>
      <c r="C582" s="3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5">
      <c r="A583" s="5"/>
      <c r="B583" s="34"/>
      <c r="C583" s="3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5">
      <c r="A584" s="5"/>
      <c r="B584" s="34"/>
      <c r="C584" s="3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5">
      <c r="A585" s="5"/>
      <c r="B585" s="34"/>
      <c r="C585" s="3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5">
      <c r="A586" s="5"/>
      <c r="B586" s="34"/>
      <c r="C586" s="3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5">
      <c r="A587" s="5"/>
      <c r="B587" s="34"/>
      <c r="C587" s="3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5">
      <c r="A588" s="5"/>
      <c r="B588" s="34"/>
      <c r="C588" s="3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5">
      <c r="A589" s="5"/>
      <c r="B589" s="34"/>
      <c r="C589" s="3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5">
      <c r="A590" s="5"/>
      <c r="B590" s="34"/>
      <c r="C590" s="3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5">
      <c r="A591" s="5"/>
      <c r="B591" s="34"/>
      <c r="C591" s="3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5">
      <c r="A592" s="5"/>
      <c r="B592" s="34"/>
      <c r="C592" s="3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5">
      <c r="A593" s="5"/>
      <c r="B593" s="34"/>
      <c r="C593" s="3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5">
      <c r="A594" s="5"/>
      <c r="B594" s="34"/>
      <c r="C594" s="3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5">
      <c r="A595" s="5"/>
      <c r="B595" s="34"/>
      <c r="C595" s="3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5">
      <c r="A596" s="5"/>
      <c r="B596" s="34"/>
      <c r="C596" s="3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5">
      <c r="A597" s="5"/>
      <c r="B597" s="34"/>
      <c r="C597" s="3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5">
      <c r="A598" s="5"/>
      <c r="B598" s="34"/>
      <c r="C598" s="3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5">
      <c r="A599" s="5"/>
      <c r="B599" s="34"/>
      <c r="C599" s="3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5">
      <c r="A600" s="5"/>
      <c r="B600" s="34"/>
      <c r="C600" s="3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5">
      <c r="A601" s="5"/>
      <c r="B601" s="34"/>
      <c r="C601" s="3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5">
      <c r="A602" s="5"/>
      <c r="B602" s="34"/>
      <c r="C602" s="3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5">
      <c r="A603" s="5"/>
      <c r="B603" s="34"/>
      <c r="C603" s="3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5">
      <c r="A604" s="5"/>
      <c r="B604" s="34"/>
      <c r="C604" s="3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5">
      <c r="A605" s="5"/>
      <c r="B605" s="34"/>
      <c r="C605" s="3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5">
      <c r="A606" s="5"/>
      <c r="B606" s="34"/>
      <c r="C606" s="3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5">
      <c r="A607" s="5"/>
      <c r="B607" s="34"/>
      <c r="C607" s="3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5">
      <c r="A608" s="5"/>
      <c r="B608" s="34"/>
      <c r="C608" s="3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5">
      <c r="A609" s="5"/>
      <c r="B609" s="34"/>
      <c r="C609" s="3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5">
      <c r="A610" s="5"/>
      <c r="B610" s="34"/>
      <c r="C610" s="3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5">
      <c r="A611" s="5"/>
      <c r="B611" s="34"/>
      <c r="C611" s="3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5">
      <c r="A612" s="5"/>
      <c r="B612" s="34"/>
      <c r="C612" s="3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5">
      <c r="A613" s="5"/>
      <c r="B613" s="34"/>
      <c r="C613" s="3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5">
      <c r="A614" s="5"/>
      <c r="B614" s="34"/>
      <c r="C614" s="3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5">
      <c r="A615" s="5"/>
      <c r="B615" s="34"/>
      <c r="C615" s="3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5">
      <c r="A616" s="5"/>
      <c r="B616" s="34"/>
      <c r="C616" s="3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5">
      <c r="A617" s="5"/>
      <c r="B617" s="34"/>
      <c r="C617" s="3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5">
      <c r="A618" s="5"/>
      <c r="B618" s="34"/>
      <c r="C618" s="3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5">
      <c r="A619" s="5"/>
      <c r="B619" s="34"/>
      <c r="C619" s="3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5">
      <c r="A620" s="5"/>
      <c r="B620" s="34"/>
      <c r="C620" s="3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5">
      <c r="A621" s="5"/>
      <c r="B621" s="34"/>
      <c r="C621" s="3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5">
      <c r="A622" s="5"/>
      <c r="B622" s="34"/>
      <c r="C622" s="3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5">
      <c r="A623" s="5"/>
      <c r="B623" s="34"/>
      <c r="C623" s="3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5">
      <c r="A624" s="5"/>
      <c r="B624" s="34"/>
      <c r="C624" s="3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5">
      <c r="A625" s="5"/>
      <c r="B625" s="34"/>
      <c r="C625" s="3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5">
      <c r="A626" s="5"/>
      <c r="B626" s="34"/>
      <c r="C626" s="3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5">
      <c r="A627" s="5"/>
      <c r="B627" s="34"/>
      <c r="C627" s="3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5">
      <c r="A628" s="5"/>
      <c r="B628" s="34"/>
      <c r="C628" s="3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5">
      <c r="A629" s="5"/>
      <c r="B629" s="34"/>
      <c r="C629" s="3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5">
      <c r="A630" s="5"/>
      <c r="B630" s="34"/>
      <c r="C630" s="3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5">
      <c r="A631" s="5"/>
      <c r="B631" s="34"/>
      <c r="C631" s="3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5">
      <c r="A632" s="5"/>
      <c r="B632" s="34"/>
      <c r="C632" s="3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5">
      <c r="A633" s="5"/>
      <c r="B633" s="34"/>
      <c r="C633" s="3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5">
      <c r="A634" s="5"/>
      <c r="B634" s="34"/>
      <c r="C634" s="3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5">
      <c r="A635" s="5"/>
      <c r="B635" s="34"/>
      <c r="C635" s="3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5">
      <c r="A636" s="5"/>
      <c r="B636" s="34"/>
      <c r="C636" s="3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5">
      <c r="A637" s="5"/>
      <c r="B637" s="34"/>
      <c r="C637" s="3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5">
      <c r="A638" s="5"/>
      <c r="B638" s="34"/>
      <c r="C638" s="3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5">
      <c r="A639" s="5"/>
      <c r="B639" s="34"/>
      <c r="C639" s="3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5">
      <c r="A640" s="5"/>
      <c r="B640" s="34"/>
      <c r="C640" s="3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5">
      <c r="A641" s="5"/>
      <c r="B641" s="34"/>
      <c r="C641" s="3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5">
      <c r="A642" s="5"/>
      <c r="B642" s="34"/>
      <c r="C642" s="3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5">
      <c r="A643" s="5"/>
      <c r="B643" s="34"/>
      <c r="C643" s="3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5">
      <c r="A644" s="5"/>
      <c r="B644" s="34"/>
      <c r="C644" s="3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5">
      <c r="A645" s="5"/>
      <c r="B645" s="34"/>
      <c r="C645" s="3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5">
      <c r="A646" s="5"/>
      <c r="B646" s="34"/>
      <c r="C646" s="3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5">
      <c r="A647" s="5"/>
      <c r="B647" s="34"/>
      <c r="C647" s="3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5">
      <c r="A648" s="5"/>
      <c r="B648" s="34"/>
      <c r="C648" s="3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5">
      <c r="A649" s="5"/>
      <c r="B649" s="34"/>
      <c r="C649" s="3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5">
      <c r="A650" s="5"/>
      <c r="B650" s="34"/>
      <c r="C650" s="3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5">
      <c r="A651" s="5"/>
      <c r="B651" s="34"/>
      <c r="C651" s="3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5">
      <c r="A652" s="5"/>
      <c r="B652" s="34"/>
      <c r="C652" s="3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5">
      <c r="A653" s="5"/>
      <c r="B653" s="34"/>
      <c r="C653" s="3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5">
      <c r="A654" s="5"/>
      <c r="B654" s="34"/>
      <c r="C654" s="3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5">
      <c r="A655" s="5"/>
      <c r="B655" s="34"/>
      <c r="C655" s="3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5">
      <c r="A656" s="5"/>
      <c r="B656" s="34"/>
      <c r="C656" s="3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5">
      <c r="A657" s="5"/>
      <c r="B657" s="34"/>
      <c r="C657" s="3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5">
      <c r="A658" s="5"/>
      <c r="B658" s="34"/>
      <c r="C658" s="3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5">
      <c r="A659" s="5"/>
      <c r="B659" s="34"/>
      <c r="C659" s="3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5">
      <c r="A660" s="5"/>
      <c r="B660" s="34"/>
      <c r="C660" s="3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5">
      <c r="A661" s="5"/>
      <c r="B661" s="34"/>
      <c r="C661" s="3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5">
      <c r="A662" s="5"/>
      <c r="B662" s="34"/>
      <c r="C662" s="3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5">
      <c r="A663" s="5"/>
      <c r="B663" s="34"/>
      <c r="C663" s="3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5">
      <c r="A664" s="5"/>
      <c r="B664" s="34"/>
      <c r="C664" s="3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5">
      <c r="A665" s="5"/>
      <c r="B665" s="34"/>
      <c r="C665" s="3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5">
      <c r="A666" s="5"/>
      <c r="B666" s="34"/>
      <c r="C666" s="3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5">
      <c r="A667" s="5"/>
      <c r="B667" s="34"/>
      <c r="C667" s="3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5">
      <c r="A668" s="5"/>
      <c r="B668" s="34"/>
      <c r="C668" s="3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5">
      <c r="A669" s="5"/>
      <c r="B669" s="34"/>
      <c r="C669" s="3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5">
      <c r="A670" s="5"/>
      <c r="B670" s="34"/>
      <c r="C670" s="3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5">
      <c r="A671" s="5"/>
      <c r="B671" s="34"/>
      <c r="C671" s="3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5">
      <c r="A672" s="5"/>
      <c r="B672" s="34"/>
      <c r="C672" s="3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5">
      <c r="A673" s="5"/>
      <c r="B673" s="34"/>
      <c r="C673" s="3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5">
      <c r="A674" s="5"/>
      <c r="B674" s="34"/>
      <c r="C674" s="3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5">
      <c r="A675" s="5"/>
      <c r="B675" s="34"/>
      <c r="C675" s="3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5">
      <c r="A676" s="5"/>
      <c r="B676" s="34"/>
      <c r="C676" s="3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5">
      <c r="A677" s="5"/>
      <c r="B677" s="34"/>
      <c r="C677" s="3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5">
      <c r="A678" s="5"/>
      <c r="B678" s="34"/>
      <c r="C678" s="3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5">
      <c r="A679" s="5"/>
      <c r="B679" s="34"/>
      <c r="C679" s="3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5">
      <c r="A680" s="5"/>
      <c r="B680" s="34"/>
      <c r="C680" s="3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5">
      <c r="A681" s="5"/>
      <c r="B681" s="34"/>
      <c r="C681" s="3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5">
      <c r="A682" s="5"/>
      <c r="B682" s="34"/>
      <c r="C682" s="3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5">
      <c r="A683" s="5"/>
      <c r="B683" s="34"/>
      <c r="C683" s="3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5">
      <c r="A684" s="5"/>
      <c r="B684" s="34"/>
      <c r="C684" s="3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5">
      <c r="A685" s="5"/>
      <c r="B685" s="34"/>
      <c r="C685" s="3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5">
      <c r="A686" s="5"/>
      <c r="B686" s="34"/>
      <c r="C686" s="3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5">
      <c r="A687" s="5"/>
      <c r="B687" s="34"/>
      <c r="C687" s="3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5">
      <c r="A688" s="5"/>
      <c r="B688" s="34"/>
      <c r="C688" s="3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5">
      <c r="A689" s="5"/>
      <c r="B689" s="34"/>
      <c r="C689" s="3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5">
      <c r="A690" s="5"/>
      <c r="B690" s="34"/>
      <c r="C690" s="3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5">
      <c r="A691" s="5"/>
      <c r="B691" s="34"/>
      <c r="C691" s="3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5">
      <c r="A692" s="5"/>
      <c r="B692" s="34"/>
      <c r="C692" s="3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5">
      <c r="A693" s="5"/>
      <c r="B693" s="34"/>
      <c r="C693" s="3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5">
      <c r="A694" s="5"/>
      <c r="B694" s="34"/>
      <c r="C694" s="3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5">
      <c r="A695" s="5"/>
      <c r="B695" s="34"/>
      <c r="C695" s="3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5">
      <c r="A696" s="5"/>
      <c r="B696" s="34"/>
      <c r="C696" s="3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5">
      <c r="A697" s="5"/>
      <c r="B697" s="34"/>
      <c r="C697" s="3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5">
      <c r="A698" s="5"/>
      <c r="B698" s="34"/>
      <c r="C698" s="3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5">
      <c r="A699" s="5"/>
      <c r="B699" s="34"/>
      <c r="C699" s="3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5">
      <c r="A700" s="5"/>
      <c r="B700" s="34"/>
      <c r="C700" s="3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5">
      <c r="A701" s="5"/>
      <c r="B701" s="34"/>
      <c r="C701" s="3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5">
      <c r="A702" s="5"/>
      <c r="B702" s="34"/>
      <c r="C702" s="3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5">
      <c r="A703" s="5"/>
      <c r="B703" s="34"/>
      <c r="C703" s="3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5">
      <c r="A704" s="5"/>
      <c r="B704" s="34"/>
      <c r="C704" s="3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5">
      <c r="A705" s="5"/>
      <c r="B705" s="34"/>
      <c r="C705" s="3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5">
      <c r="A706" s="5"/>
      <c r="B706" s="34"/>
      <c r="C706" s="3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5">
      <c r="A707" s="5"/>
      <c r="B707" s="34"/>
      <c r="C707" s="3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5">
      <c r="A708" s="5"/>
      <c r="B708" s="34"/>
      <c r="C708" s="3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5">
      <c r="A709" s="5"/>
      <c r="B709" s="34"/>
      <c r="C709" s="3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5">
      <c r="A710" s="5"/>
      <c r="B710" s="34"/>
      <c r="C710" s="3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5">
      <c r="A711" s="5"/>
      <c r="B711" s="34"/>
      <c r="C711" s="3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5">
      <c r="A712" s="5"/>
      <c r="B712" s="34"/>
      <c r="C712" s="3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5">
      <c r="A713" s="5"/>
      <c r="B713" s="34"/>
      <c r="C713" s="3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5">
      <c r="A714" s="5"/>
      <c r="B714" s="34"/>
      <c r="C714" s="3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5">
      <c r="A715" s="5"/>
      <c r="B715" s="34"/>
      <c r="C715" s="3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5">
      <c r="A716" s="5"/>
      <c r="B716" s="34"/>
      <c r="C716" s="3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5">
      <c r="A717" s="5"/>
      <c r="B717" s="34"/>
      <c r="C717" s="3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5">
      <c r="A718" s="5"/>
      <c r="B718" s="34"/>
      <c r="C718" s="3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5">
      <c r="A719" s="5"/>
      <c r="B719" s="34"/>
      <c r="C719" s="3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5">
      <c r="A720" s="5"/>
      <c r="B720" s="34"/>
      <c r="C720" s="3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5">
      <c r="A721" s="5"/>
      <c r="B721" s="34"/>
      <c r="C721" s="3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5">
      <c r="A722" s="5"/>
      <c r="B722" s="34"/>
      <c r="C722" s="3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5">
      <c r="A723" s="5"/>
      <c r="B723" s="34"/>
      <c r="C723" s="3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5">
      <c r="A724" s="5"/>
      <c r="B724" s="34"/>
      <c r="C724" s="3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5">
      <c r="A725" s="5"/>
      <c r="B725" s="34"/>
      <c r="C725" s="3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5">
      <c r="A726" s="5"/>
      <c r="B726" s="34"/>
      <c r="C726" s="3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5">
      <c r="A727" s="5"/>
      <c r="B727" s="34"/>
      <c r="C727" s="3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5">
      <c r="A728" s="5"/>
      <c r="B728" s="34"/>
      <c r="C728" s="3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5">
      <c r="A729" s="5"/>
      <c r="B729" s="34"/>
      <c r="C729" s="3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5">
      <c r="A730" s="5"/>
      <c r="B730" s="34"/>
      <c r="C730" s="3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5">
      <c r="A731" s="5"/>
      <c r="B731" s="34"/>
      <c r="C731" s="3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5">
      <c r="A732" s="5"/>
      <c r="B732" s="34"/>
      <c r="C732" s="3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5">
      <c r="A733" s="5"/>
      <c r="B733" s="34"/>
      <c r="C733" s="3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5">
      <c r="A734" s="5"/>
      <c r="B734" s="34"/>
      <c r="C734" s="3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5">
      <c r="A735" s="5"/>
      <c r="B735" s="34"/>
      <c r="C735" s="3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5">
      <c r="A736" s="5"/>
      <c r="B736" s="34"/>
      <c r="C736" s="3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5">
      <c r="A737" s="5"/>
      <c r="B737" s="34"/>
      <c r="C737" s="3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5">
      <c r="A738" s="5"/>
      <c r="B738" s="34"/>
      <c r="C738" s="3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5">
      <c r="A739" s="5"/>
      <c r="B739" s="34"/>
      <c r="C739" s="3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5">
      <c r="A740" s="5"/>
      <c r="B740" s="34"/>
      <c r="C740" s="3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5">
      <c r="A741" s="5"/>
      <c r="B741" s="34"/>
      <c r="C741" s="3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5">
      <c r="A742" s="5"/>
      <c r="B742" s="34"/>
      <c r="C742" s="3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5">
      <c r="A743" s="5"/>
      <c r="B743" s="34"/>
      <c r="C743" s="3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5">
      <c r="A744" s="5"/>
      <c r="B744" s="34"/>
      <c r="C744" s="3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5">
      <c r="A745" s="5"/>
      <c r="B745" s="34"/>
      <c r="C745" s="3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5">
      <c r="A746" s="5"/>
      <c r="B746" s="34"/>
      <c r="C746" s="3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5">
      <c r="A747" s="5"/>
      <c r="B747" s="34"/>
      <c r="C747" s="3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5">
      <c r="A748" s="5"/>
      <c r="B748" s="34"/>
      <c r="C748" s="3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5">
      <c r="A749" s="5"/>
      <c r="B749" s="34"/>
      <c r="C749" s="3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5">
      <c r="A750" s="5"/>
      <c r="B750" s="34"/>
      <c r="C750" s="3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5">
      <c r="A751" s="5"/>
      <c r="B751" s="34"/>
      <c r="C751" s="3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5">
      <c r="A752" s="5"/>
      <c r="B752" s="34"/>
      <c r="C752" s="3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5">
      <c r="A753" s="5"/>
      <c r="B753" s="34"/>
      <c r="C753" s="3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5">
      <c r="A754" s="5"/>
      <c r="B754" s="34"/>
      <c r="C754" s="3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5">
      <c r="A755" s="5"/>
      <c r="B755" s="34"/>
      <c r="C755" s="3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5">
      <c r="A756" s="5"/>
      <c r="B756" s="34"/>
      <c r="C756" s="3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5">
      <c r="A757" s="5"/>
      <c r="B757" s="34"/>
      <c r="C757" s="3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5">
      <c r="A758" s="5"/>
      <c r="B758" s="34"/>
      <c r="C758" s="3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5">
      <c r="A759" s="5"/>
      <c r="B759" s="34"/>
      <c r="C759" s="3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5">
      <c r="A760" s="5"/>
      <c r="B760" s="34"/>
      <c r="C760" s="3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5">
      <c r="A761" s="5"/>
      <c r="B761" s="34"/>
      <c r="C761" s="3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5">
      <c r="A762" s="5"/>
      <c r="B762" s="34"/>
      <c r="C762" s="3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5">
      <c r="A763" s="5"/>
      <c r="B763" s="34"/>
      <c r="C763" s="3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5">
      <c r="A764" s="5"/>
      <c r="B764" s="34"/>
      <c r="C764" s="3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5">
      <c r="A765" s="5"/>
      <c r="B765" s="34"/>
      <c r="C765" s="3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5">
      <c r="A766" s="5"/>
      <c r="B766" s="34"/>
      <c r="C766" s="3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5">
      <c r="A767" s="5"/>
      <c r="B767" s="34"/>
      <c r="C767" s="3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5">
      <c r="A768" s="5"/>
      <c r="B768" s="34"/>
      <c r="C768" s="3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5">
      <c r="A769" s="5"/>
      <c r="B769" s="34"/>
      <c r="C769" s="3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5">
      <c r="A770" s="5"/>
      <c r="B770" s="34"/>
      <c r="C770" s="3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5">
      <c r="A771" s="5"/>
      <c r="B771" s="34"/>
      <c r="C771" s="3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5">
      <c r="A772" s="5"/>
      <c r="B772" s="34"/>
      <c r="C772" s="3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5">
      <c r="A773" s="5"/>
      <c r="B773" s="34"/>
      <c r="C773" s="3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5">
      <c r="A774" s="5"/>
      <c r="B774" s="34"/>
      <c r="C774" s="3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5">
      <c r="A775" s="5"/>
      <c r="B775" s="34"/>
      <c r="C775" s="3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5">
      <c r="A776" s="5"/>
      <c r="B776" s="34"/>
      <c r="C776" s="3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5">
      <c r="A777" s="5"/>
      <c r="B777" s="34"/>
      <c r="C777" s="3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5">
      <c r="A778" s="5"/>
      <c r="B778" s="34"/>
      <c r="C778" s="3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5">
      <c r="A779" s="5"/>
      <c r="B779" s="34"/>
      <c r="C779" s="3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5">
      <c r="A780" s="5"/>
      <c r="B780" s="34"/>
      <c r="C780" s="3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5">
      <c r="A781" s="5"/>
      <c r="B781" s="34"/>
      <c r="C781" s="3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5">
      <c r="A782" s="5"/>
      <c r="B782" s="34"/>
      <c r="C782" s="3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5">
      <c r="A783" s="5"/>
      <c r="B783" s="34"/>
      <c r="C783" s="3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5">
      <c r="A784" s="5"/>
      <c r="B784" s="34"/>
      <c r="C784" s="3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5">
      <c r="A785" s="5"/>
      <c r="B785" s="34"/>
      <c r="C785" s="3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5">
      <c r="A786" s="5"/>
      <c r="B786" s="34"/>
      <c r="C786" s="3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5">
      <c r="A787" s="5"/>
      <c r="B787" s="34"/>
      <c r="C787" s="3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5">
      <c r="A788" s="5"/>
      <c r="B788" s="34"/>
      <c r="C788" s="3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5">
      <c r="A789" s="5"/>
      <c r="B789" s="34"/>
      <c r="C789" s="3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5">
      <c r="A790" s="5"/>
      <c r="B790" s="34"/>
      <c r="C790" s="3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5">
      <c r="A791" s="5"/>
      <c r="B791" s="34"/>
      <c r="C791" s="3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5">
      <c r="A792" s="5"/>
      <c r="B792" s="34"/>
      <c r="C792" s="3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5">
      <c r="A793" s="5"/>
      <c r="B793" s="34"/>
      <c r="C793" s="3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5">
      <c r="A794" s="5"/>
      <c r="B794" s="34"/>
      <c r="C794" s="3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5">
      <c r="A795" s="5"/>
      <c r="B795" s="34"/>
      <c r="C795" s="3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5">
      <c r="A796" s="5"/>
      <c r="B796" s="34"/>
      <c r="C796" s="3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5">
      <c r="A797" s="5"/>
      <c r="B797" s="34"/>
      <c r="C797" s="3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5">
      <c r="A798" s="5"/>
      <c r="B798" s="34"/>
      <c r="C798" s="3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5">
      <c r="A799" s="5"/>
      <c r="B799" s="34"/>
      <c r="C799" s="3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5">
      <c r="A800" s="5"/>
      <c r="B800" s="34"/>
      <c r="C800" s="3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5">
      <c r="A801" s="5"/>
      <c r="B801" s="34"/>
      <c r="C801" s="3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5">
      <c r="A802" s="5"/>
      <c r="B802" s="34"/>
      <c r="C802" s="3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5">
      <c r="A803" s="5"/>
      <c r="B803" s="34"/>
      <c r="C803" s="3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5">
      <c r="A804" s="5"/>
      <c r="B804" s="34"/>
      <c r="C804" s="3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5">
      <c r="A805" s="5"/>
      <c r="B805" s="34"/>
      <c r="C805" s="3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5">
      <c r="A806" s="5"/>
      <c r="B806" s="34"/>
      <c r="C806" s="3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5">
      <c r="A807" s="5"/>
      <c r="B807" s="34"/>
      <c r="C807" s="3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5">
      <c r="A808" s="5"/>
      <c r="B808" s="34"/>
      <c r="C808" s="3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5">
      <c r="A809" s="5"/>
      <c r="B809" s="34"/>
      <c r="C809" s="3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5">
      <c r="A810" s="5"/>
      <c r="B810" s="34"/>
      <c r="C810" s="3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5">
      <c r="A811" s="5"/>
      <c r="B811" s="34"/>
      <c r="C811" s="3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5">
      <c r="A812" s="5"/>
      <c r="B812" s="34"/>
      <c r="C812" s="3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5">
      <c r="A813" s="5"/>
      <c r="B813" s="34"/>
      <c r="C813" s="3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5">
      <c r="A814" s="5"/>
      <c r="B814" s="34"/>
      <c r="C814" s="3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5">
      <c r="A815" s="5"/>
      <c r="B815" s="34"/>
      <c r="C815" s="3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5">
      <c r="A816" s="5"/>
      <c r="B816" s="34"/>
      <c r="C816" s="3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5">
      <c r="A817" s="5"/>
      <c r="B817" s="34"/>
      <c r="C817" s="3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5">
      <c r="A818" s="5"/>
      <c r="B818" s="34"/>
      <c r="C818" s="3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5">
      <c r="A819" s="5"/>
      <c r="B819" s="34"/>
      <c r="C819" s="3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5">
      <c r="A820" s="5"/>
      <c r="B820" s="34"/>
      <c r="C820" s="3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5">
      <c r="A821" s="5"/>
      <c r="B821" s="34"/>
      <c r="C821" s="3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5">
      <c r="A822" s="5"/>
      <c r="B822" s="34"/>
      <c r="C822" s="3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5">
      <c r="A823" s="5"/>
      <c r="B823" s="34"/>
      <c r="C823" s="3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5">
      <c r="A824" s="5"/>
      <c r="B824" s="34"/>
      <c r="C824" s="3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5">
      <c r="A825" s="5"/>
      <c r="B825" s="34"/>
      <c r="C825" s="3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5">
      <c r="A826" s="5"/>
      <c r="B826" s="34"/>
      <c r="C826" s="3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5">
      <c r="A827" s="5"/>
      <c r="B827" s="34"/>
      <c r="C827" s="3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5">
      <c r="A828" s="5"/>
      <c r="B828" s="34"/>
      <c r="C828" s="3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5">
      <c r="A829" s="5"/>
      <c r="B829" s="34"/>
      <c r="C829" s="3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5">
      <c r="A830" s="5"/>
      <c r="B830" s="34"/>
      <c r="C830" s="3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5">
      <c r="A831" s="5"/>
      <c r="B831" s="34"/>
      <c r="C831" s="3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5">
      <c r="A832" s="5"/>
      <c r="B832" s="34"/>
      <c r="C832" s="3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5">
      <c r="A833" s="5"/>
      <c r="B833" s="34"/>
      <c r="C833" s="3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5">
      <c r="A834" s="5"/>
      <c r="B834" s="34"/>
      <c r="C834" s="3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5">
      <c r="A835" s="5"/>
      <c r="B835" s="34"/>
      <c r="C835" s="3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5">
      <c r="A836" s="5"/>
      <c r="B836" s="34"/>
      <c r="C836" s="3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5">
      <c r="A837" s="5"/>
      <c r="B837" s="34"/>
      <c r="C837" s="3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5">
      <c r="A838" s="5"/>
      <c r="B838" s="34"/>
      <c r="C838" s="3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5">
      <c r="A839" s="5"/>
      <c r="B839" s="34"/>
      <c r="C839" s="3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5">
      <c r="A840" s="5"/>
      <c r="B840" s="34"/>
      <c r="C840" s="3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5">
      <c r="A841" s="5"/>
      <c r="B841" s="34"/>
      <c r="C841" s="3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5">
      <c r="A842" s="5"/>
      <c r="B842" s="34"/>
      <c r="C842" s="3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5">
      <c r="A843" s="5"/>
      <c r="B843" s="34"/>
      <c r="C843" s="3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5">
      <c r="A844" s="5"/>
      <c r="B844" s="34"/>
      <c r="C844" s="3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5">
      <c r="A845" s="5"/>
      <c r="B845" s="34"/>
      <c r="C845" s="3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5">
      <c r="A846" s="5"/>
      <c r="B846" s="34"/>
      <c r="C846" s="3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5">
      <c r="A847" s="5"/>
      <c r="B847" s="34"/>
      <c r="C847" s="3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5">
      <c r="A848" s="5"/>
      <c r="B848" s="34"/>
      <c r="C848" s="3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5">
      <c r="A849" s="5"/>
      <c r="B849" s="34"/>
      <c r="C849" s="3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5">
      <c r="A850" s="5"/>
      <c r="B850" s="34"/>
      <c r="C850" s="3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5">
      <c r="A851" s="5"/>
      <c r="B851" s="34"/>
      <c r="C851" s="3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5">
      <c r="A852" s="5"/>
      <c r="B852" s="34"/>
      <c r="C852" s="3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5">
      <c r="A853" s="5"/>
      <c r="B853" s="34"/>
      <c r="C853" s="3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5">
      <c r="A854" s="5"/>
      <c r="B854" s="34"/>
      <c r="C854" s="3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5">
      <c r="A855" s="5"/>
      <c r="B855" s="34"/>
      <c r="C855" s="3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5">
      <c r="A856" s="5"/>
      <c r="B856" s="34"/>
      <c r="C856" s="3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5">
      <c r="A857" s="5"/>
      <c r="B857" s="34"/>
      <c r="C857" s="3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5">
      <c r="A858" s="5"/>
      <c r="B858" s="34"/>
      <c r="C858" s="3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5">
      <c r="A859" s="5"/>
      <c r="B859" s="34"/>
      <c r="C859" s="3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5">
      <c r="A860" s="5"/>
      <c r="B860" s="34"/>
      <c r="C860" s="3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5">
      <c r="A861" s="5"/>
      <c r="B861" s="34"/>
      <c r="C861" s="3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5">
      <c r="A862" s="5"/>
      <c r="B862" s="34"/>
      <c r="C862" s="3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5">
      <c r="A863" s="5"/>
      <c r="B863" s="34"/>
      <c r="C863" s="3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5">
      <c r="A864" s="5"/>
      <c r="B864" s="34"/>
      <c r="C864" s="3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5">
      <c r="A865" s="5"/>
      <c r="B865" s="34"/>
      <c r="C865" s="3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5">
      <c r="A866" s="5"/>
      <c r="B866" s="34"/>
      <c r="C866" s="3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5">
      <c r="A867" s="5"/>
      <c r="B867" s="34"/>
      <c r="C867" s="3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5">
      <c r="A868" s="5"/>
      <c r="B868" s="34"/>
      <c r="C868" s="3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5">
      <c r="A869" s="5"/>
      <c r="B869" s="34"/>
      <c r="C869" s="3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5">
      <c r="A870" s="5"/>
      <c r="B870" s="34"/>
      <c r="C870" s="3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5">
      <c r="A871" s="5"/>
      <c r="B871" s="34"/>
      <c r="C871" s="3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5">
      <c r="A872" s="5"/>
      <c r="B872" s="34"/>
      <c r="C872" s="3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5">
      <c r="A873" s="5"/>
      <c r="B873" s="34"/>
      <c r="C873" s="3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5">
      <c r="A874" s="5"/>
      <c r="B874" s="34"/>
      <c r="C874" s="3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5">
      <c r="A875" s="5"/>
      <c r="B875" s="34"/>
      <c r="C875" s="3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5">
      <c r="A876" s="5"/>
      <c r="B876" s="34"/>
      <c r="C876" s="3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5">
      <c r="A877" s="5"/>
      <c r="B877" s="34"/>
      <c r="C877" s="3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5">
      <c r="A878" s="5"/>
      <c r="B878" s="34"/>
      <c r="C878" s="3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5">
      <c r="A879" s="5"/>
      <c r="B879" s="34"/>
      <c r="C879" s="3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5">
      <c r="A880" s="5"/>
      <c r="B880" s="34"/>
      <c r="C880" s="3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5">
      <c r="A881" s="5"/>
      <c r="B881" s="34"/>
      <c r="C881" s="3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5">
      <c r="A882" s="5"/>
      <c r="B882" s="34"/>
      <c r="C882" s="3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5">
      <c r="A883" s="5"/>
      <c r="B883" s="34"/>
      <c r="C883" s="3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5">
      <c r="A884" s="5"/>
      <c r="B884" s="34"/>
      <c r="C884" s="3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5">
      <c r="A885" s="5"/>
      <c r="B885" s="34"/>
      <c r="C885" s="3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5">
      <c r="A886" s="5"/>
      <c r="B886" s="34"/>
      <c r="C886" s="3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5">
      <c r="A887" s="5"/>
      <c r="B887" s="34"/>
      <c r="C887" s="3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5">
      <c r="A888" s="5"/>
      <c r="B888" s="34"/>
      <c r="C888" s="3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5">
      <c r="A889" s="5"/>
      <c r="B889" s="34"/>
      <c r="C889" s="3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5">
      <c r="A890" s="5"/>
      <c r="B890" s="34"/>
      <c r="C890" s="3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5">
      <c r="A891" s="5"/>
      <c r="B891" s="34"/>
      <c r="C891" s="3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5">
      <c r="A892" s="5"/>
      <c r="B892" s="34"/>
      <c r="C892" s="3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5">
      <c r="A893" s="5"/>
      <c r="B893" s="34"/>
      <c r="C893" s="3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5">
      <c r="A894" s="5"/>
      <c r="B894" s="34"/>
      <c r="C894" s="3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5">
      <c r="A895" s="5"/>
      <c r="B895" s="34"/>
      <c r="C895" s="3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5">
      <c r="A896" s="5"/>
      <c r="B896" s="34"/>
      <c r="C896" s="3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5">
      <c r="A897" s="5"/>
      <c r="B897" s="34"/>
      <c r="C897" s="3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5">
      <c r="A898" s="5"/>
      <c r="B898" s="34"/>
      <c r="C898" s="3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5">
      <c r="A899" s="5"/>
      <c r="B899" s="34"/>
      <c r="C899" s="3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5">
      <c r="A900" s="5"/>
      <c r="B900" s="34"/>
      <c r="C900" s="3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5">
      <c r="A901" s="5"/>
      <c r="B901" s="34"/>
      <c r="C901" s="3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5">
      <c r="A902" s="5"/>
      <c r="B902" s="34"/>
      <c r="C902" s="3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5">
      <c r="A903" s="5"/>
      <c r="B903" s="34"/>
      <c r="C903" s="3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5">
      <c r="A904" s="5"/>
      <c r="B904" s="34"/>
      <c r="C904" s="3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5">
      <c r="A905" s="5"/>
      <c r="B905" s="34"/>
      <c r="C905" s="3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5">
      <c r="A906" s="5"/>
      <c r="B906" s="34"/>
      <c r="C906" s="3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5">
      <c r="A907" s="5"/>
      <c r="B907" s="34"/>
      <c r="C907" s="3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5">
      <c r="A908" s="5"/>
      <c r="B908" s="34"/>
      <c r="C908" s="3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5">
      <c r="A909" s="5"/>
      <c r="B909" s="34"/>
      <c r="C909" s="3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5">
      <c r="A910" s="5"/>
      <c r="B910" s="34"/>
      <c r="C910" s="3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5">
      <c r="A911" s="5"/>
      <c r="B911" s="34"/>
      <c r="C911" s="3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5">
      <c r="A912" s="5"/>
      <c r="B912" s="34"/>
      <c r="C912" s="3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5">
      <c r="A913" s="5"/>
      <c r="B913" s="34"/>
      <c r="C913" s="3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5">
      <c r="A914" s="5"/>
      <c r="B914" s="34"/>
      <c r="C914" s="3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5">
      <c r="A915" s="5"/>
      <c r="B915" s="34"/>
      <c r="C915" s="3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5">
      <c r="A916" s="5"/>
      <c r="B916" s="34"/>
      <c r="C916" s="3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5">
      <c r="A917" s="5"/>
      <c r="B917" s="34"/>
      <c r="C917" s="3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5">
      <c r="A918" s="5"/>
      <c r="B918" s="34"/>
      <c r="C918" s="3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5">
      <c r="A919" s="5"/>
      <c r="B919" s="34"/>
      <c r="C919" s="3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5">
      <c r="A920" s="5"/>
      <c r="B920" s="34"/>
      <c r="C920" s="3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5">
      <c r="A921" s="5"/>
      <c r="B921" s="34"/>
      <c r="C921" s="3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5">
      <c r="A922" s="5"/>
      <c r="B922" s="34"/>
      <c r="C922" s="3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5">
      <c r="A923" s="5"/>
      <c r="B923" s="34"/>
      <c r="C923" s="3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5">
      <c r="A924" s="5"/>
      <c r="B924" s="34"/>
      <c r="C924" s="3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5">
      <c r="A925" s="5"/>
      <c r="B925" s="34"/>
      <c r="C925" s="3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5">
      <c r="A926" s="5"/>
      <c r="B926" s="34"/>
      <c r="C926" s="3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5">
      <c r="A927" s="5"/>
      <c r="B927" s="34"/>
      <c r="C927" s="3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5">
      <c r="A928" s="5"/>
      <c r="B928" s="34"/>
      <c r="C928" s="3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5">
      <c r="A929" s="5"/>
      <c r="B929" s="34"/>
      <c r="C929" s="3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5">
      <c r="A930" s="5"/>
      <c r="B930" s="34"/>
      <c r="C930" s="3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5">
      <c r="A931" s="5"/>
      <c r="B931" s="34"/>
      <c r="C931" s="3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5">
      <c r="A932" s="5"/>
      <c r="B932" s="34"/>
      <c r="C932" s="3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5">
      <c r="A933" s="5"/>
      <c r="B933" s="34"/>
      <c r="C933" s="3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5">
      <c r="A934" s="5"/>
      <c r="B934" s="34"/>
      <c r="C934" s="3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5">
      <c r="A935" s="5"/>
      <c r="B935" s="34"/>
      <c r="C935" s="3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5">
      <c r="A936" s="5"/>
      <c r="B936" s="34"/>
      <c r="C936" s="3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5">
      <c r="A937" s="5"/>
      <c r="B937" s="34"/>
      <c r="C937" s="3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5">
      <c r="A938" s="5"/>
      <c r="B938" s="34"/>
      <c r="C938" s="3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5">
      <c r="A939" s="5"/>
      <c r="B939" s="34"/>
      <c r="C939" s="3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5">
      <c r="A940" s="5"/>
      <c r="B940" s="34"/>
      <c r="C940" s="3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5">
      <c r="A941" s="5"/>
      <c r="B941" s="34"/>
      <c r="C941" s="3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5">
      <c r="A942" s="5"/>
      <c r="B942" s="34"/>
      <c r="C942" s="3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5">
      <c r="A943" s="5"/>
      <c r="B943" s="34"/>
      <c r="C943" s="3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5">
      <c r="A944" s="5"/>
      <c r="B944" s="34"/>
      <c r="C944" s="3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5">
      <c r="A945" s="5"/>
      <c r="B945" s="34"/>
      <c r="C945" s="3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5">
      <c r="A946" s="5"/>
      <c r="B946" s="34"/>
      <c r="C946" s="3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5">
      <c r="A947" s="5"/>
      <c r="B947" s="34"/>
      <c r="C947" s="3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5">
      <c r="A948" s="5"/>
      <c r="B948" s="34"/>
      <c r="C948" s="3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5">
      <c r="A949" s="5"/>
      <c r="B949" s="34"/>
      <c r="C949" s="3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5">
      <c r="A950" s="5"/>
      <c r="B950" s="34"/>
      <c r="C950" s="3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5">
      <c r="A951" s="5"/>
      <c r="B951" s="34"/>
      <c r="C951" s="3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5">
      <c r="A952" s="5"/>
      <c r="B952" s="34"/>
      <c r="C952" s="3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5">
      <c r="A953" s="5"/>
      <c r="B953" s="34"/>
      <c r="C953" s="3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5">
      <c r="A954" s="5"/>
      <c r="B954" s="34"/>
      <c r="C954" s="3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5">
      <c r="A955" s="5"/>
      <c r="B955" s="34"/>
      <c r="C955" s="3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5">
      <c r="A956" s="5"/>
      <c r="B956" s="34"/>
      <c r="C956" s="3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5">
      <c r="A957" s="5"/>
      <c r="B957" s="34"/>
      <c r="C957" s="3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5">
      <c r="A958" s="5"/>
      <c r="B958" s="34"/>
      <c r="C958" s="3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5">
      <c r="A959" s="5"/>
      <c r="B959" s="34"/>
      <c r="C959" s="3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5">
      <c r="A960" s="5"/>
      <c r="B960" s="34"/>
      <c r="C960" s="3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5">
      <c r="A961" s="5"/>
      <c r="B961" s="34"/>
      <c r="C961" s="3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5">
      <c r="A962" s="5"/>
      <c r="B962" s="34"/>
      <c r="C962" s="3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5">
      <c r="A963" s="5"/>
      <c r="B963" s="34"/>
      <c r="C963" s="3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5">
      <c r="A964" s="5"/>
      <c r="B964" s="34"/>
      <c r="C964" s="3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5">
      <c r="A965" s="5"/>
      <c r="B965" s="34"/>
      <c r="C965" s="3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5">
      <c r="A966" s="5"/>
      <c r="B966" s="34"/>
      <c r="C966" s="3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5">
      <c r="A967" s="5"/>
      <c r="B967" s="34"/>
      <c r="C967" s="3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5">
      <c r="A968" s="5"/>
      <c r="B968" s="34"/>
      <c r="C968" s="3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5">
      <c r="A969" s="5"/>
      <c r="B969" s="34"/>
      <c r="C969" s="3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5">
      <c r="A970" s="5"/>
      <c r="B970" s="34"/>
      <c r="C970" s="3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5">
      <c r="A971" s="5"/>
      <c r="B971" s="34"/>
      <c r="C971" s="3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5">
      <c r="A972" s="5"/>
      <c r="B972" s="34"/>
      <c r="C972" s="3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5">
      <c r="A973" s="5"/>
      <c r="B973" s="34"/>
      <c r="C973" s="3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5">
      <c r="A974" s="5"/>
      <c r="B974" s="34"/>
      <c r="C974" s="3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5">
      <c r="A975" s="5"/>
      <c r="B975" s="34"/>
      <c r="C975" s="3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5">
      <c r="A976" s="5"/>
      <c r="B976" s="34"/>
      <c r="C976" s="3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5">
      <c r="A977" s="5"/>
      <c r="B977" s="34"/>
      <c r="C977" s="3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5">
      <c r="A978" s="5"/>
      <c r="B978" s="34"/>
      <c r="C978" s="3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5">
      <c r="A979" s="5"/>
      <c r="B979" s="34"/>
      <c r="C979" s="3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5">
      <c r="A980" s="5"/>
      <c r="B980" s="34"/>
      <c r="C980" s="3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5">
      <c r="A981" s="5"/>
      <c r="B981" s="34"/>
      <c r="C981" s="3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5">
      <c r="A982" s="5"/>
      <c r="B982" s="34"/>
      <c r="C982" s="3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5">
      <c r="A983" s="5"/>
      <c r="B983" s="34"/>
      <c r="C983" s="3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5">
      <c r="A984" s="5"/>
      <c r="B984" s="34"/>
      <c r="C984" s="3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5">
      <c r="A985" s="5"/>
      <c r="B985" s="34"/>
      <c r="C985" s="3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5">
      <c r="A986" s="5"/>
      <c r="B986" s="34"/>
      <c r="C986" s="3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5">
      <c r="A987" s="5"/>
      <c r="B987" s="34"/>
      <c r="C987" s="3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5">
      <c r="A988" s="5"/>
      <c r="B988" s="34"/>
      <c r="C988" s="3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5">
      <c r="A989" s="5"/>
      <c r="B989" s="34"/>
      <c r="C989" s="3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5">
      <c r="A990" s="5"/>
      <c r="B990" s="34"/>
      <c r="C990" s="3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5">
      <c r="A991" s="5"/>
      <c r="B991" s="34"/>
      <c r="C991" s="3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5">
      <c r="A992" s="5"/>
      <c r="B992" s="34"/>
      <c r="C992" s="3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5">
      <c r="A993" s="5"/>
      <c r="B993" s="34"/>
      <c r="C993" s="3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5">
      <c r="A994" s="5"/>
      <c r="B994" s="34"/>
      <c r="C994" s="3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5">
      <c r="A995" s="5"/>
      <c r="B995" s="34"/>
      <c r="C995" s="3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5">
      <c r="A996" s="5"/>
      <c r="B996" s="34"/>
      <c r="C996" s="3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5">
      <c r="A997" s="5"/>
      <c r="B997" s="34"/>
      <c r="C997" s="3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5">
      <c r="A998" s="5"/>
      <c r="B998" s="34"/>
      <c r="C998" s="3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5">
      <c r="A999" s="5"/>
      <c r="B999" s="34"/>
      <c r="C999" s="3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5">
      <c r="A1000" s="5"/>
      <c r="B1000" s="34"/>
      <c r="C1000" s="3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6">
    <mergeCell ref="G7:G8"/>
    <mergeCell ref="I7:I8"/>
    <mergeCell ref="G9:G10"/>
    <mergeCell ref="I9:I10"/>
    <mergeCell ref="I11:I12"/>
    <mergeCell ref="K3:K4"/>
    <mergeCell ref="M3:M4"/>
    <mergeCell ref="K5:K6"/>
    <mergeCell ref="M5:M6"/>
    <mergeCell ref="K7:K8"/>
    <mergeCell ref="M7:M8"/>
    <mergeCell ref="K9:K10"/>
    <mergeCell ref="M9:M10"/>
    <mergeCell ref="M11:M12"/>
    <mergeCell ref="G11:G12"/>
    <mergeCell ref="G13:G14"/>
    <mergeCell ref="G15:G16"/>
    <mergeCell ref="G17:G18"/>
    <mergeCell ref="G19:G20"/>
    <mergeCell ref="G21:G22"/>
    <mergeCell ref="G23:G24"/>
    <mergeCell ref="M17:M18"/>
    <mergeCell ref="M19:M20"/>
    <mergeCell ref="K11:K12"/>
    <mergeCell ref="K13:K14"/>
    <mergeCell ref="M13:M14"/>
    <mergeCell ref="K15:K16"/>
    <mergeCell ref="M15:M16"/>
    <mergeCell ref="K17:K18"/>
    <mergeCell ref="K19:K20"/>
    <mergeCell ref="K23:K24"/>
    <mergeCell ref="M23:M24"/>
    <mergeCell ref="M25:M26"/>
    <mergeCell ref="M27:M28"/>
    <mergeCell ref="I27:I28"/>
    <mergeCell ref="I29:I30"/>
    <mergeCell ref="I13:I14"/>
    <mergeCell ref="I15:I16"/>
    <mergeCell ref="I17:I18"/>
    <mergeCell ref="I19:I20"/>
    <mergeCell ref="I21:I22"/>
    <mergeCell ref="I23:I24"/>
    <mergeCell ref="I25:I26"/>
    <mergeCell ref="M29:M30"/>
    <mergeCell ref="L42:M42"/>
    <mergeCell ref="B38:C38"/>
    <mergeCell ref="B41:C41"/>
    <mergeCell ref="B42:C42"/>
    <mergeCell ref="D42:E42"/>
    <mergeCell ref="F42:G42"/>
    <mergeCell ref="H42:I42"/>
    <mergeCell ref="J42:K42"/>
    <mergeCell ref="B25:B26"/>
    <mergeCell ref="B27:B28"/>
    <mergeCell ref="B29:B30"/>
    <mergeCell ref="B31:B32"/>
    <mergeCell ref="B33:B34"/>
    <mergeCell ref="B35:B36"/>
    <mergeCell ref="B37:C37"/>
    <mergeCell ref="M33:M34"/>
    <mergeCell ref="M35:M36"/>
    <mergeCell ref="E33:E34"/>
    <mergeCell ref="G33:G34"/>
    <mergeCell ref="I33:I34"/>
    <mergeCell ref="K33:K34"/>
    <mergeCell ref="G35:G36"/>
    <mergeCell ref="I35:I36"/>
    <mergeCell ref="K35:K36"/>
    <mergeCell ref="D2:E2"/>
    <mergeCell ref="F2:G2"/>
    <mergeCell ref="H2:I2"/>
    <mergeCell ref="J2:K2"/>
    <mergeCell ref="L2:M2"/>
    <mergeCell ref="B3:B4"/>
    <mergeCell ref="B5:B6"/>
    <mergeCell ref="E3:E4"/>
    <mergeCell ref="E5:E6"/>
    <mergeCell ref="G3:G4"/>
    <mergeCell ref="I3:I4"/>
    <mergeCell ref="G5:G6"/>
    <mergeCell ref="I5:I6"/>
    <mergeCell ref="M31:M32"/>
    <mergeCell ref="E31:E32"/>
    <mergeCell ref="E19:E20"/>
    <mergeCell ref="E21:E22"/>
    <mergeCell ref="E23:E24"/>
    <mergeCell ref="E25:E26"/>
    <mergeCell ref="B7:B8"/>
    <mergeCell ref="E7:E8"/>
    <mergeCell ref="B9:B10"/>
    <mergeCell ref="E9:E10"/>
    <mergeCell ref="E11:E12"/>
    <mergeCell ref="B11:B12"/>
    <mergeCell ref="B13:B14"/>
    <mergeCell ref="B15:B16"/>
    <mergeCell ref="B17:B18"/>
    <mergeCell ref="E13:E14"/>
    <mergeCell ref="E15:E16"/>
    <mergeCell ref="E17:E18"/>
    <mergeCell ref="K27:K28"/>
    <mergeCell ref="K29:K30"/>
    <mergeCell ref="K31:K32"/>
    <mergeCell ref="K21:K22"/>
    <mergeCell ref="M21:M22"/>
    <mergeCell ref="K25:K26"/>
    <mergeCell ref="E35:E36"/>
    <mergeCell ref="B19:B20"/>
    <mergeCell ref="B21:B22"/>
    <mergeCell ref="B23:B24"/>
    <mergeCell ref="E27:E28"/>
    <mergeCell ref="E29:E30"/>
    <mergeCell ref="G29:G30"/>
    <mergeCell ref="G31:G32"/>
    <mergeCell ref="I31:I32"/>
    <mergeCell ref="G25:G26"/>
    <mergeCell ref="G27:G28"/>
  </mergeCells>
  <conditionalFormatting sqref="J37:J41 L37:L41">
    <cfRule type="expression" dxfId="187" priority="1">
      <formula>J37 &gt; $F37</formula>
    </cfRule>
  </conditionalFormatting>
  <conditionalFormatting sqref="N37:N41">
    <cfRule type="cellIs" dxfId="186" priority="2" operator="greaterThan">
      <formula>0</formula>
    </cfRule>
  </conditionalFormatting>
  <conditionalFormatting sqref="N37:N41">
    <cfRule type="cellIs" dxfId="185" priority="3" operator="lessThan">
      <formula>0</formula>
    </cfRule>
  </conditionalFormatting>
  <conditionalFormatting sqref="L7:L8">
    <cfRule type="expression" dxfId="184" priority="4">
      <formula>L7 &gt; $F7</formula>
    </cfRule>
  </conditionalFormatting>
  <conditionalFormatting sqref="N7:N8">
    <cfRule type="cellIs" dxfId="183" priority="5" operator="greaterThan">
      <formula>0</formula>
    </cfRule>
  </conditionalFormatting>
  <conditionalFormatting sqref="N7:N8">
    <cfRule type="cellIs" dxfId="182" priority="6" operator="lessThan">
      <formula>0</formula>
    </cfRule>
  </conditionalFormatting>
  <conditionalFormatting sqref="V8">
    <cfRule type="cellIs" dxfId="181" priority="7" operator="greaterThan">
      <formula>0</formula>
    </cfRule>
  </conditionalFormatting>
  <conditionalFormatting sqref="J5:J6 J9:J10 J13:J14 J17:J18 J21:J22 J25:J26 J29:J30 J33:J34">
    <cfRule type="expression" dxfId="180" priority="8">
      <formula>J5 &gt; $F5</formula>
    </cfRule>
  </conditionalFormatting>
  <conditionalFormatting sqref="L5:L6">
    <cfRule type="expression" dxfId="179" priority="9">
      <formula>L5 &gt; $F5</formula>
    </cfRule>
  </conditionalFormatting>
  <conditionalFormatting sqref="N5:N6">
    <cfRule type="cellIs" dxfId="178" priority="10" operator="greaterThan">
      <formula>0</formula>
    </cfRule>
  </conditionalFormatting>
  <conditionalFormatting sqref="N5:N6">
    <cfRule type="cellIs" dxfId="177" priority="11" operator="lessThan">
      <formula>0</formula>
    </cfRule>
  </conditionalFormatting>
  <conditionalFormatting sqref="V6">
    <cfRule type="cellIs" dxfId="176" priority="12" operator="greaterThan">
      <formula>0</formula>
    </cfRule>
  </conditionalFormatting>
  <conditionalFormatting sqref="J3:J4 J7:J8 J11:J12 J15:J16 J19:J20 J23:J24 J27:J28 J31:J32 J35:J36">
    <cfRule type="expression" dxfId="175" priority="13">
      <formula>J3 &gt; $F3</formula>
    </cfRule>
  </conditionalFormatting>
  <conditionalFormatting sqref="L3:L4">
    <cfRule type="expression" dxfId="174" priority="14">
      <formula>L3 &gt; $F3</formula>
    </cfRule>
  </conditionalFormatting>
  <conditionalFormatting sqref="N3:N4">
    <cfRule type="cellIs" dxfId="173" priority="15" operator="greaterThan">
      <formula>0</formula>
    </cfRule>
  </conditionalFormatting>
  <conditionalFormatting sqref="N3:N4">
    <cfRule type="cellIs" dxfId="172" priority="16" operator="lessThan">
      <formula>0</formula>
    </cfRule>
  </conditionalFormatting>
  <conditionalFormatting sqref="V4">
    <cfRule type="cellIs" dxfId="171" priority="17" operator="greaterThan">
      <formula>0</formula>
    </cfRule>
  </conditionalFormatting>
  <conditionalFormatting sqref="L35:L36">
    <cfRule type="expression" dxfId="170" priority="18">
      <formula>L35 &gt; $F35</formula>
    </cfRule>
  </conditionalFormatting>
  <conditionalFormatting sqref="N35:N36">
    <cfRule type="cellIs" dxfId="169" priority="19" operator="greaterThan">
      <formula>0</formula>
    </cfRule>
  </conditionalFormatting>
  <conditionalFormatting sqref="N35:N36">
    <cfRule type="cellIs" dxfId="168" priority="20" operator="lessThan">
      <formula>0</formula>
    </cfRule>
  </conditionalFormatting>
  <conditionalFormatting sqref="V36">
    <cfRule type="cellIs" dxfId="167" priority="21" operator="greaterThan">
      <formula>0</formula>
    </cfRule>
  </conditionalFormatting>
  <conditionalFormatting sqref="L33:L34">
    <cfRule type="expression" dxfId="166" priority="22">
      <formula>L33 &gt; $F33</formula>
    </cfRule>
  </conditionalFormatting>
  <conditionalFormatting sqref="N33:N34">
    <cfRule type="cellIs" dxfId="165" priority="23" operator="greaterThan">
      <formula>0</formula>
    </cfRule>
  </conditionalFormatting>
  <conditionalFormatting sqref="N33:N34">
    <cfRule type="cellIs" dxfId="164" priority="24" operator="lessThan">
      <formula>0</formula>
    </cfRule>
  </conditionalFormatting>
  <conditionalFormatting sqref="V34">
    <cfRule type="cellIs" dxfId="163" priority="25" operator="greaterThan">
      <formula>0</formula>
    </cfRule>
  </conditionalFormatting>
  <conditionalFormatting sqref="L31:L32">
    <cfRule type="expression" dxfId="162" priority="26">
      <formula>L31 &gt; $F31</formula>
    </cfRule>
  </conditionalFormatting>
  <conditionalFormatting sqref="N31:N32">
    <cfRule type="cellIs" dxfId="161" priority="27" operator="greaterThan">
      <formula>0</formula>
    </cfRule>
  </conditionalFormatting>
  <conditionalFormatting sqref="N31:N32">
    <cfRule type="cellIs" dxfId="160" priority="28" operator="lessThan">
      <formula>0</formula>
    </cfRule>
  </conditionalFormatting>
  <conditionalFormatting sqref="V32">
    <cfRule type="cellIs" dxfId="159" priority="29" operator="greaterThan">
      <formula>0</formula>
    </cfRule>
  </conditionalFormatting>
  <conditionalFormatting sqref="L29:L30">
    <cfRule type="expression" dxfId="158" priority="30">
      <formula>L29 &gt; $F29</formula>
    </cfRule>
  </conditionalFormatting>
  <conditionalFormatting sqref="N29:N30">
    <cfRule type="cellIs" dxfId="157" priority="31" operator="greaterThan">
      <formula>0</formula>
    </cfRule>
  </conditionalFormatting>
  <conditionalFormatting sqref="N29:N30">
    <cfRule type="cellIs" dxfId="156" priority="32" operator="lessThan">
      <formula>0</formula>
    </cfRule>
  </conditionalFormatting>
  <conditionalFormatting sqref="V30">
    <cfRule type="cellIs" dxfId="155" priority="33" operator="greaterThan">
      <formula>0</formula>
    </cfRule>
  </conditionalFormatting>
  <conditionalFormatting sqref="L27:L28">
    <cfRule type="expression" dxfId="154" priority="34">
      <formula>L27 &gt; $F27</formula>
    </cfRule>
  </conditionalFormatting>
  <conditionalFormatting sqref="N27:N28">
    <cfRule type="cellIs" dxfId="153" priority="35" operator="greaterThan">
      <formula>0</formula>
    </cfRule>
  </conditionalFormatting>
  <conditionalFormatting sqref="N27:N28">
    <cfRule type="cellIs" dxfId="152" priority="36" operator="lessThan">
      <formula>0</formula>
    </cfRule>
  </conditionalFormatting>
  <conditionalFormatting sqref="V28">
    <cfRule type="cellIs" dxfId="151" priority="37" operator="greaterThan">
      <formula>0</formula>
    </cfRule>
  </conditionalFormatting>
  <conditionalFormatting sqref="L25:L26">
    <cfRule type="expression" dxfId="150" priority="38">
      <formula>L25 &gt; $F25</formula>
    </cfRule>
  </conditionalFormatting>
  <conditionalFormatting sqref="N25:N26">
    <cfRule type="cellIs" dxfId="149" priority="39" operator="greaterThan">
      <formula>0</formula>
    </cfRule>
  </conditionalFormatting>
  <conditionalFormatting sqref="N25:N26">
    <cfRule type="cellIs" dxfId="148" priority="40" operator="lessThan">
      <formula>0</formula>
    </cfRule>
  </conditionalFormatting>
  <conditionalFormatting sqref="V26">
    <cfRule type="cellIs" dxfId="147" priority="41" operator="greaterThan">
      <formula>0</formula>
    </cfRule>
  </conditionalFormatting>
  <conditionalFormatting sqref="L23:L24">
    <cfRule type="expression" dxfId="146" priority="42">
      <formula>L23 &gt; $F23</formula>
    </cfRule>
  </conditionalFormatting>
  <conditionalFormatting sqref="N23:N24">
    <cfRule type="cellIs" dxfId="145" priority="43" operator="greaterThan">
      <formula>0</formula>
    </cfRule>
  </conditionalFormatting>
  <conditionalFormatting sqref="N23:N24">
    <cfRule type="cellIs" dxfId="144" priority="44" operator="lessThan">
      <formula>0</formula>
    </cfRule>
  </conditionalFormatting>
  <conditionalFormatting sqref="V24">
    <cfRule type="cellIs" dxfId="143" priority="45" operator="greaterThan">
      <formula>0</formula>
    </cfRule>
  </conditionalFormatting>
  <conditionalFormatting sqref="L21:L22">
    <cfRule type="expression" dxfId="142" priority="46">
      <formula>L21 &gt; $F21</formula>
    </cfRule>
  </conditionalFormatting>
  <conditionalFormatting sqref="N21:N22">
    <cfRule type="cellIs" dxfId="141" priority="47" operator="greaterThan">
      <formula>0</formula>
    </cfRule>
  </conditionalFormatting>
  <conditionalFormatting sqref="N21:N22">
    <cfRule type="cellIs" dxfId="140" priority="48" operator="lessThan">
      <formula>0</formula>
    </cfRule>
  </conditionalFormatting>
  <conditionalFormatting sqref="V22">
    <cfRule type="cellIs" dxfId="139" priority="49" operator="greaterThan">
      <formula>0</formula>
    </cfRule>
  </conditionalFormatting>
  <conditionalFormatting sqref="L19:L20">
    <cfRule type="expression" dxfId="138" priority="50">
      <formula>L19 &gt; $F19</formula>
    </cfRule>
  </conditionalFormatting>
  <conditionalFormatting sqref="N19:N20">
    <cfRule type="cellIs" dxfId="137" priority="51" operator="greaterThan">
      <formula>0</formula>
    </cfRule>
  </conditionalFormatting>
  <conditionalFormatting sqref="N19:N20">
    <cfRule type="cellIs" dxfId="136" priority="52" operator="lessThan">
      <formula>0</formula>
    </cfRule>
  </conditionalFormatting>
  <conditionalFormatting sqref="V20">
    <cfRule type="cellIs" dxfId="135" priority="53" operator="greaterThan">
      <formula>0</formula>
    </cfRule>
  </conditionalFormatting>
  <conditionalFormatting sqref="L17:L18">
    <cfRule type="expression" dxfId="134" priority="54">
      <formula>L17 &gt; $F17</formula>
    </cfRule>
  </conditionalFormatting>
  <conditionalFormatting sqref="N17:N18">
    <cfRule type="cellIs" dxfId="133" priority="55" operator="greaterThan">
      <formula>0</formula>
    </cfRule>
  </conditionalFormatting>
  <conditionalFormatting sqref="N17:N18">
    <cfRule type="cellIs" dxfId="132" priority="56" operator="lessThan">
      <formula>0</formula>
    </cfRule>
  </conditionalFormatting>
  <conditionalFormatting sqref="V18">
    <cfRule type="cellIs" dxfId="131" priority="57" operator="greaterThan">
      <formula>0</formula>
    </cfRule>
  </conditionalFormatting>
  <conditionalFormatting sqref="L15:L16">
    <cfRule type="expression" dxfId="130" priority="58">
      <formula>L15 &gt; $F15</formula>
    </cfRule>
  </conditionalFormatting>
  <conditionalFormatting sqref="N15:N16">
    <cfRule type="cellIs" dxfId="129" priority="59" operator="greaterThan">
      <formula>0</formula>
    </cfRule>
  </conditionalFormatting>
  <conditionalFormatting sqref="N15:N16">
    <cfRule type="cellIs" dxfId="128" priority="60" operator="lessThan">
      <formula>0</formula>
    </cfRule>
  </conditionalFormatting>
  <conditionalFormatting sqref="V16">
    <cfRule type="cellIs" dxfId="127" priority="61" operator="greaterThan">
      <formula>0</formula>
    </cfRule>
  </conditionalFormatting>
  <conditionalFormatting sqref="L13:L14">
    <cfRule type="expression" dxfId="126" priority="62">
      <formula>L13 &gt; $F13</formula>
    </cfRule>
  </conditionalFormatting>
  <conditionalFormatting sqref="N13:N14">
    <cfRule type="cellIs" dxfId="125" priority="63" operator="greaterThan">
      <formula>0</formula>
    </cfRule>
  </conditionalFormatting>
  <conditionalFormatting sqref="N13:N14">
    <cfRule type="cellIs" dxfId="124" priority="64" operator="lessThan">
      <formula>0</formula>
    </cfRule>
  </conditionalFormatting>
  <conditionalFormatting sqref="V14">
    <cfRule type="cellIs" dxfId="123" priority="65" operator="greaterThan">
      <formula>0</formula>
    </cfRule>
  </conditionalFormatting>
  <conditionalFormatting sqref="L11:L12">
    <cfRule type="expression" dxfId="122" priority="66">
      <formula>L11 &gt; $F11</formula>
    </cfRule>
  </conditionalFormatting>
  <conditionalFormatting sqref="N11:N12">
    <cfRule type="cellIs" dxfId="121" priority="67" operator="greaterThan">
      <formula>0</formula>
    </cfRule>
  </conditionalFormatting>
  <conditionalFormatting sqref="N11:N12">
    <cfRule type="cellIs" dxfId="120" priority="68" operator="lessThan">
      <formula>0</formula>
    </cfRule>
  </conditionalFormatting>
  <conditionalFormatting sqref="V12">
    <cfRule type="cellIs" dxfId="119" priority="69" operator="greaterThan">
      <formula>0</formula>
    </cfRule>
  </conditionalFormatting>
  <conditionalFormatting sqref="L9:L10">
    <cfRule type="expression" dxfId="118" priority="70">
      <formula>L9 &gt; $F9</formula>
    </cfRule>
  </conditionalFormatting>
  <conditionalFormatting sqref="N9:N10">
    <cfRule type="cellIs" dxfId="117" priority="71" operator="greaterThan">
      <formula>0</formula>
    </cfRule>
  </conditionalFormatting>
  <conditionalFormatting sqref="N9:N10">
    <cfRule type="cellIs" dxfId="116" priority="72" operator="lessThan">
      <formula>0</formula>
    </cfRule>
  </conditionalFormatting>
  <conditionalFormatting sqref="V10">
    <cfRule type="cellIs" dxfId="115" priority="73" operator="greaterThan">
      <formula>0</formula>
    </cfRule>
  </conditionalFormatting>
  <conditionalFormatting sqref="F3:F36">
    <cfRule type="expression" dxfId="114" priority="74">
      <formula>F3 &gt; $F3</formula>
    </cfRule>
  </conditionalFormatting>
  <printOptions horizontalCentered="1" verticalCentered="1"/>
  <pageMargins left="0.70866141732283472" right="0.70866141732283472" top="0.74803149606299213" bottom="0.74803149606299213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9.140625" customWidth="1"/>
    <col min="2" max="4" width="14.28515625" customWidth="1"/>
    <col min="5" max="5" width="9.140625" customWidth="1"/>
    <col min="6" max="8" width="14.28515625" customWidth="1"/>
    <col min="9" max="26" width="8.7109375" customWidth="1"/>
  </cols>
  <sheetData>
    <row r="1" spans="1:26" x14ac:dyDescent="0.25">
      <c r="A1" s="36"/>
      <c r="B1" s="268" t="s">
        <v>37</v>
      </c>
      <c r="C1" s="269"/>
      <c r="D1" s="270"/>
      <c r="E1" s="36"/>
      <c r="F1" s="268" t="s">
        <v>38</v>
      </c>
      <c r="G1" s="269"/>
      <c r="H1" s="270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5">
      <c r="A2" s="36"/>
      <c r="B2" s="37" t="s">
        <v>39</v>
      </c>
      <c r="C2" s="37" t="s">
        <v>40</v>
      </c>
      <c r="D2" s="37" t="s">
        <v>36</v>
      </c>
      <c r="E2" s="36"/>
      <c r="F2" s="37" t="s">
        <v>39</v>
      </c>
      <c r="G2" s="37" t="s">
        <v>40</v>
      </c>
      <c r="H2" s="37" t="s">
        <v>36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x14ac:dyDescent="0.25">
      <c r="A3" s="36"/>
      <c r="B3" s="38">
        <v>331345.5</v>
      </c>
      <c r="C3" s="38">
        <v>153300</v>
      </c>
      <c r="D3" s="38">
        <f t="shared" ref="D3:D19" si="0">B3+C3</f>
        <v>484645.5</v>
      </c>
      <c r="E3" s="36"/>
      <c r="F3" s="38">
        <v>441794</v>
      </c>
      <c r="G3" s="38">
        <v>259830.51</v>
      </c>
      <c r="H3" s="38">
        <f t="shared" ref="H3:H19" si="1">F3+G3</f>
        <v>701624.51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x14ac:dyDescent="0.25">
      <c r="A4" s="36"/>
      <c r="B4" s="38">
        <v>0</v>
      </c>
      <c r="C4" s="38">
        <v>41055</v>
      </c>
      <c r="D4" s="38">
        <f t="shared" si="0"/>
        <v>41055</v>
      </c>
      <c r="E4" s="36"/>
      <c r="F4" s="38">
        <v>0</v>
      </c>
      <c r="G4" s="38">
        <v>69584.75</v>
      </c>
      <c r="H4" s="38">
        <f t="shared" si="1"/>
        <v>69584.75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x14ac:dyDescent="0.25">
      <c r="A5" s="36"/>
      <c r="B5" s="38">
        <v>128800</v>
      </c>
      <c r="C5" s="38">
        <v>5635</v>
      </c>
      <c r="D5" s="38">
        <f t="shared" si="0"/>
        <v>134435</v>
      </c>
      <c r="E5" s="36"/>
      <c r="F5" s="38">
        <v>161000</v>
      </c>
      <c r="G5" s="38">
        <v>9550.85</v>
      </c>
      <c r="H5" s="38">
        <f t="shared" si="1"/>
        <v>170550.85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x14ac:dyDescent="0.25">
      <c r="A6" s="36"/>
      <c r="B6" s="38">
        <v>6000</v>
      </c>
      <c r="C6" s="38">
        <v>16800</v>
      </c>
      <c r="D6" s="38">
        <f t="shared" si="0"/>
        <v>22800</v>
      </c>
      <c r="E6" s="36"/>
      <c r="F6" s="38">
        <v>7500</v>
      </c>
      <c r="G6" s="38">
        <v>28474.58</v>
      </c>
      <c r="H6" s="38">
        <f t="shared" si="1"/>
        <v>35974.58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x14ac:dyDescent="0.25">
      <c r="A7" s="36"/>
      <c r="B7" s="38">
        <v>0</v>
      </c>
      <c r="C7" s="38">
        <v>40500</v>
      </c>
      <c r="D7" s="38">
        <f t="shared" si="0"/>
        <v>40500</v>
      </c>
      <c r="E7" s="36"/>
      <c r="F7" s="38">
        <v>0</v>
      </c>
      <c r="G7" s="38">
        <v>68644.070000000007</v>
      </c>
      <c r="H7" s="38">
        <f t="shared" si="1"/>
        <v>68644.070000000007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x14ac:dyDescent="0.25">
      <c r="A8" s="36"/>
      <c r="B8" s="38">
        <v>0</v>
      </c>
      <c r="C8" s="38">
        <v>29700</v>
      </c>
      <c r="D8" s="38">
        <f t="shared" si="0"/>
        <v>29700</v>
      </c>
      <c r="E8" s="36"/>
      <c r="F8" s="38">
        <v>0</v>
      </c>
      <c r="G8" s="38">
        <v>50338.98</v>
      </c>
      <c r="H8" s="38">
        <f t="shared" si="1"/>
        <v>50338.98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x14ac:dyDescent="0.25">
      <c r="A9" s="36"/>
      <c r="B9" s="38">
        <v>0</v>
      </c>
      <c r="C9" s="38">
        <v>40500</v>
      </c>
      <c r="D9" s="38">
        <f t="shared" si="0"/>
        <v>40500</v>
      </c>
      <c r="E9" s="36"/>
      <c r="F9" s="38">
        <v>0</v>
      </c>
      <c r="G9" s="38">
        <v>68644.070000000007</v>
      </c>
      <c r="H9" s="38">
        <f t="shared" si="1"/>
        <v>68644.070000000007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x14ac:dyDescent="0.25">
      <c r="A10" s="36"/>
      <c r="B10" s="38">
        <v>800</v>
      </c>
      <c r="C10" s="38">
        <v>19800</v>
      </c>
      <c r="D10" s="38">
        <f t="shared" si="0"/>
        <v>20600</v>
      </c>
      <c r="E10" s="36"/>
      <c r="F10" s="38">
        <v>1000</v>
      </c>
      <c r="G10" s="38">
        <v>33559.32</v>
      </c>
      <c r="H10" s="38">
        <f t="shared" si="1"/>
        <v>34559.32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x14ac:dyDescent="0.25">
      <c r="A11" s="36"/>
      <c r="B11" s="38">
        <v>0</v>
      </c>
      <c r="C11" s="38">
        <v>18181.82</v>
      </c>
      <c r="D11" s="38">
        <f t="shared" si="0"/>
        <v>18181.82</v>
      </c>
      <c r="E11" s="36"/>
      <c r="F11" s="38">
        <v>0</v>
      </c>
      <c r="G11" s="38">
        <v>30816.639999999999</v>
      </c>
      <c r="H11" s="38">
        <f t="shared" si="1"/>
        <v>30816.639999999999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x14ac:dyDescent="0.25">
      <c r="A12" s="36"/>
      <c r="B12" s="38">
        <v>56544</v>
      </c>
      <c r="C12" s="38">
        <v>15010</v>
      </c>
      <c r="D12" s="38">
        <f t="shared" si="0"/>
        <v>71554</v>
      </c>
      <c r="E12" s="36"/>
      <c r="F12" s="38">
        <v>70680</v>
      </c>
      <c r="G12" s="38">
        <v>25440.68</v>
      </c>
      <c r="H12" s="38">
        <f t="shared" si="1"/>
        <v>96120.68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x14ac:dyDescent="0.25">
      <c r="A13" s="36"/>
      <c r="B13" s="38">
        <v>0</v>
      </c>
      <c r="C13" s="38">
        <v>9200</v>
      </c>
      <c r="D13" s="38">
        <f t="shared" si="0"/>
        <v>9200</v>
      </c>
      <c r="E13" s="36"/>
      <c r="F13" s="38">
        <v>0</v>
      </c>
      <c r="G13" s="38">
        <v>15593.22</v>
      </c>
      <c r="H13" s="38">
        <f t="shared" si="1"/>
        <v>15593.22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x14ac:dyDescent="0.25">
      <c r="A14" s="36"/>
      <c r="B14" s="38">
        <v>6910</v>
      </c>
      <c r="C14" s="38">
        <v>6500</v>
      </c>
      <c r="D14" s="38">
        <f t="shared" si="0"/>
        <v>13410</v>
      </c>
      <c r="E14" s="36"/>
      <c r="F14" s="38">
        <v>8637.5</v>
      </c>
      <c r="G14" s="38">
        <v>11016.95</v>
      </c>
      <c r="H14" s="38">
        <f t="shared" si="1"/>
        <v>19654.45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x14ac:dyDescent="0.25">
      <c r="A15" s="36"/>
      <c r="B15" s="38">
        <v>0</v>
      </c>
      <c r="C15" s="38">
        <v>99705</v>
      </c>
      <c r="D15" s="38">
        <f t="shared" si="0"/>
        <v>99705</v>
      </c>
      <c r="E15" s="36"/>
      <c r="F15" s="38">
        <v>0</v>
      </c>
      <c r="G15" s="38">
        <v>168991.53</v>
      </c>
      <c r="H15" s="38">
        <f t="shared" si="1"/>
        <v>168991.53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x14ac:dyDescent="0.25">
      <c r="A16" s="36"/>
      <c r="B16" s="38">
        <v>2400</v>
      </c>
      <c r="C16" s="38">
        <v>10800</v>
      </c>
      <c r="D16" s="38">
        <f t="shared" si="0"/>
        <v>13200</v>
      </c>
      <c r="E16" s="36"/>
      <c r="F16" s="38">
        <v>3000</v>
      </c>
      <c r="G16" s="38">
        <v>18305.080000000002</v>
      </c>
      <c r="H16" s="38">
        <f t="shared" si="1"/>
        <v>21305.08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x14ac:dyDescent="0.25">
      <c r="A17" s="36"/>
      <c r="B17" s="38">
        <v>800</v>
      </c>
      <c r="C17" s="38">
        <v>9600</v>
      </c>
      <c r="D17" s="38">
        <f t="shared" si="0"/>
        <v>10400</v>
      </c>
      <c r="E17" s="36"/>
      <c r="F17" s="38">
        <v>24000</v>
      </c>
      <c r="G17" s="38">
        <v>16271.19</v>
      </c>
      <c r="H17" s="38">
        <f t="shared" si="1"/>
        <v>40271.19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x14ac:dyDescent="0.25">
      <c r="A18" s="36"/>
      <c r="B18" s="38">
        <v>867.1</v>
      </c>
      <c r="C18" s="38">
        <v>2400</v>
      </c>
      <c r="D18" s="38">
        <f t="shared" si="0"/>
        <v>3267.1</v>
      </c>
      <c r="E18" s="36"/>
      <c r="F18" s="38">
        <v>1083.8800000000001</v>
      </c>
      <c r="G18" s="38">
        <v>4067.8</v>
      </c>
      <c r="H18" s="38">
        <f t="shared" si="1"/>
        <v>5151.68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x14ac:dyDescent="0.25">
      <c r="A19" s="36"/>
      <c r="B19" s="38">
        <v>52322</v>
      </c>
      <c r="C19" s="38">
        <v>40242</v>
      </c>
      <c r="D19" s="38">
        <f t="shared" si="0"/>
        <v>92564</v>
      </c>
      <c r="E19" s="36"/>
      <c r="F19" s="38">
        <v>67079.490000000005</v>
      </c>
      <c r="G19" s="38">
        <v>55891.67</v>
      </c>
      <c r="H19" s="38">
        <f t="shared" si="1"/>
        <v>122971.16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customHeight="1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customHeight="1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customHeight="1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customHeight="1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customHeight="1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customHeight="1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customHeight="1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customHeight="1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customHeight="1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customHeight="1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customHeight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customHeight="1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customHeight="1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customHeight="1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customHeight="1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customHeight="1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customHeight="1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customHeight="1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customHeight="1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customHeight="1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customHeight="1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customHeight="1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customHeight="1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customHeight="1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customHeight="1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customHeight="1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customHeight="1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customHeight="1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customHeight="1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customHeight="1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customHeight="1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customHeight="1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customHeight="1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customHeight="1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.75" customHeight="1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.75" customHeight="1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.75" customHeight="1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.75" customHeight="1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.75" customHeight="1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.75" customHeight="1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.75" customHeight="1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5.75" customHeight="1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5.75" customHeight="1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5.75" customHeight="1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5.75" customHeight="1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5.75" customHeight="1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5.75" customHeight="1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5.75" customHeight="1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5.75" customHeight="1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.75" customHeight="1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5.75" customHeight="1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5.75" customHeight="1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5.75" customHeight="1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5.75" customHeight="1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5.75" customHeight="1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5.75" customHeight="1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5.75" customHeight="1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5.75" customHeight="1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5.75" customHeight="1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5.75" customHeight="1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5.75" customHeight="1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5.75" customHeight="1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.75" customHeight="1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5.75" customHeight="1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.75" customHeight="1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.75" customHeight="1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5.75" customHeight="1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5.75" customHeight="1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.75" customHeight="1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.75" customHeight="1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customHeight="1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customHeight="1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.75" customHeight="1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5.75" customHeight="1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5.75" customHeight="1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5.75" customHeight="1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.75" customHeight="1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5.75" customHeight="1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5.75" customHeight="1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5.75" customHeight="1" x14ac:dyDescent="0.2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5.75" customHeight="1" x14ac:dyDescent="0.2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5.75" customHeight="1" x14ac:dyDescent="0.2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5.75" customHeight="1" x14ac:dyDescent="0.2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5.75" customHeight="1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5.75" customHeight="1" x14ac:dyDescent="0.2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5.75" customHeight="1" x14ac:dyDescent="0.2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5.75" customHeight="1" x14ac:dyDescent="0.2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5.75" customHeight="1" x14ac:dyDescent="0.2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5.75" customHeight="1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5.75" customHeight="1" x14ac:dyDescent="0.2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5.75" customHeight="1" x14ac:dyDescent="0.2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5.75" customHeight="1" x14ac:dyDescent="0.2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5.75" customHeight="1" x14ac:dyDescent="0.2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5.75" customHeight="1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5.75" customHeight="1" x14ac:dyDescent="0.2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5.75" customHeight="1" x14ac:dyDescent="0.2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5.75" customHeight="1" x14ac:dyDescent="0.2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5.75" customHeight="1" x14ac:dyDescent="0.2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5.75" customHeight="1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5.75" customHeight="1" x14ac:dyDescent="0.2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5.75" customHeight="1" x14ac:dyDescent="0.2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5.75" customHeight="1" x14ac:dyDescent="0.2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5.75" customHeight="1" x14ac:dyDescent="0.2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5.75" customHeight="1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5.75" customHeight="1" x14ac:dyDescent="0.2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5.75" customHeight="1" x14ac:dyDescent="0.2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5.75" customHeight="1" x14ac:dyDescent="0.2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5.75" customHeight="1" x14ac:dyDescent="0.2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5.75" customHeight="1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5.75" customHeight="1" x14ac:dyDescent="0.2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5.75" customHeight="1" x14ac:dyDescent="0.2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5.75" customHeight="1" x14ac:dyDescent="0.2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5.75" customHeight="1" x14ac:dyDescent="0.2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5.75" customHeight="1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5.75" customHeight="1" x14ac:dyDescent="0.2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5.75" customHeight="1" x14ac:dyDescent="0.2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5.75" customHeight="1" x14ac:dyDescent="0.2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5.75" customHeight="1" x14ac:dyDescent="0.2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5.75" customHeight="1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5.75" customHeight="1" x14ac:dyDescent="0.2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5.75" customHeight="1" x14ac:dyDescent="0.2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5.75" customHeight="1" x14ac:dyDescent="0.2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5.75" customHeight="1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5.75" customHeight="1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5.75" customHeight="1" x14ac:dyDescent="0.2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5.75" customHeight="1" x14ac:dyDescent="0.2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5.75" customHeight="1" x14ac:dyDescent="0.2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5.75" customHeight="1" x14ac:dyDescent="0.2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5.75" customHeight="1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5.75" customHeight="1" x14ac:dyDescent="0.2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5.75" customHeight="1" x14ac:dyDescent="0.2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5.75" customHeight="1" x14ac:dyDescent="0.2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5.75" customHeight="1" x14ac:dyDescent="0.2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5.75" customHeight="1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5.75" customHeight="1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5.75" customHeight="1" x14ac:dyDescent="0.2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5.75" customHeight="1" x14ac:dyDescent="0.2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5.75" customHeight="1" x14ac:dyDescent="0.2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5.75" customHeight="1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5.75" customHeight="1" x14ac:dyDescent="0.2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5.75" customHeight="1" x14ac:dyDescent="0.2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5.75" customHeight="1" x14ac:dyDescent="0.2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5.75" customHeight="1" x14ac:dyDescent="0.2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5.75" customHeight="1" x14ac:dyDescent="0.2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5.75" customHeight="1" x14ac:dyDescent="0.2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5.75" customHeight="1" x14ac:dyDescent="0.2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5.75" customHeight="1" x14ac:dyDescent="0.2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5.75" customHeight="1" x14ac:dyDescent="0.2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5.75" customHeight="1" x14ac:dyDescent="0.2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5.75" customHeight="1" x14ac:dyDescent="0.2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5.75" customHeight="1" x14ac:dyDescent="0.2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5.75" customHeight="1" x14ac:dyDescent="0.2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5.75" customHeight="1" x14ac:dyDescent="0.2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5.75" customHeight="1" x14ac:dyDescent="0.2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5.75" customHeight="1" x14ac:dyDescent="0.2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5.75" customHeight="1" x14ac:dyDescent="0.2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5.75" customHeight="1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5.75" customHeight="1" x14ac:dyDescent="0.2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5.75" customHeight="1" x14ac:dyDescent="0.2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5.75" customHeight="1" x14ac:dyDescent="0.2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5.75" customHeight="1" x14ac:dyDescent="0.2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5.75" customHeight="1" x14ac:dyDescent="0.2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5.75" customHeight="1" x14ac:dyDescent="0.2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5.75" customHeight="1" x14ac:dyDescent="0.2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5.75" customHeight="1" x14ac:dyDescent="0.2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5.75" customHeight="1" x14ac:dyDescent="0.2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5.75" customHeight="1" x14ac:dyDescent="0.2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5.75" customHeight="1" x14ac:dyDescent="0.25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5.75" customHeight="1" x14ac:dyDescent="0.2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5.75" customHeight="1" x14ac:dyDescent="0.2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5.75" customHeight="1" x14ac:dyDescent="0.2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5.75" customHeight="1" x14ac:dyDescent="0.2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5.75" customHeight="1" x14ac:dyDescent="0.2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5.75" customHeight="1" x14ac:dyDescent="0.2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5.75" customHeight="1" x14ac:dyDescent="0.2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5.75" customHeight="1" x14ac:dyDescent="0.2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5.75" customHeight="1" x14ac:dyDescent="0.2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5.75" customHeight="1" x14ac:dyDescent="0.2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5.75" customHeight="1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5.75" customHeight="1" x14ac:dyDescent="0.2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5.75" customHeight="1" x14ac:dyDescent="0.2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5.75" customHeight="1" x14ac:dyDescent="0.2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5.75" customHeight="1" x14ac:dyDescent="0.2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5.75" customHeight="1" x14ac:dyDescent="0.2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5.75" customHeight="1" x14ac:dyDescent="0.2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5.75" customHeight="1" x14ac:dyDescent="0.2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5.75" customHeight="1" x14ac:dyDescent="0.2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5.75" customHeight="1" x14ac:dyDescent="0.2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5.75" customHeight="1" x14ac:dyDescent="0.2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5.75" customHeight="1" x14ac:dyDescent="0.2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5.75" customHeight="1" x14ac:dyDescent="0.2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5.75" customHeight="1" x14ac:dyDescent="0.2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5.75" customHeight="1" x14ac:dyDescent="0.25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5.75" customHeight="1" x14ac:dyDescent="0.2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5.75" customHeight="1" x14ac:dyDescent="0.2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5.75" customHeight="1" x14ac:dyDescent="0.2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5.75" customHeight="1" x14ac:dyDescent="0.2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5.75" customHeight="1" x14ac:dyDescent="0.2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5.75" customHeight="1" x14ac:dyDescent="0.2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5.75" customHeight="1" x14ac:dyDescent="0.2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5.75" customHeight="1" x14ac:dyDescent="0.2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5.75" customHeight="1" x14ac:dyDescent="0.2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5.75" customHeight="1" x14ac:dyDescent="0.2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5.75" customHeight="1" x14ac:dyDescent="0.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5.75" customHeight="1" x14ac:dyDescent="0.2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5.75" customHeight="1" x14ac:dyDescent="0.2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5.75" customHeight="1" x14ac:dyDescent="0.2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5.75" customHeight="1" x14ac:dyDescent="0.2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5.75" customHeight="1" x14ac:dyDescent="0.2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5.75" customHeight="1" x14ac:dyDescent="0.2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5.75" customHeight="1" x14ac:dyDescent="0.2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5.75" customHeight="1" x14ac:dyDescent="0.2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5.75" customHeight="1" x14ac:dyDescent="0.2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5.75" customHeight="1" x14ac:dyDescent="0.2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5.75" customHeight="1" x14ac:dyDescent="0.2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5.75" customHeight="1" x14ac:dyDescent="0.2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5.75" customHeight="1" x14ac:dyDescent="0.2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5.75" customHeight="1" x14ac:dyDescent="0.2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5.75" customHeight="1" x14ac:dyDescent="0.2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5.75" customHeight="1" x14ac:dyDescent="0.2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5.75" customHeight="1" x14ac:dyDescent="0.2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5.75" customHeight="1" x14ac:dyDescent="0.2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5.75" customHeight="1" x14ac:dyDescent="0.2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5.75" customHeight="1" x14ac:dyDescent="0.2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5.75" customHeight="1" x14ac:dyDescent="0.2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5.75" customHeight="1" x14ac:dyDescent="0.2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5.75" customHeight="1" x14ac:dyDescent="0.2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5.75" customHeight="1" x14ac:dyDescent="0.2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5.75" customHeight="1" x14ac:dyDescent="0.2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5.75" customHeight="1" x14ac:dyDescent="0.2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5.75" customHeight="1" x14ac:dyDescent="0.2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5.75" customHeight="1" x14ac:dyDescent="0.2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5.75" customHeight="1" x14ac:dyDescent="0.2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5.75" customHeight="1" x14ac:dyDescent="0.2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5.75" customHeight="1" x14ac:dyDescent="0.2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5.75" customHeight="1" x14ac:dyDescent="0.2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5.75" customHeight="1" x14ac:dyDescent="0.2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5.75" customHeight="1" x14ac:dyDescent="0.2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5.75" customHeight="1" x14ac:dyDescent="0.2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5.75" customHeight="1" x14ac:dyDescent="0.2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5.75" customHeight="1" x14ac:dyDescent="0.2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5.75" customHeight="1" x14ac:dyDescent="0.2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5.75" customHeight="1" x14ac:dyDescent="0.2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5.75" customHeight="1" x14ac:dyDescent="0.2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5.75" customHeight="1" x14ac:dyDescent="0.2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5.75" customHeight="1" x14ac:dyDescent="0.2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5.75" customHeight="1" x14ac:dyDescent="0.2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5.75" customHeight="1" x14ac:dyDescent="0.2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5.75" customHeight="1" x14ac:dyDescent="0.2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5.75" customHeight="1" x14ac:dyDescent="0.2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5.75" customHeight="1" x14ac:dyDescent="0.2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5.75" customHeight="1" x14ac:dyDescent="0.2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5.75" customHeight="1" x14ac:dyDescent="0.2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5.75" customHeight="1" x14ac:dyDescent="0.2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5.75" customHeight="1" x14ac:dyDescent="0.2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5.75" customHeight="1" x14ac:dyDescent="0.2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5.75" customHeight="1" x14ac:dyDescent="0.2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5.75" customHeight="1" x14ac:dyDescent="0.2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5.75" customHeight="1" x14ac:dyDescent="0.2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5.75" customHeight="1" x14ac:dyDescent="0.2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5.75" customHeight="1" x14ac:dyDescent="0.2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5.75" customHeight="1" x14ac:dyDescent="0.2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5.75" customHeight="1" x14ac:dyDescent="0.2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5.75" customHeight="1" x14ac:dyDescent="0.2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5.75" customHeight="1" x14ac:dyDescent="0.2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5.75" customHeight="1" x14ac:dyDescent="0.2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5.75" customHeight="1" x14ac:dyDescent="0.2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5.75" customHeight="1" x14ac:dyDescent="0.2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5.75" customHeight="1" x14ac:dyDescent="0.2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5.75" customHeight="1" x14ac:dyDescent="0.2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5.75" customHeight="1" x14ac:dyDescent="0.2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5.75" customHeight="1" x14ac:dyDescent="0.2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5.75" customHeight="1" x14ac:dyDescent="0.2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5.75" customHeight="1" x14ac:dyDescent="0.2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5.75" customHeight="1" x14ac:dyDescent="0.2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5.75" customHeight="1" x14ac:dyDescent="0.2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5.75" customHeight="1" x14ac:dyDescent="0.2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5.75" customHeight="1" x14ac:dyDescent="0.2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5.75" customHeight="1" x14ac:dyDescent="0.2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5.75" customHeight="1" x14ac:dyDescent="0.2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5.75" customHeight="1" x14ac:dyDescent="0.2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5.75" customHeight="1" x14ac:dyDescent="0.2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5.75" customHeight="1" x14ac:dyDescent="0.2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5.75" customHeight="1" x14ac:dyDescent="0.2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5.75" customHeight="1" x14ac:dyDescent="0.2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5.75" customHeight="1" x14ac:dyDescent="0.2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5.75" customHeight="1" x14ac:dyDescent="0.2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5.75" customHeight="1" x14ac:dyDescent="0.2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5.75" customHeight="1" x14ac:dyDescent="0.2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5.75" customHeight="1" x14ac:dyDescent="0.2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5.75" customHeight="1" x14ac:dyDescent="0.2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5.75" customHeight="1" x14ac:dyDescent="0.2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5.75" customHeight="1" x14ac:dyDescent="0.2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5.75" customHeight="1" x14ac:dyDescent="0.2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5.75" customHeight="1" x14ac:dyDescent="0.2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5.75" customHeight="1" x14ac:dyDescent="0.2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5.75" customHeight="1" x14ac:dyDescent="0.2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5.75" customHeight="1" x14ac:dyDescent="0.2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5.75" customHeight="1" x14ac:dyDescent="0.2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5.75" customHeight="1" x14ac:dyDescent="0.2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5.75" customHeight="1" x14ac:dyDescent="0.2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5.75" customHeight="1" x14ac:dyDescent="0.2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5.75" customHeight="1" x14ac:dyDescent="0.2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5.75" customHeight="1" x14ac:dyDescent="0.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5.75" customHeight="1" x14ac:dyDescent="0.2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5.75" customHeight="1" x14ac:dyDescent="0.2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5.75" customHeight="1" x14ac:dyDescent="0.2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5.75" customHeight="1" x14ac:dyDescent="0.2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5.75" customHeight="1" x14ac:dyDescent="0.2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5.75" customHeight="1" x14ac:dyDescent="0.2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5.75" customHeight="1" x14ac:dyDescent="0.2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5.75" customHeight="1" x14ac:dyDescent="0.2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5.75" customHeight="1" x14ac:dyDescent="0.2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5.75" customHeight="1" x14ac:dyDescent="0.2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5.75" customHeight="1" x14ac:dyDescent="0.2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5.75" customHeight="1" x14ac:dyDescent="0.2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5.75" customHeight="1" x14ac:dyDescent="0.2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5.75" customHeight="1" x14ac:dyDescent="0.2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5.75" customHeight="1" x14ac:dyDescent="0.2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5.75" customHeight="1" x14ac:dyDescent="0.2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5.75" customHeight="1" x14ac:dyDescent="0.2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5.75" customHeight="1" x14ac:dyDescent="0.2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5.75" customHeight="1" x14ac:dyDescent="0.2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5.75" customHeight="1" x14ac:dyDescent="0.2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5.75" customHeight="1" x14ac:dyDescent="0.2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5.75" customHeight="1" x14ac:dyDescent="0.2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5.75" customHeight="1" x14ac:dyDescent="0.2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5.75" customHeight="1" x14ac:dyDescent="0.2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5.75" customHeight="1" x14ac:dyDescent="0.2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5.75" customHeight="1" x14ac:dyDescent="0.2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5.75" customHeight="1" x14ac:dyDescent="0.2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5.75" customHeight="1" x14ac:dyDescent="0.2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5.75" customHeight="1" x14ac:dyDescent="0.2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5.75" customHeight="1" x14ac:dyDescent="0.2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5.75" customHeight="1" x14ac:dyDescent="0.2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5.75" customHeight="1" x14ac:dyDescent="0.2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5.75" customHeight="1" x14ac:dyDescent="0.2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5.75" customHeight="1" x14ac:dyDescent="0.2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5.75" customHeight="1" x14ac:dyDescent="0.2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5.75" customHeight="1" x14ac:dyDescent="0.2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5.75" customHeight="1" x14ac:dyDescent="0.2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5.75" customHeight="1" x14ac:dyDescent="0.2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5.75" customHeight="1" x14ac:dyDescent="0.2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5.75" customHeight="1" x14ac:dyDescent="0.2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5.75" customHeight="1" x14ac:dyDescent="0.2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ht="15.75" customHeight="1" x14ac:dyDescent="0.2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ht="15.75" customHeight="1" x14ac:dyDescent="0.2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5.75" customHeight="1" x14ac:dyDescent="0.2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ht="15.75" customHeight="1" x14ac:dyDescent="0.2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ht="15.75" customHeight="1" x14ac:dyDescent="0.2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ht="15.75" customHeight="1" x14ac:dyDescent="0.2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ht="15.75" customHeight="1" x14ac:dyDescent="0.2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ht="15.75" customHeight="1" x14ac:dyDescent="0.2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ht="15.75" customHeight="1" x14ac:dyDescent="0.2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ht="15.75" customHeight="1" x14ac:dyDescent="0.2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ht="15.75" customHeight="1" x14ac:dyDescent="0.2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ht="15.75" customHeight="1" x14ac:dyDescent="0.2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ht="15.75" customHeight="1" x14ac:dyDescent="0.2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ht="15.75" customHeight="1" x14ac:dyDescent="0.2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ht="15.75" customHeight="1" x14ac:dyDescent="0.2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ht="15.75" customHeight="1" x14ac:dyDescent="0.2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ht="15.75" customHeight="1" x14ac:dyDescent="0.2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ht="15.75" customHeight="1" x14ac:dyDescent="0.2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ht="15.75" customHeight="1" x14ac:dyDescent="0.2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ht="15.75" customHeight="1" x14ac:dyDescent="0.2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ht="15.75" customHeight="1" x14ac:dyDescent="0.2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ht="15.75" customHeight="1" x14ac:dyDescent="0.2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ht="15.75" customHeight="1" x14ac:dyDescent="0.2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ht="15.75" customHeight="1" x14ac:dyDescent="0.2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ht="15.75" customHeight="1" x14ac:dyDescent="0.2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ht="15.75" customHeight="1" x14ac:dyDescent="0.2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ht="15.75" customHeight="1" x14ac:dyDescent="0.2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ht="15.75" customHeight="1" x14ac:dyDescent="0.2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ht="15.75" customHeight="1" x14ac:dyDescent="0.2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ht="15.75" customHeight="1" x14ac:dyDescent="0.2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ht="15.75" customHeight="1" x14ac:dyDescent="0.2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ht="15.75" customHeight="1" x14ac:dyDescent="0.2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ht="15.75" customHeight="1" x14ac:dyDescent="0.2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ht="15.75" customHeight="1" x14ac:dyDescent="0.2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ht="15.75" customHeight="1" x14ac:dyDescent="0.2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ht="15.75" customHeight="1" x14ac:dyDescent="0.2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ht="15.75" customHeight="1" x14ac:dyDescent="0.2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ht="15.75" customHeight="1" x14ac:dyDescent="0.2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ht="15.75" customHeight="1" x14ac:dyDescent="0.2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ht="15.75" customHeight="1" x14ac:dyDescent="0.2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ht="15.75" customHeight="1" x14ac:dyDescent="0.2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ht="15.75" customHeight="1" x14ac:dyDescent="0.2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ht="15.75" customHeight="1" x14ac:dyDescent="0.2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ht="15.75" customHeight="1" x14ac:dyDescent="0.2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ht="15.75" customHeight="1" x14ac:dyDescent="0.2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ht="15.75" customHeight="1" x14ac:dyDescent="0.2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ht="15.75" customHeight="1" x14ac:dyDescent="0.2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ht="15.75" customHeight="1" x14ac:dyDescent="0.2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ht="15.75" customHeight="1" x14ac:dyDescent="0.2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ht="15.75" customHeight="1" x14ac:dyDescent="0.2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ht="15.75" customHeight="1" x14ac:dyDescent="0.2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ht="15.75" customHeight="1" x14ac:dyDescent="0.2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ht="15.75" customHeight="1" x14ac:dyDescent="0.2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ht="15.75" customHeight="1" x14ac:dyDescent="0.2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ht="15.75" customHeight="1" x14ac:dyDescent="0.2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ht="15.75" customHeight="1" x14ac:dyDescent="0.2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ht="15.75" customHeight="1" x14ac:dyDescent="0.2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ht="15.75" customHeight="1" x14ac:dyDescent="0.2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ht="15.75" customHeight="1" x14ac:dyDescent="0.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ht="15.75" customHeight="1" x14ac:dyDescent="0.2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ht="15.75" customHeight="1" x14ac:dyDescent="0.2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ht="15.75" customHeight="1" x14ac:dyDescent="0.2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ht="15.75" customHeight="1" x14ac:dyDescent="0.2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ht="15.75" customHeight="1" x14ac:dyDescent="0.2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ht="15.75" customHeight="1" x14ac:dyDescent="0.2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ht="15.75" customHeight="1" x14ac:dyDescent="0.2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ht="15.75" customHeight="1" x14ac:dyDescent="0.2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ht="15.75" customHeight="1" x14ac:dyDescent="0.2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ht="15.75" customHeight="1" x14ac:dyDescent="0.2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ht="15.75" customHeight="1" x14ac:dyDescent="0.2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ht="15.75" customHeight="1" x14ac:dyDescent="0.2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ht="15.75" customHeight="1" x14ac:dyDescent="0.2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ht="15.75" customHeight="1" x14ac:dyDescent="0.2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ht="15.75" customHeight="1" x14ac:dyDescent="0.2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ht="15.75" customHeight="1" x14ac:dyDescent="0.2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ht="15.75" customHeight="1" x14ac:dyDescent="0.2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ht="15.75" customHeight="1" x14ac:dyDescent="0.2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ht="15.75" customHeight="1" x14ac:dyDescent="0.2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ht="15.75" customHeight="1" x14ac:dyDescent="0.2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ht="15.75" customHeight="1" x14ac:dyDescent="0.2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ht="15.75" customHeight="1" x14ac:dyDescent="0.2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ht="15.75" customHeight="1" x14ac:dyDescent="0.2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ht="15.75" customHeight="1" x14ac:dyDescent="0.2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ht="15.75" customHeight="1" x14ac:dyDescent="0.2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ht="15.75" customHeight="1" x14ac:dyDescent="0.2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ht="15.75" customHeight="1" x14ac:dyDescent="0.2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ht="15.75" customHeight="1" x14ac:dyDescent="0.2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ht="15.75" customHeight="1" x14ac:dyDescent="0.2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ht="15.75" customHeight="1" x14ac:dyDescent="0.2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ht="15.75" customHeight="1" x14ac:dyDescent="0.2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ht="15.75" customHeight="1" x14ac:dyDescent="0.2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ht="15.75" customHeight="1" x14ac:dyDescent="0.2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ht="15.75" customHeight="1" x14ac:dyDescent="0.2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ht="15.75" customHeight="1" x14ac:dyDescent="0.2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ht="15.75" customHeight="1" x14ac:dyDescent="0.2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ht="15.75" customHeight="1" x14ac:dyDescent="0.2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ht="15.75" customHeight="1" x14ac:dyDescent="0.2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ht="15.75" customHeight="1" x14ac:dyDescent="0.2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ht="15.75" customHeight="1" x14ac:dyDescent="0.2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ht="15.75" customHeight="1" x14ac:dyDescent="0.2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ht="15.75" customHeight="1" x14ac:dyDescent="0.2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ht="15.75" customHeight="1" x14ac:dyDescent="0.2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ht="15.75" customHeight="1" x14ac:dyDescent="0.2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ht="15.75" customHeight="1" x14ac:dyDescent="0.2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ht="15.75" customHeight="1" x14ac:dyDescent="0.2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ht="15.75" customHeight="1" x14ac:dyDescent="0.2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ht="15.75" customHeight="1" x14ac:dyDescent="0.2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ht="15.75" customHeight="1" x14ac:dyDescent="0.2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ht="15.75" customHeight="1" x14ac:dyDescent="0.2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ht="15.75" customHeight="1" x14ac:dyDescent="0.2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ht="15.75" customHeight="1" x14ac:dyDescent="0.2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ht="15.75" customHeight="1" x14ac:dyDescent="0.2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ht="15.75" customHeight="1" x14ac:dyDescent="0.2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ht="15.75" customHeight="1" x14ac:dyDescent="0.2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ht="15.75" customHeight="1" x14ac:dyDescent="0.2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ht="15.75" customHeight="1" x14ac:dyDescent="0.2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ht="15.75" customHeight="1" x14ac:dyDescent="0.2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ht="15.75" customHeight="1" x14ac:dyDescent="0.2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ht="15.75" customHeight="1" x14ac:dyDescent="0.2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ht="15.75" customHeight="1" x14ac:dyDescent="0.2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ht="15.75" customHeight="1" x14ac:dyDescent="0.2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ht="15.75" customHeight="1" x14ac:dyDescent="0.2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ht="15.75" customHeight="1" x14ac:dyDescent="0.2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ht="15.75" customHeight="1" x14ac:dyDescent="0.2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ht="15.75" customHeight="1" x14ac:dyDescent="0.2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ht="15.75" customHeight="1" x14ac:dyDescent="0.2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ht="15.75" customHeight="1" x14ac:dyDescent="0.2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ht="15.75" customHeight="1" x14ac:dyDescent="0.2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ht="15.75" customHeight="1" x14ac:dyDescent="0.2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ht="15.75" customHeight="1" x14ac:dyDescent="0.2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ht="15.75" customHeight="1" x14ac:dyDescent="0.2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ht="15.75" customHeight="1" x14ac:dyDescent="0.2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ht="15.75" customHeight="1" x14ac:dyDescent="0.2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ht="15.75" customHeight="1" x14ac:dyDescent="0.2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ht="15.75" customHeight="1" x14ac:dyDescent="0.2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ht="15.75" customHeight="1" x14ac:dyDescent="0.2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ht="15.75" customHeight="1" x14ac:dyDescent="0.2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ht="15.75" customHeight="1" x14ac:dyDescent="0.2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ht="15.75" customHeight="1" x14ac:dyDescent="0.2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ht="15.75" customHeight="1" x14ac:dyDescent="0.2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ht="15.75" customHeight="1" x14ac:dyDescent="0.2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ht="15.75" customHeight="1" x14ac:dyDescent="0.2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ht="15.75" customHeight="1" x14ac:dyDescent="0.2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ht="15.75" customHeight="1" x14ac:dyDescent="0.2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ht="15.75" customHeight="1" x14ac:dyDescent="0.2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ht="15.75" customHeight="1" x14ac:dyDescent="0.2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ht="15.75" customHeight="1" x14ac:dyDescent="0.2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ht="15.75" customHeight="1" x14ac:dyDescent="0.2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ht="15.75" customHeight="1" x14ac:dyDescent="0.2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ht="15.75" customHeight="1" x14ac:dyDescent="0.2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ht="15.75" customHeight="1" x14ac:dyDescent="0.2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ht="15.75" customHeight="1" x14ac:dyDescent="0.2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ht="15.75" customHeight="1" x14ac:dyDescent="0.2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ht="15.75" customHeight="1" x14ac:dyDescent="0.2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ht="15.75" customHeight="1" x14ac:dyDescent="0.2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ht="15.75" customHeight="1" x14ac:dyDescent="0.2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ht="15.75" customHeight="1" x14ac:dyDescent="0.2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ht="15.75" customHeight="1" x14ac:dyDescent="0.2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ht="15.75" customHeight="1" x14ac:dyDescent="0.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ht="15.75" customHeight="1" x14ac:dyDescent="0.2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ht="15.75" customHeight="1" x14ac:dyDescent="0.2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ht="15.75" customHeight="1" x14ac:dyDescent="0.2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ht="15.75" customHeight="1" x14ac:dyDescent="0.2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ht="15.75" customHeight="1" x14ac:dyDescent="0.2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ht="15.75" customHeight="1" x14ac:dyDescent="0.2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ht="15.75" customHeight="1" x14ac:dyDescent="0.2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ht="15.75" customHeight="1" x14ac:dyDescent="0.2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ht="15.75" customHeight="1" x14ac:dyDescent="0.2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ht="15.75" customHeight="1" x14ac:dyDescent="0.2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ht="15.75" customHeight="1" x14ac:dyDescent="0.2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ht="15.75" customHeight="1" x14ac:dyDescent="0.2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ht="15.75" customHeight="1" x14ac:dyDescent="0.2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ht="15.75" customHeight="1" x14ac:dyDescent="0.2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ht="15.75" customHeight="1" x14ac:dyDescent="0.2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ht="15.75" customHeight="1" x14ac:dyDescent="0.2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ht="15.75" customHeight="1" x14ac:dyDescent="0.2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ht="15.75" customHeight="1" x14ac:dyDescent="0.2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15.75" customHeight="1" x14ac:dyDescent="0.2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ht="15.75" customHeight="1" x14ac:dyDescent="0.2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ht="15.75" customHeight="1" x14ac:dyDescent="0.2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ht="15.75" customHeight="1" x14ac:dyDescent="0.2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ht="15.75" customHeight="1" x14ac:dyDescent="0.2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ht="15.75" customHeight="1" x14ac:dyDescent="0.2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ht="15.75" customHeight="1" x14ac:dyDescent="0.2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ht="15.75" customHeight="1" x14ac:dyDescent="0.2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ht="15.75" customHeight="1" x14ac:dyDescent="0.2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ht="15.75" customHeight="1" x14ac:dyDescent="0.2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ht="15.75" customHeight="1" x14ac:dyDescent="0.2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ht="15.75" customHeight="1" x14ac:dyDescent="0.2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ht="15.75" customHeight="1" x14ac:dyDescent="0.2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ht="15.75" customHeight="1" x14ac:dyDescent="0.2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ht="15.75" customHeight="1" x14ac:dyDescent="0.2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ht="15.75" customHeight="1" x14ac:dyDescent="0.2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ht="15.75" customHeight="1" x14ac:dyDescent="0.2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ht="15.75" customHeight="1" x14ac:dyDescent="0.2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ht="15.75" customHeight="1" x14ac:dyDescent="0.2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ht="15.75" customHeight="1" x14ac:dyDescent="0.2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ht="15.75" customHeight="1" x14ac:dyDescent="0.2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ht="15.75" customHeight="1" x14ac:dyDescent="0.2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ht="15.75" customHeight="1" x14ac:dyDescent="0.2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ht="15.75" customHeight="1" x14ac:dyDescent="0.2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ht="15.75" customHeight="1" x14ac:dyDescent="0.2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ht="15.75" customHeight="1" x14ac:dyDescent="0.2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ht="15.75" customHeight="1" x14ac:dyDescent="0.2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ht="15.75" customHeight="1" x14ac:dyDescent="0.2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ht="15.75" customHeight="1" x14ac:dyDescent="0.2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ht="15.75" customHeight="1" x14ac:dyDescent="0.2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ht="15.75" customHeight="1" x14ac:dyDescent="0.2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ht="15.75" customHeight="1" x14ac:dyDescent="0.2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ht="15.75" customHeight="1" x14ac:dyDescent="0.2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ht="15.75" customHeight="1" x14ac:dyDescent="0.2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ht="15.75" customHeight="1" x14ac:dyDescent="0.2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ht="15.75" customHeight="1" x14ac:dyDescent="0.2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ht="15.75" customHeight="1" x14ac:dyDescent="0.2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ht="15.75" customHeight="1" x14ac:dyDescent="0.2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ht="15.75" customHeight="1" x14ac:dyDescent="0.2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ht="15.75" customHeight="1" x14ac:dyDescent="0.2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ht="15.75" customHeight="1" x14ac:dyDescent="0.2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ht="15.75" customHeight="1" x14ac:dyDescent="0.2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ht="15.75" customHeight="1" x14ac:dyDescent="0.2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ht="15.75" customHeight="1" x14ac:dyDescent="0.2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ht="15.75" customHeight="1" x14ac:dyDescent="0.2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ht="15.75" customHeight="1" x14ac:dyDescent="0.2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ht="15.75" customHeight="1" x14ac:dyDescent="0.2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ht="15.75" customHeight="1" x14ac:dyDescent="0.2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ht="15.75" customHeight="1" x14ac:dyDescent="0.2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ht="15.75" customHeight="1" x14ac:dyDescent="0.2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ht="15.75" customHeight="1" x14ac:dyDescent="0.2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ht="15.75" customHeight="1" x14ac:dyDescent="0.2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ht="15.75" customHeight="1" x14ac:dyDescent="0.2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ht="15.75" customHeight="1" x14ac:dyDescent="0.2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ht="15.75" customHeight="1" x14ac:dyDescent="0.2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ht="15.75" customHeight="1" x14ac:dyDescent="0.2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ht="15.75" customHeight="1" x14ac:dyDescent="0.2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ht="15.75" customHeight="1" x14ac:dyDescent="0.2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ht="15.75" customHeight="1" x14ac:dyDescent="0.2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ht="15.75" customHeight="1" x14ac:dyDescent="0.2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ht="15.75" customHeight="1" x14ac:dyDescent="0.2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ht="15.75" customHeight="1" x14ac:dyDescent="0.2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ht="15.75" customHeight="1" x14ac:dyDescent="0.2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ht="15.75" customHeight="1" x14ac:dyDescent="0.2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ht="15.75" customHeight="1" x14ac:dyDescent="0.2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ht="15.75" customHeight="1" x14ac:dyDescent="0.2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ht="15.75" customHeight="1" x14ac:dyDescent="0.2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ht="15.75" customHeight="1" x14ac:dyDescent="0.2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ht="15.75" customHeight="1" x14ac:dyDescent="0.2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ht="15.75" customHeight="1" x14ac:dyDescent="0.2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ht="15.75" customHeight="1" x14ac:dyDescent="0.2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ht="15.75" customHeight="1" x14ac:dyDescent="0.2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ht="15.75" customHeight="1" x14ac:dyDescent="0.2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ht="15.75" customHeight="1" x14ac:dyDescent="0.2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ht="15.75" customHeight="1" x14ac:dyDescent="0.2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ht="15.75" customHeight="1" x14ac:dyDescent="0.2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ht="15.75" customHeight="1" x14ac:dyDescent="0.2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ht="15.75" customHeight="1" x14ac:dyDescent="0.2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ht="15.75" customHeight="1" x14ac:dyDescent="0.2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ht="15.75" customHeight="1" x14ac:dyDescent="0.2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ht="15.75" customHeight="1" x14ac:dyDescent="0.2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ht="15.75" customHeight="1" x14ac:dyDescent="0.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ht="15.75" customHeight="1" x14ac:dyDescent="0.2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ht="15.75" customHeight="1" x14ac:dyDescent="0.2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ht="15.75" customHeight="1" x14ac:dyDescent="0.2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ht="15.75" customHeight="1" x14ac:dyDescent="0.2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ht="15.75" customHeight="1" x14ac:dyDescent="0.2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ht="15.75" customHeight="1" x14ac:dyDescent="0.2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ht="15.75" customHeight="1" x14ac:dyDescent="0.2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ht="15.75" customHeight="1" x14ac:dyDescent="0.2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ht="15.75" customHeight="1" x14ac:dyDescent="0.2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ht="15.75" customHeight="1" x14ac:dyDescent="0.2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ht="15.75" customHeight="1" x14ac:dyDescent="0.2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ht="15.75" customHeight="1" x14ac:dyDescent="0.2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ht="15.75" customHeight="1" x14ac:dyDescent="0.2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ht="15.75" customHeight="1" x14ac:dyDescent="0.2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ht="15.75" customHeight="1" x14ac:dyDescent="0.2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ht="15.75" customHeight="1" x14ac:dyDescent="0.2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ht="15.75" customHeight="1" x14ac:dyDescent="0.2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ht="15.75" customHeight="1" x14ac:dyDescent="0.2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ht="15.75" customHeight="1" x14ac:dyDescent="0.2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ht="15.75" customHeight="1" x14ac:dyDescent="0.2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ht="15.75" customHeight="1" x14ac:dyDescent="0.2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ht="15.75" customHeight="1" x14ac:dyDescent="0.2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ht="15.75" customHeight="1" x14ac:dyDescent="0.2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ht="15.75" customHeight="1" x14ac:dyDescent="0.2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ht="15.75" customHeight="1" x14ac:dyDescent="0.2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ht="15.75" customHeight="1" x14ac:dyDescent="0.2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ht="15.75" customHeight="1" x14ac:dyDescent="0.2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ht="15.75" customHeight="1" x14ac:dyDescent="0.2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ht="15.75" customHeight="1" x14ac:dyDescent="0.2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ht="15.75" customHeight="1" x14ac:dyDescent="0.2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ht="15.75" customHeight="1" x14ac:dyDescent="0.2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ht="15.75" customHeight="1" x14ac:dyDescent="0.2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ht="15.75" customHeight="1" x14ac:dyDescent="0.2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ht="15.75" customHeight="1" x14ac:dyDescent="0.2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ht="15.75" customHeight="1" x14ac:dyDescent="0.2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ht="15.75" customHeight="1" x14ac:dyDescent="0.2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ht="15.75" customHeight="1" x14ac:dyDescent="0.2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ht="15.75" customHeight="1" x14ac:dyDescent="0.2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ht="15.75" customHeight="1" x14ac:dyDescent="0.2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ht="15.75" customHeight="1" x14ac:dyDescent="0.2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ht="15.75" customHeight="1" x14ac:dyDescent="0.2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ht="15.75" customHeight="1" x14ac:dyDescent="0.2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ht="15.75" customHeight="1" x14ac:dyDescent="0.2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ht="15.75" customHeight="1" x14ac:dyDescent="0.2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ht="15.75" customHeight="1" x14ac:dyDescent="0.2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ht="15.75" customHeight="1" x14ac:dyDescent="0.2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ht="15.75" customHeight="1" x14ac:dyDescent="0.2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ht="15.75" customHeight="1" x14ac:dyDescent="0.2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ht="15.75" customHeight="1" x14ac:dyDescent="0.2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ht="15.75" customHeight="1" x14ac:dyDescent="0.2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ht="15.75" customHeight="1" x14ac:dyDescent="0.2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ht="15.75" customHeight="1" x14ac:dyDescent="0.2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ht="15.75" customHeight="1" x14ac:dyDescent="0.2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ht="15.75" customHeight="1" x14ac:dyDescent="0.2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ht="15.75" customHeight="1" x14ac:dyDescent="0.2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ht="15.75" customHeight="1" x14ac:dyDescent="0.2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ht="15.75" customHeight="1" x14ac:dyDescent="0.2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ht="15.75" customHeight="1" x14ac:dyDescent="0.2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ht="15.75" customHeight="1" x14ac:dyDescent="0.2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ht="15.75" customHeight="1" x14ac:dyDescent="0.2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ht="15.75" customHeight="1" x14ac:dyDescent="0.2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ht="15.75" customHeight="1" x14ac:dyDescent="0.2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ht="15.75" customHeight="1" x14ac:dyDescent="0.2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ht="15.75" customHeight="1" x14ac:dyDescent="0.2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ht="15.75" customHeight="1" x14ac:dyDescent="0.2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ht="15.75" customHeight="1" x14ac:dyDescent="0.2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ht="15.75" customHeight="1" x14ac:dyDescent="0.2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ht="15.75" customHeight="1" x14ac:dyDescent="0.2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ht="15.75" customHeight="1" x14ac:dyDescent="0.2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ht="15.75" customHeight="1" x14ac:dyDescent="0.2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ht="15.75" customHeight="1" x14ac:dyDescent="0.2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ht="15.75" customHeight="1" x14ac:dyDescent="0.2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ht="15.75" customHeight="1" x14ac:dyDescent="0.2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ht="15.75" customHeight="1" x14ac:dyDescent="0.2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ht="15.75" customHeight="1" x14ac:dyDescent="0.2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ht="15.75" customHeight="1" x14ac:dyDescent="0.2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ht="15.75" customHeight="1" x14ac:dyDescent="0.2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ht="15.75" customHeight="1" x14ac:dyDescent="0.2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ht="15.75" customHeight="1" x14ac:dyDescent="0.2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ht="15.75" customHeight="1" x14ac:dyDescent="0.2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ht="15.75" customHeight="1" x14ac:dyDescent="0.2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ht="15.75" customHeight="1" x14ac:dyDescent="0.2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ht="15.75" customHeight="1" x14ac:dyDescent="0.2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ht="15.75" customHeight="1" x14ac:dyDescent="0.2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ht="15.75" customHeight="1" x14ac:dyDescent="0.2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ht="15.75" customHeight="1" x14ac:dyDescent="0.2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ht="15.75" customHeight="1" x14ac:dyDescent="0.2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ht="15.75" customHeight="1" x14ac:dyDescent="0.2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ht="15.75" customHeight="1" x14ac:dyDescent="0.2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ht="15.75" customHeight="1" x14ac:dyDescent="0.2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ht="15.75" customHeight="1" x14ac:dyDescent="0.2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ht="15.75" customHeight="1" x14ac:dyDescent="0.2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ht="15.75" customHeight="1" x14ac:dyDescent="0.2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ht="15.75" customHeight="1" x14ac:dyDescent="0.2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ht="15.75" customHeight="1" x14ac:dyDescent="0.2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ht="15.75" customHeight="1" x14ac:dyDescent="0.2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ht="15.75" customHeight="1" x14ac:dyDescent="0.2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ht="15.75" customHeight="1" x14ac:dyDescent="0.2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ht="15.75" customHeight="1" x14ac:dyDescent="0.2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ht="15.75" customHeight="1" x14ac:dyDescent="0.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ht="15.75" customHeight="1" x14ac:dyDescent="0.2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ht="15.75" customHeight="1" x14ac:dyDescent="0.2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ht="15.75" customHeight="1" x14ac:dyDescent="0.2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ht="15.75" customHeight="1" x14ac:dyDescent="0.2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ht="15.75" customHeight="1" x14ac:dyDescent="0.2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ht="15.75" customHeight="1" x14ac:dyDescent="0.2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ht="15.75" customHeight="1" x14ac:dyDescent="0.2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ht="15.75" customHeight="1" x14ac:dyDescent="0.2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ht="15.75" customHeight="1" x14ac:dyDescent="0.2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ht="15.75" customHeight="1" x14ac:dyDescent="0.2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ht="15.75" customHeight="1" x14ac:dyDescent="0.2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ht="15.75" customHeight="1" x14ac:dyDescent="0.2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ht="15.75" customHeight="1" x14ac:dyDescent="0.2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ht="15.75" customHeight="1" x14ac:dyDescent="0.2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ht="15.75" customHeight="1" x14ac:dyDescent="0.2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ht="15.75" customHeight="1" x14ac:dyDescent="0.2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ht="15.75" customHeight="1" x14ac:dyDescent="0.2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ht="15.75" customHeight="1" x14ac:dyDescent="0.2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ht="15.75" customHeight="1" x14ac:dyDescent="0.2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ht="15.75" customHeight="1" x14ac:dyDescent="0.2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ht="15.75" customHeight="1" x14ac:dyDescent="0.2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ht="15.75" customHeight="1" x14ac:dyDescent="0.2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ht="15.75" customHeight="1" x14ac:dyDescent="0.2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ht="15.75" customHeight="1" x14ac:dyDescent="0.2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ht="15.75" customHeight="1" x14ac:dyDescent="0.2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ht="15.75" customHeight="1" x14ac:dyDescent="0.2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ht="15.75" customHeight="1" x14ac:dyDescent="0.2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ht="15.75" customHeight="1" x14ac:dyDescent="0.2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ht="15.75" customHeight="1" x14ac:dyDescent="0.2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ht="15.75" customHeight="1" x14ac:dyDescent="0.2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ht="15.75" customHeight="1" x14ac:dyDescent="0.2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ht="15.75" customHeight="1" x14ac:dyDescent="0.2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ht="15.75" customHeight="1" x14ac:dyDescent="0.2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ht="15.75" customHeight="1" x14ac:dyDescent="0.2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ht="15.75" customHeight="1" x14ac:dyDescent="0.2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ht="15.75" customHeight="1" x14ac:dyDescent="0.2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ht="15.75" customHeight="1" x14ac:dyDescent="0.2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ht="15.75" customHeight="1" x14ac:dyDescent="0.2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ht="15.75" customHeight="1" x14ac:dyDescent="0.2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ht="15.75" customHeight="1" x14ac:dyDescent="0.2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ht="15.75" customHeight="1" x14ac:dyDescent="0.2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ht="15.75" customHeight="1" x14ac:dyDescent="0.2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ht="15.75" customHeight="1" x14ac:dyDescent="0.2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ht="15.75" customHeight="1" x14ac:dyDescent="0.2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ht="15.75" customHeight="1" x14ac:dyDescent="0.2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ht="15.75" customHeight="1" x14ac:dyDescent="0.2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ht="15.75" customHeight="1" x14ac:dyDescent="0.2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ht="15.75" customHeight="1" x14ac:dyDescent="0.2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ht="15.75" customHeight="1" x14ac:dyDescent="0.2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ht="15.75" customHeight="1" x14ac:dyDescent="0.2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ht="15.75" customHeight="1" x14ac:dyDescent="0.2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ht="15.75" customHeight="1" x14ac:dyDescent="0.2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ht="15.75" customHeight="1" x14ac:dyDescent="0.2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ht="15.75" customHeight="1" x14ac:dyDescent="0.2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ht="15.75" customHeight="1" x14ac:dyDescent="0.2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ht="15.75" customHeight="1" x14ac:dyDescent="0.2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ht="15.75" customHeight="1" x14ac:dyDescent="0.2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ht="15.75" customHeight="1" x14ac:dyDescent="0.2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ht="15.75" customHeight="1" x14ac:dyDescent="0.2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ht="15.75" customHeight="1" x14ac:dyDescent="0.2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ht="15.75" customHeight="1" x14ac:dyDescent="0.2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ht="15.75" customHeight="1" x14ac:dyDescent="0.2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ht="15.75" customHeight="1" x14ac:dyDescent="0.2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ht="15.75" customHeight="1" x14ac:dyDescent="0.2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ht="15.75" customHeight="1" x14ac:dyDescent="0.2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ht="15.75" customHeight="1" x14ac:dyDescent="0.2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ht="15.75" customHeight="1" x14ac:dyDescent="0.2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ht="15.75" customHeight="1" x14ac:dyDescent="0.2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ht="15.75" customHeight="1" x14ac:dyDescent="0.2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ht="15.75" customHeight="1" x14ac:dyDescent="0.2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ht="15.75" customHeight="1" x14ac:dyDescent="0.2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ht="15.75" customHeight="1" x14ac:dyDescent="0.2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ht="15.75" customHeight="1" x14ac:dyDescent="0.2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ht="15.75" customHeight="1" x14ac:dyDescent="0.2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ht="15.75" customHeight="1" x14ac:dyDescent="0.2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ht="15.75" customHeight="1" x14ac:dyDescent="0.2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ht="15.75" customHeight="1" x14ac:dyDescent="0.2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ht="15.75" customHeight="1" x14ac:dyDescent="0.2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ht="15.75" customHeight="1" x14ac:dyDescent="0.2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ht="15.75" customHeight="1" x14ac:dyDescent="0.2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ht="15.75" customHeight="1" x14ac:dyDescent="0.2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ht="15.75" customHeight="1" x14ac:dyDescent="0.2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ht="15.75" customHeight="1" x14ac:dyDescent="0.2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ht="15.75" customHeight="1" x14ac:dyDescent="0.2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ht="15.75" customHeight="1" x14ac:dyDescent="0.2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ht="15.75" customHeight="1" x14ac:dyDescent="0.2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ht="15.75" customHeight="1" x14ac:dyDescent="0.2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ht="15.75" customHeight="1" x14ac:dyDescent="0.2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ht="15.75" customHeight="1" x14ac:dyDescent="0.2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ht="15.75" customHeight="1" x14ac:dyDescent="0.2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ht="15.75" customHeight="1" x14ac:dyDescent="0.2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ht="15.75" customHeight="1" x14ac:dyDescent="0.2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ht="15.75" customHeight="1" x14ac:dyDescent="0.2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ht="15.75" customHeight="1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ht="15.75" customHeight="1" x14ac:dyDescent="0.2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ht="15.75" customHeight="1" x14ac:dyDescent="0.2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ht="15.75" customHeight="1" x14ac:dyDescent="0.2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ht="15.75" customHeight="1" x14ac:dyDescent="0.2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ht="15.75" customHeight="1" x14ac:dyDescent="0.2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ht="15.75" customHeight="1" x14ac:dyDescent="0.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ht="15.75" customHeight="1" x14ac:dyDescent="0.2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ht="15.75" customHeight="1" x14ac:dyDescent="0.2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ht="15.75" customHeight="1" x14ac:dyDescent="0.2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ht="15.75" customHeight="1" x14ac:dyDescent="0.2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ht="15.75" customHeight="1" x14ac:dyDescent="0.2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ht="15.75" customHeight="1" x14ac:dyDescent="0.2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ht="15.75" customHeight="1" x14ac:dyDescent="0.2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ht="15.75" customHeight="1" x14ac:dyDescent="0.2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ht="15.75" customHeight="1" x14ac:dyDescent="0.2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ht="15.75" customHeight="1" x14ac:dyDescent="0.2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ht="15.75" customHeight="1" x14ac:dyDescent="0.2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ht="15.75" customHeight="1" x14ac:dyDescent="0.2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ht="15.75" customHeight="1" x14ac:dyDescent="0.2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ht="15.75" customHeight="1" x14ac:dyDescent="0.2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ht="15.75" customHeight="1" x14ac:dyDescent="0.2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ht="15.75" customHeight="1" x14ac:dyDescent="0.2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ht="15.75" customHeight="1" x14ac:dyDescent="0.2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ht="15.75" customHeight="1" x14ac:dyDescent="0.2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ht="15.75" customHeight="1" x14ac:dyDescent="0.2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ht="15.75" customHeight="1" x14ac:dyDescent="0.2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ht="15.75" customHeight="1" x14ac:dyDescent="0.2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ht="15.75" customHeight="1" x14ac:dyDescent="0.2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ht="15.75" customHeight="1" x14ac:dyDescent="0.2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ht="15.75" customHeight="1" x14ac:dyDescent="0.2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ht="15.75" customHeight="1" x14ac:dyDescent="0.2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ht="15.75" customHeight="1" x14ac:dyDescent="0.2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ht="15.75" customHeight="1" x14ac:dyDescent="0.2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ht="15.75" customHeight="1" x14ac:dyDescent="0.2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ht="15.75" customHeight="1" x14ac:dyDescent="0.2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ht="15.75" customHeight="1" x14ac:dyDescent="0.2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ht="15.75" customHeight="1" x14ac:dyDescent="0.2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ht="15.75" customHeight="1" x14ac:dyDescent="0.2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ht="15.75" customHeight="1" x14ac:dyDescent="0.2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ht="15.75" customHeight="1" x14ac:dyDescent="0.2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ht="15.75" customHeight="1" x14ac:dyDescent="0.2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ht="15.75" customHeight="1" x14ac:dyDescent="0.2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ht="15.75" customHeight="1" x14ac:dyDescent="0.2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ht="15.75" customHeight="1" x14ac:dyDescent="0.2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ht="15.75" customHeight="1" x14ac:dyDescent="0.2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ht="15.75" customHeight="1" x14ac:dyDescent="0.2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ht="15.75" customHeight="1" x14ac:dyDescent="0.2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ht="15.75" customHeight="1" x14ac:dyDescent="0.2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ht="15.75" customHeight="1" x14ac:dyDescent="0.2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ht="15.75" customHeight="1" x14ac:dyDescent="0.2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ht="15.75" customHeight="1" x14ac:dyDescent="0.2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ht="15.75" customHeight="1" x14ac:dyDescent="0.2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ht="15.75" customHeight="1" x14ac:dyDescent="0.2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ht="15.75" customHeight="1" x14ac:dyDescent="0.2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ht="15.75" customHeight="1" x14ac:dyDescent="0.2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ht="15.75" customHeight="1" x14ac:dyDescent="0.2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ht="15.75" customHeight="1" x14ac:dyDescent="0.2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ht="15.75" customHeight="1" x14ac:dyDescent="0.2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ht="15.75" customHeight="1" x14ac:dyDescent="0.2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ht="15.75" customHeight="1" x14ac:dyDescent="0.2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ht="15.75" customHeight="1" x14ac:dyDescent="0.2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ht="15.75" customHeight="1" x14ac:dyDescent="0.2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ht="15.75" customHeight="1" x14ac:dyDescent="0.2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ht="15.75" customHeight="1" x14ac:dyDescent="0.2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ht="15.75" customHeight="1" x14ac:dyDescent="0.2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ht="15.75" customHeight="1" x14ac:dyDescent="0.2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ht="15.75" customHeight="1" x14ac:dyDescent="0.2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ht="15.75" customHeight="1" x14ac:dyDescent="0.2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ht="15.75" customHeight="1" x14ac:dyDescent="0.2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ht="15.75" customHeight="1" x14ac:dyDescent="0.2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ht="15.75" customHeight="1" x14ac:dyDescent="0.2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ht="15.75" customHeight="1" x14ac:dyDescent="0.2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ht="15.75" customHeight="1" x14ac:dyDescent="0.2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ht="15.75" customHeight="1" x14ac:dyDescent="0.2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ht="15.75" customHeight="1" x14ac:dyDescent="0.2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ht="15.75" customHeight="1" x14ac:dyDescent="0.2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ht="15.75" customHeight="1" x14ac:dyDescent="0.2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ht="15.75" customHeight="1" x14ac:dyDescent="0.2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ht="15.75" customHeight="1" x14ac:dyDescent="0.2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ht="15.75" customHeight="1" x14ac:dyDescent="0.2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ht="15.75" customHeight="1" x14ac:dyDescent="0.2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ht="15.75" customHeight="1" x14ac:dyDescent="0.2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ht="15.75" customHeight="1" x14ac:dyDescent="0.2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ht="15.75" customHeight="1" x14ac:dyDescent="0.2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ht="15.75" customHeight="1" x14ac:dyDescent="0.2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ht="15.75" customHeight="1" x14ac:dyDescent="0.2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ht="15.75" customHeight="1" x14ac:dyDescent="0.2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ht="15.75" customHeight="1" x14ac:dyDescent="0.2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ht="15.75" customHeight="1" x14ac:dyDescent="0.2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ht="15.75" customHeight="1" x14ac:dyDescent="0.2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ht="15.75" customHeight="1" x14ac:dyDescent="0.2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ht="15.75" customHeight="1" x14ac:dyDescent="0.2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ht="15.75" customHeight="1" x14ac:dyDescent="0.2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ht="15.75" customHeight="1" x14ac:dyDescent="0.2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ht="15.75" customHeight="1" x14ac:dyDescent="0.2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ht="15.75" customHeight="1" x14ac:dyDescent="0.2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ht="15.75" customHeight="1" x14ac:dyDescent="0.2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ht="15.75" customHeight="1" x14ac:dyDescent="0.2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ht="15.75" customHeight="1" x14ac:dyDescent="0.2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ht="15.75" customHeight="1" x14ac:dyDescent="0.2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ht="15.75" customHeight="1" x14ac:dyDescent="0.2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ht="15.75" customHeight="1" x14ac:dyDescent="0.2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ht="15.75" customHeight="1" x14ac:dyDescent="0.2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ht="15.75" customHeight="1" x14ac:dyDescent="0.2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ht="15.75" customHeight="1" x14ac:dyDescent="0.2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ht="15.75" customHeight="1" x14ac:dyDescent="0.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ht="15.75" customHeight="1" x14ac:dyDescent="0.2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ht="15.75" customHeight="1" x14ac:dyDescent="0.2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ht="15.75" customHeight="1" x14ac:dyDescent="0.2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ht="15.75" customHeight="1" x14ac:dyDescent="0.2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ht="15.75" customHeight="1" x14ac:dyDescent="0.2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ht="15.75" customHeight="1" x14ac:dyDescent="0.2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ht="15.75" customHeight="1" x14ac:dyDescent="0.2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ht="15.75" customHeight="1" x14ac:dyDescent="0.2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ht="15.75" customHeight="1" x14ac:dyDescent="0.2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ht="15.75" customHeight="1" x14ac:dyDescent="0.2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ht="15.75" customHeight="1" x14ac:dyDescent="0.2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ht="15.75" customHeight="1" x14ac:dyDescent="0.2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ht="15.75" customHeight="1" x14ac:dyDescent="0.2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ht="15.75" customHeight="1" x14ac:dyDescent="0.2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ht="15.75" customHeight="1" x14ac:dyDescent="0.2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15.75" customHeight="1" x14ac:dyDescent="0.2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ht="15.75" customHeight="1" x14ac:dyDescent="0.2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ht="15.75" customHeight="1" x14ac:dyDescent="0.2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15.75" customHeight="1" x14ac:dyDescent="0.2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15.75" customHeight="1" x14ac:dyDescent="0.2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ht="15.75" customHeight="1" x14ac:dyDescent="0.2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ht="15.75" customHeight="1" x14ac:dyDescent="0.2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ht="15.75" customHeight="1" x14ac:dyDescent="0.2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15.75" customHeight="1" x14ac:dyDescent="0.2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ht="15.75" customHeight="1" x14ac:dyDescent="0.2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ht="15.75" customHeight="1" x14ac:dyDescent="0.2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ht="15.75" customHeight="1" x14ac:dyDescent="0.2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ht="15.75" customHeight="1" x14ac:dyDescent="0.2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ht="15.75" customHeight="1" x14ac:dyDescent="0.2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ht="15.75" customHeight="1" x14ac:dyDescent="0.2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ht="15.75" customHeight="1" x14ac:dyDescent="0.2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15.75" customHeight="1" x14ac:dyDescent="0.2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ht="15.75" customHeight="1" x14ac:dyDescent="0.2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 ht="15.75" customHeight="1" x14ac:dyDescent="0.2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 ht="15.75" customHeight="1" x14ac:dyDescent="0.2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 ht="15.75" customHeight="1" x14ac:dyDescent="0.2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 ht="15.75" customHeight="1" x14ac:dyDescent="0.2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 ht="15.75" customHeight="1" x14ac:dyDescent="0.2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 ht="15.75" customHeight="1" x14ac:dyDescent="0.2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 ht="15.75" customHeight="1" x14ac:dyDescent="0.2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 ht="15.75" customHeight="1" x14ac:dyDescent="0.2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 ht="15.75" customHeight="1" x14ac:dyDescent="0.2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 ht="15.75" customHeight="1" x14ac:dyDescent="0.2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 ht="15.75" customHeight="1" x14ac:dyDescent="0.2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 ht="15.75" customHeight="1" x14ac:dyDescent="0.2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 ht="15.75" customHeight="1" x14ac:dyDescent="0.2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 ht="15.75" customHeight="1" x14ac:dyDescent="0.2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 ht="15.75" customHeight="1" x14ac:dyDescent="0.2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 ht="15.75" customHeight="1" x14ac:dyDescent="0.2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 ht="15.75" customHeight="1" x14ac:dyDescent="0.2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 ht="15.75" customHeight="1" x14ac:dyDescent="0.2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 ht="15.75" customHeight="1" x14ac:dyDescent="0.2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 ht="15.75" customHeight="1" x14ac:dyDescent="0.2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 ht="15.75" customHeight="1" x14ac:dyDescent="0.2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 ht="15.75" customHeight="1" x14ac:dyDescent="0.2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 ht="15.75" customHeight="1" x14ac:dyDescent="0.2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 ht="15.75" customHeight="1" x14ac:dyDescent="0.2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 ht="15.75" customHeight="1" x14ac:dyDescent="0.2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 ht="15.75" customHeight="1" x14ac:dyDescent="0.2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 ht="15.75" customHeight="1" x14ac:dyDescent="0.2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 ht="15.75" customHeight="1" x14ac:dyDescent="0.25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 ht="15.75" customHeight="1" x14ac:dyDescent="0.25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 ht="15.75" customHeight="1" x14ac:dyDescent="0.25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 ht="15.75" customHeight="1" x14ac:dyDescent="0.25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 ht="15.75" customHeight="1" x14ac:dyDescent="0.25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 ht="15.75" customHeight="1" x14ac:dyDescent="0.25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 ht="15.75" customHeight="1" x14ac:dyDescent="0.25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 ht="15.75" customHeight="1" x14ac:dyDescent="0.25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 ht="15.75" customHeight="1" x14ac:dyDescent="0.25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 ht="15.75" customHeight="1" x14ac:dyDescent="0.2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 ht="15.75" customHeight="1" x14ac:dyDescent="0.25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 ht="15.75" customHeight="1" x14ac:dyDescent="0.25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 ht="15.75" customHeight="1" x14ac:dyDescent="0.25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 ht="15.75" customHeight="1" x14ac:dyDescent="0.25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 ht="15.75" customHeight="1" x14ac:dyDescent="0.2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2">
    <mergeCell ref="B1:D1"/>
    <mergeCell ref="F1:H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965"/>
  </sheetPr>
  <dimension ref="A1:Z1002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7.85546875" customWidth="1"/>
    <col min="2" max="2" width="24.28515625" customWidth="1"/>
    <col min="3" max="3" width="32.42578125" customWidth="1"/>
    <col min="4" max="4" width="0.140625" hidden="1" customWidth="1"/>
    <col min="6" max="6" width="14.85546875" customWidth="1"/>
    <col min="8" max="8" width="17.28515625" customWidth="1"/>
    <col min="10" max="10" width="16" customWidth="1"/>
    <col min="15" max="15" width="17" customWidth="1"/>
  </cols>
  <sheetData>
    <row r="1" spans="1:26" ht="6.75" customHeight="1" x14ac:dyDescent="0.25">
      <c r="A1" s="1"/>
      <c r="B1" s="1"/>
      <c r="C1" s="1"/>
      <c r="D1" s="39"/>
      <c r="E1" s="4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8.25" customHeight="1" x14ac:dyDescent="0.25">
      <c r="A2" s="1"/>
      <c r="B2" s="271" t="s">
        <v>41</v>
      </c>
      <c r="C2" s="272"/>
      <c r="D2" s="39"/>
      <c r="E2" s="4"/>
      <c r="F2" s="1"/>
      <c r="G2" s="1"/>
      <c r="H2" s="4"/>
      <c r="I2" s="1"/>
      <c r="J2" s="1"/>
      <c r="K2" s="273"/>
      <c r="L2" s="274"/>
      <c r="M2" s="274"/>
      <c r="N2" s="274"/>
      <c r="O2" s="27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40" t="s">
        <v>1</v>
      </c>
      <c r="C3" s="41" t="s">
        <v>42</v>
      </c>
      <c r="D3" s="39"/>
      <c r="E3" s="4"/>
      <c r="F3" s="1"/>
      <c r="G3" s="42"/>
      <c r="H3" s="43"/>
      <c r="I3" s="44"/>
      <c r="J3" s="1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"/>
      <c r="B4" s="45" t="s">
        <v>43</v>
      </c>
      <c r="C4" s="46">
        <f t="array" ref="C4:D4">'Gerenciamento Custo'!D42:E42</f>
        <v>1505613.76</v>
      </c>
      <c r="D4" s="39">
        <v>0</v>
      </c>
      <c r="E4" s="4"/>
      <c r="F4" s="1"/>
      <c r="G4" s="16"/>
      <c r="H4" s="47" t="s">
        <v>44</v>
      </c>
      <c r="I4" s="48">
        <v>0.05</v>
      </c>
      <c r="J4" s="49">
        <f t="shared" ref="J4:J10" si="0">I4*$C$4</f>
        <v>75280.688000000009</v>
      </c>
      <c r="K4" s="4"/>
      <c r="L4" s="4">
        <f>SUM(J4:J6)-12000</f>
        <v>665526.19200000004</v>
      </c>
      <c r="M4" s="4"/>
      <c r="N4" s="4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"/>
      <c r="B5" s="50" t="s">
        <v>45</v>
      </c>
      <c r="C5" s="51">
        <f t="array" ref="C5:D5">'Gerenciamento Custo'!F42:G42</f>
        <v>1004567.74</v>
      </c>
      <c r="D5" s="39">
        <v>0</v>
      </c>
      <c r="E5" s="4"/>
      <c r="F5" s="1"/>
      <c r="G5" s="1"/>
      <c r="H5" s="47" t="s">
        <v>46</v>
      </c>
      <c r="I5" s="48">
        <v>0.15</v>
      </c>
      <c r="J5" s="49">
        <f t="shared" si="0"/>
        <v>225842.06399999998</v>
      </c>
      <c r="K5" s="1"/>
      <c r="L5" s="4"/>
      <c r="M5" s="1"/>
      <c r="N5" s="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"/>
      <c r="B6" s="52" t="s">
        <v>47</v>
      </c>
      <c r="C6" s="53">
        <f t="array" ref="C6:D6">'Gerenciamento Custo'!J42:K42</f>
        <v>5132</v>
      </c>
      <c r="D6" s="39">
        <v>0</v>
      </c>
      <c r="E6" s="4"/>
      <c r="F6" s="1"/>
      <c r="G6" s="1"/>
      <c r="H6" s="54" t="s">
        <v>48</v>
      </c>
      <c r="I6" s="55">
        <v>0.25</v>
      </c>
      <c r="J6" s="56">
        <f t="shared" si="0"/>
        <v>376403.44</v>
      </c>
      <c r="K6" s="1"/>
      <c r="L6" s="4"/>
      <c r="M6" s="1"/>
      <c r="N6" s="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"/>
      <c r="B7" s="52" t="s">
        <v>49</v>
      </c>
      <c r="C7" s="53">
        <f t="array" ref="C7:D7">'Gerenciamento Custo'!L42:M42</f>
        <v>4750</v>
      </c>
      <c r="D7" s="39">
        <v>0</v>
      </c>
      <c r="E7" s="4"/>
      <c r="F7" s="1"/>
      <c r="G7" s="1"/>
      <c r="H7" s="54" t="s">
        <v>50</v>
      </c>
      <c r="I7" s="55">
        <v>0.2</v>
      </c>
      <c r="J7" s="56">
        <f t="shared" si="0"/>
        <v>301122.75200000004</v>
      </c>
      <c r="K7" s="1"/>
      <c r="L7" s="1"/>
      <c r="M7" s="1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"/>
      <c r="B8" s="57" t="s">
        <v>51</v>
      </c>
      <c r="C8" s="58">
        <f>C6+C7</f>
        <v>9882</v>
      </c>
      <c r="D8" s="39"/>
      <c r="E8" s="4"/>
      <c r="F8" s="1"/>
      <c r="G8" s="1"/>
      <c r="H8" s="54" t="s">
        <v>52</v>
      </c>
      <c r="I8" s="55">
        <v>0.2</v>
      </c>
      <c r="J8" s="56">
        <f t="shared" si="0"/>
        <v>301122.75200000004</v>
      </c>
      <c r="K8" s="1"/>
      <c r="L8" s="1"/>
      <c r="M8" s="1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"/>
      <c r="B9" s="59" t="s">
        <v>53</v>
      </c>
      <c r="C9" s="60">
        <f>C5-C8</f>
        <v>994685.74</v>
      </c>
      <c r="D9" s="39"/>
      <c r="E9" s="4"/>
      <c r="F9" s="4"/>
      <c r="G9" s="1"/>
      <c r="H9" s="54" t="s">
        <v>54</v>
      </c>
      <c r="I9" s="55">
        <v>0.1</v>
      </c>
      <c r="J9" s="56">
        <f t="shared" si="0"/>
        <v>150561.37600000002</v>
      </c>
      <c r="K9" s="1"/>
      <c r="L9" s="1"/>
      <c r="M9" s="1"/>
      <c r="N9" s="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"/>
      <c r="B10" s="61"/>
      <c r="C10" s="61"/>
      <c r="D10" s="39"/>
      <c r="E10" s="4"/>
      <c r="F10" s="1"/>
      <c r="G10" s="1"/>
      <c r="H10" s="62" t="s">
        <v>55</v>
      </c>
      <c r="I10" s="63">
        <v>0.05</v>
      </c>
      <c r="J10" s="64">
        <f t="shared" si="0"/>
        <v>75280.688000000009</v>
      </c>
      <c r="K10" s="1"/>
      <c r="L10" s="1"/>
      <c r="M10" s="1"/>
      <c r="N10" s="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"/>
      <c r="B11" s="65" t="s">
        <v>56</v>
      </c>
      <c r="C11" s="66">
        <v>0</v>
      </c>
      <c r="D11" s="39"/>
      <c r="E11" s="4"/>
      <c r="F11" s="1"/>
      <c r="G11" s="1"/>
      <c r="H11" s="43"/>
      <c r="I11" s="44">
        <f t="shared" ref="I11:J11" si="1">SUM(I4:I10)</f>
        <v>1</v>
      </c>
      <c r="J11" s="43">
        <f t="shared" si="1"/>
        <v>1505613.7600000002</v>
      </c>
      <c r="K11" s="1"/>
      <c r="L11" s="1"/>
      <c r="M11" s="1"/>
      <c r="N11" s="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"/>
      <c r="B12" s="67" t="s">
        <v>57</v>
      </c>
      <c r="C12" s="68">
        <f>J4+J5</f>
        <v>301122.75199999998</v>
      </c>
      <c r="D12" s="39"/>
      <c r="E12" s="4"/>
      <c r="F12" s="1"/>
      <c r="G12" s="1"/>
      <c r="H12" s="4"/>
      <c r="I12" s="1"/>
      <c r="J12" s="1"/>
      <c r="K12" s="1"/>
      <c r="L12" s="1"/>
      <c r="M12" s="1"/>
      <c r="N12" s="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"/>
      <c r="B13" s="59" t="s">
        <v>58</v>
      </c>
      <c r="C13" s="60">
        <f>C4-C12</f>
        <v>1204491.0079999999</v>
      </c>
      <c r="D13" s="69"/>
      <c r="E13" s="4"/>
      <c r="F13" s="1"/>
      <c r="G13" s="1"/>
      <c r="H13" s="4"/>
      <c r="I13" s="1"/>
      <c r="J13" s="1"/>
      <c r="K13" s="1"/>
      <c r="L13" s="1"/>
      <c r="M13" s="1"/>
      <c r="N13" s="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"/>
      <c r="B14" s="1"/>
      <c r="C14" s="1"/>
      <c r="D14" s="39"/>
      <c r="E14" s="4"/>
      <c r="F14" s="1"/>
      <c r="G14" s="1"/>
      <c r="H14" s="4"/>
      <c r="I14" s="1"/>
      <c r="J14" s="1"/>
      <c r="K14" s="1"/>
      <c r="L14" s="1"/>
      <c r="M14" s="1"/>
      <c r="N14" s="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"/>
      <c r="B15" s="275" t="s">
        <v>59</v>
      </c>
      <c r="C15" s="270"/>
      <c r="D15" s="39"/>
      <c r="E15" s="4"/>
      <c r="F15" s="1"/>
      <c r="G15" s="1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"/>
      <c r="B16" s="70" t="s">
        <v>60</v>
      </c>
      <c r="C16" s="71">
        <f>C4-C5-C17-C18-C24</f>
        <v>253967.80272000004</v>
      </c>
      <c r="D16" s="39"/>
      <c r="E16" s="72">
        <f>C16/C4</f>
        <v>0.16868058028375088</v>
      </c>
      <c r="F16" s="4">
        <f t="shared" ref="F16:F18" si="2">C16/3.5</f>
        <v>72562.229348571433</v>
      </c>
      <c r="G16" s="1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"/>
      <c r="B17" s="70" t="s">
        <v>61</v>
      </c>
      <c r="C17" s="71">
        <f>C4*0.103</f>
        <v>155078.21727999998</v>
      </c>
      <c r="D17" s="39"/>
      <c r="E17" s="72">
        <f>C17/C4</f>
        <v>0.10299999999999999</v>
      </c>
      <c r="F17" s="4">
        <f t="shared" si="2"/>
        <v>44308.062079999996</v>
      </c>
      <c r="G17" s="1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1"/>
      <c r="B18" s="70" t="s">
        <v>62</v>
      </c>
      <c r="C18" s="71">
        <f>16000*3.5</f>
        <v>56000</v>
      </c>
      <c r="D18" s="39"/>
      <c r="E18" s="72">
        <f>C18/C4</f>
        <v>3.7194134038732486E-2</v>
      </c>
      <c r="F18" s="4">
        <f t="shared" si="2"/>
        <v>16000</v>
      </c>
      <c r="G18" s="1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39"/>
      <c r="E19" s="4"/>
      <c r="F19" s="1"/>
      <c r="G19" s="1"/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hidden="1" customHeight="1" x14ac:dyDescent="0.25">
      <c r="A20" s="1"/>
      <c r="B20" s="276" t="s">
        <v>63</v>
      </c>
      <c r="C20" s="270"/>
      <c r="D20" s="39"/>
      <c r="E20" s="4"/>
      <c r="F20" s="1"/>
      <c r="G20" s="1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hidden="1" customHeight="1" x14ac:dyDescent="0.25">
      <c r="A21" s="1"/>
      <c r="B21" s="70" t="s">
        <v>64</v>
      </c>
      <c r="C21" s="71">
        <f>C4-C8-C22</f>
        <v>1340653.54272</v>
      </c>
      <c r="D21" s="39"/>
      <c r="E21" s="72">
        <f>C21/C4</f>
        <v>0.89043656370409363</v>
      </c>
      <c r="F21" s="4">
        <f t="shared" ref="F21:F22" si="3">C21/3</f>
        <v>446884.51423999999</v>
      </c>
      <c r="G21" s="1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hidden="1" customHeight="1" x14ac:dyDescent="0.25">
      <c r="A22" s="1"/>
      <c r="B22" s="70" t="s">
        <v>61</v>
      </c>
      <c r="C22" s="71">
        <f>C17</f>
        <v>155078.21727999998</v>
      </c>
      <c r="D22" s="39"/>
      <c r="E22" s="72">
        <f>C22/C4</f>
        <v>0.10299999999999999</v>
      </c>
      <c r="F22" s="4">
        <f t="shared" si="3"/>
        <v>51692.73909333333</v>
      </c>
      <c r="G22" s="1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"/>
      <c r="B23" s="276" t="s">
        <v>65</v>
      </c>
      <c r="C23" s="270"/>
      <c r="D23" s="39"/>
      <c r="E23" s="4"/>
      <c r="F23" s="1"/>
      <c r="G23" s="1"/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1"/>
      <c r="B24" s="70" t="s">
        <v>66</v>
      </c>
      <c r="C24" s="71">
        <v>36000</v>
      </c>
      <c r="D24" s="39"/>
      <c r="E24" s="4"/>
      <c r="F24" s="1"/>
      <c r="G24" s="1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1"/>
      <c r="B25" s="73" t="s">
        <v>67</v>
      </c>
      <c r="C25" s="74">
        <v>12000</v>
      </c>
      <c r="D25" s="39"/>
      <c r="E25" s="4"/>
      <c r="F25" s="1"/>
      <c r="G25" s="1"/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1"/>
      <c r="B26" s="73" t="s">
        <v>68</v>
      </c>
      <c r="C26" s="74"/>
      <c r="D26" s="39"/>
      <c r="E26" s="4"/>
      <c r="F26" s="1"/>
      <c r="G26" s="1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"/>
      <c r="B27" s="73" t="s">
        <v>69</v>
      </c>
      <c r="C27" s="74"/>
      <c r="D27" s="39"/>
      <c r="E27" s="4"/>
      <c r="F27" s="1"/>
      <c r="G27" s="1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1"/>
      <c r="B28" s="73" t="s">
        <v>70</v>
      </c>
      <c r="C28" s="74"/>
      <c r="D28" s="39"/>
      <c r="E28" s="4"/>
      <c r="F28" s="1"/>
      <c r="G28" s="1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39"/>
      <c r="E29" s="4"/>
      <c r="F29" s="1"/>
      <c r="G29" s="1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39"/>
      <c r="E30" s="4"/>
      <c r="F30" s="1"/>
      <c r="G30" s="1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39"/>
      <c r="E31" s="4"/>
      <c r="F31" s="1"/>
      <c r="G31" s="1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39"/>
      <c r="E32" s="4"/>
      <c r="F32" s="1"/>
      <c r="G32" s="1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39"/>
      <c r="E33" s="4"/>
      <c r="F33" s="1"/>
      <c r="G33" s="1"/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39"/>
      <c r="E34" s="4"/>
      <c r="F34" s="1"/>
      <c r="G34" s="1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39"/>
      <c r="E35" s="4"/>
      <c r="F35" s="1"/>
      <c r="G35" s="1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39"/>
      <c r="E36" s="4"/>
      <c r="F36" s="1"/>
      <c r="G36" s="1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39"/>
      <c r="E37" s="4"/>
      <c r="F37" s="1"/>
      <c r="G37" s="1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39"/>
      <c r="E38" s="4"/>
      <c r="F38" s="1"/>
      <c r="G38" s="1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39"/>
      <c r="E39" s="4"/>
      <c r="F39" s="1"/>
      <c r="G39" s="1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39"/>
      <c r="E40" s="4"/>
      <c r="F40" s="1"/>
      <c r="G40" s="1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39"/>
      <c r="E41" s="4"/>
      <c r="F41" s="1"/>
      <c r="G41" s="1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39"/>
      <c r="E42" s="4"/>
      <c r="F42" s="1"/>
      <c r="G42" s="1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39"/>
      <c r="E43" s="4"/>
      <c r="F43" s="1"/>
      <c r="G43" s="1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39"/>
      <c r="E44" s="4"/>
      <c r="F44" s="1"/>
      <c r="G44" s="1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39"/>
      <c r="E45" s="4"/>
      <c r="F45" s="1"/>
      <c r="G45" s="1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39"/>
      <c r="E46" s="4"/>
      <c r="F46" s="1"/>
      <c r="G46" s="1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39"/>
      <c r="E47" s="4"/>
      <c r="F47" s="1"/>
      <c r="G47" s="1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39"/>
      <c r="E48" s="4"/>
      <c r="F48" s="1"/>
      <c r="G48" s="1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39"/>
      <c r="E49" s="4"/>
      <c r="F49" s="1"/>
      <c r="G49" s="1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39"/>
      <c r="E50" s="4"/>
      <c r="F50" s="1"/>
      <c r="G50" s="1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39"/>
      <c r="E51" s="4"/>
      <c r="F51" s="1"/>
      <c r="G51" s="1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39"/>
      <c r="E52" s="4"/>
      <c r="F52" s="1"/>
      <c r="G52" s="1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39"/>
      <c r="E53" s="4"/>
      <c r="F53" s="1"/>
      <c r="G53" s="1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39"/>
      <c r="E54" s="4"/>
      <c r="F54" s="1"/>
      <c r="G54" s="1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39"/>
      <c r="E55" s="4"/>
      <c r="F55" s="1"/>
      <c r="G55" s="1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39"/>
      <c r="E56" s="4"/>
      <c r="F56" s="1"/>
      <c r="G56" s="1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39"/>
      <c r="E57" s="4"/>
      <c r="F57" s="1"/>
      <c r="G57" s="1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39"/>
      <c r="E58" s="4"/>
      <c r="F58" s="1"/>
      <c r="G58" s="1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39"/>
      <c r="E59" s="4"/>
      <c r="F59" s="1"/>
      <c r="G59" s="1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39"/>
      <c r="E60" s="4"/>
      <c r="F60" s="1"/>
      <c r="G60" s="1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39"/>
      <c r="E61" s="4"/>
      <c r="F61" s="1"/>
      <c r="G61" s="1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39"/>
      <c r="E62" s="4"/>
      <c r="F62" s="1"/>
      <c r="G62" s="1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39"/>
      <c r="E63" s="4"/>
      <c r="F63" s="1"/>
      <c r="G63" s="1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39"/>
      <c r="E64" s="4"/>
      <c r="F64" s="1"/>
      <c r="G64" s="1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39"/>
      <c r="E65" s="4"/>
      <c r="F65" s="1"/>
      <c r="G65" s="1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39"/>
      <c r="E66" s="4"/>
      <c r="F66" s="1"/>
      <c r="G66" s="1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39"/>
      <c r="E67" s="4"/>
      <c r="F67" s="1"/>
      <c r="G67" s="1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39"/>
      <c r="E68" s="4"/>
      <c r="F68" s="1"/>
      <c r="G68" s="1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39"/>
      <c r="E69" s="4"/>
      <c r="F69" s="1"/>
      <c r="G69" s="1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39"/>
      <c r="E70" s="4"/>
      <c r="F70" s="1"/>
      <c r="G70" s="1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39"/>
      <c r="E71" s="4"/>
      <c r="F71" s="1"/>
      <c r="G71" s="1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39"/>
      <c r="E72" s="4"/>
      <c r="F72" s="1"/>
      <c r="G72" s="1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39"/>
      <c r="E73" s="4"/>
      <c r="F73" s="1"/>
      <c r="G73" s="1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39"/>
      <c r="E74" s="4"/>
      <c r="F74" s="1"/>
      <c r="G74" s="1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39"/>
      <c r="E75" s="4"/>
      <c r="F75" s="1"/>
      <c r="G75" s="1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39"/>
      <c r="E76" s="4"/>
      <c r="F76" s="1"/>
      <c r="G76" s="1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39"/>
      <c r="E77" s="4"/>
      <c r="F77" s="1"/>
      <c r="G77" s="1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39"/>
      <c r="E78" s="4"/>
      <c r="F78" s="1"/>
      <c r="G78" s="1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39"/>
      <c r="E79" s="4"/>
      <c r="F79" s="1"/>
      <c r="G79" s="1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39"/>
      <c r="E80" s="4"/>
      <c r="F80" s="1"/>
      <c r="G80" s="1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39"/>
      <c r="E81" s="4"/>
      <c r="F81" s="1"/>
      <c r="G81" s="1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39"/>
      <c r="E82" s="4"/>
      <c r="F82" s="1"/>
      <c r="G82" s="1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39"/>
      <c r="E83" s="4"/>
      <c r="F83" s="1"/>
      <c r="G83" s="1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39"/>
      <c r="E84" s="4"/>
      <c r="F84" s="1"/>
      <c r="G84" s="1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39"/>
      <c r="E85" s="4"/>
      <c r="F85" s="1"/>
      <c r="G85" s="1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39"/>
      <c r="E86" s="4"/>
      <c r="F86" s="1"/>
      <c r="G86" s="1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39"/>
      <c r="E87" s="4"/>
      <c r="F87" s="1"/>
      <c r="G87" s="1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39"/>
      <c r="E88" s="4"/>
      <c r="F88" s="1"/>
      <c r="G88" s="1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39"/>
      <c r="E89" s="4"/>
      <c r="F89" s="1"/>
      <c r="G89" s="1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39"/>
      <c r="E90" s="4"/>
      <c r="F90" s="1"/>
      <c r="G90" s="1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39"/>
      <c r="E91" s="4"/>
      <c r="F91" s="1"/>
      <c r="G91" s="1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39"/>
      <c r="E92" s="4"/>
      <c r="F92" s="1"/>
      <c r="G92" s="1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39"/>
      <c r="E93" s="4"/>
      <c r="F93" s="1"/>
      <c r="G93" s="1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39"/>
      <c r="E94" s="4"/>
      <c r="F94" s="1"/>
      <c r="G94" s="1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39"/>
      <c r="E95" s="4"/>
      <c r="F95" s="1"/>
      <c r="G95" s="1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39"/>
      <c r="E96" s="4"/>
      <c r="F96" s="1"/>
      <c r="G96" s="1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39"/>
      <c r="E97" s="4"/>
      <c r="F97" s="1"/>
      <c r="G97" s="1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39"/>
      <c r="E98" s="4"/>
      <c r="F98" s="1"/>
      <c r="G98" s="1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39"/>
      <c r="E99" s="4"/>
      <c r="F99" s="1"/>
      <c r="G99" s="1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39"/>
      <c r="E100" s="4"/>
      <c r="F100" s="1"/>
      <c r="G100" s="1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39"/>
      <c r="E101" s="4"/>
      <c r="F101" s="1"/>
      <c r="G101" s="1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39"/>
      <c r="E102" s="4"/>
      <c r="F102" s="1"/>
      <c r="G102" s="1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39"/>
      <c r="E103" s="4"/>
      <c r="F103" s="1"/>
      <c r="G103" s="1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39"/>
      <c r="E104" s="4"/>
      <c r="F104" s="1"/>
      <c r="G104" s="1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39"/>
      <c r="E105" s="4"/>
      <c r="F105" s="1"/>
      <c r="G105" s="1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39"/>
      <c r="E106" s="4"/>
      <c r="F106" s="1"/>
      <c r="G106" s="1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39"/>
      <c r="E107" s="4"/>
      <c r="F107" s="1"/>
      <c r="G107" s="1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39"/>
      <c r="E108" s="4"/>
      <c r="F108" s="1"/>
      <c r="G108" s="1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39"/>
      <c r="E109" s="4"/>
      <c r="F109" s="1"/>
      <c r="G109" s="1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39"/>
      <c r="E110" s="4"/>
      <c r="F110" s="1"/>
      <c r="G110" s="1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39"/>
      <c r="E111" s="4"/>
      <c r="F111" s="1"/>
      <c r="G111" s="1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39"/>
      <c r="E112" s="4"/>
      <c r="F112" s="1"/>
      <c r="G112" s="1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39"/>
      <c r="E113" s="4"/>
      <c r="F113" s="1"/>
      <c r="G113" s="1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39"/>
      <c r="E114" s="4"/>
      <c r="F114" s="1"/>
      <c r="G114" s="1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39"/>
      <c r="E115" s="4"/>
      <c r="F115" s="1"/>
      <c r="G115" s="1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39"/>
      <c r="E116" s="4"/>
      <c r="F116" s="1"/>
      <c r="G116" s="1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39"/>
      <c r="E117" s="4"/>
      <c r="F117" s="1"/>
      <c r="G117" s="1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39"/>
      <c r="E118" s="4"/>
      <c r="F118" s="1"/>
      <c r="G118" s="1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39"/>
      <c r="E119" s="4"/>
      <c r="F119" s="1"/>
      <c r="G119" s="1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39"/>
      <c r="E120" s="4"/>
      <c r="F120" s="1"/>
      <c r="G120" s="1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39"/>
      <c r="E121" s="4"/>
      <c r="F121" s="1"/>
      <c r="G121" s="1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39"/>
      <c r="E122" s="4"/>
      <c r="F122" s="1"/>
      <c r="G122" s="1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39"/>
      <c r="E123" s="4"/>
      <c r="F123" s="1"/>
      <c r="G123" s="1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39"/>
      <c r="E124" s="4"/>
      <c r="F124" s="1"/>
      <c r="G124" s="1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39"/>
      <c r="E125" s="4"/>
      <c r="F125" s="1"/>
      <c r="G125" s="1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39"/>
      <c r="E126" s="4"/>
      <c r="F126" s="1"/>
      <c r="G126" s="1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39"/>
      <c r="E127" s="4"/>
      <c r="F127" s="1"/>
      <c r="G127" s="1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39"/>
      <c r="E128" s="4"/>
      <c r="F128" s="1"/>
      <c r="G128" s="1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39"/>
      <c r="E129" s="4"/>
      <c r="F129" s="1"/>
      <c r="G129" s="1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39"/>
      <c r="E130" s="4"/>
      <c r="F130" s="1"/>
      <c r="G130" s="1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39"/>
      <c r="E131" s="4"/>
      <c r="F131" s="1"/>
      <c r="G131" s="1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39"/>
      <c r="E132" s="4"/>
      <c r="F132" s="1"/>
      <c r="G132" s="1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39"/>
      <c r="E133" s="4"/>
      <c r="F133" s="1"/>
      <c r="G133" s="1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39"/>
      <c r="E134" s="4"/>
      <c r="F134" s="1"/>
      <c r="G134" s="1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39"/>
      <c r="E135" s="4"/>
      <c r="F135" s="1"/>
      <c r="G135" s="1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39"/>
      <c r="E136" s="4"/>
      <c r="F136" s="1"/>
      <c r="G136" s="1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39"/>
      <c r="E137" s="4"/>
      <c r="F137" s="1"/>
      <c r="G137" s="1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39"/>
      <c r="E138" s="4"/>
      <c r="F138" s="1"/>
      <c r="G138" s="1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39"/>
      <c r="E139" s="4"/>
      <c r="F139" s="1"/>
      <c r="G139" s="1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39"/>
      <c r="E140" s="4"/>
      <c r="F140" s="1"/>
      <c r="G140" s="1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39"/>
      <c r="E141" s="4"/>
      <c r="F141" s="1"/>
      <c r="G141" s="1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39"/>
      <c r="E142" s="4"/>
      <c r="F142" s="1"/>
      <c r="G142" s="1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39"/>
      <c r="E143" s="4"/>
      <c r="F143" s="1"/>
      <c r="G143" s="1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39"/>
      <c r="E144" s="4"/>
      <c r="F144" s="1"/>
      <c r="G144" s="1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39"/>
      <c r="E145" s="4"/>
      <c r="F145" s="1"/>
      <c r="G145" s="1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39"/>
      <c r="E146" s="4"/>
      <c r="F146" s="1"/>
      <c r="G146" s="1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39"/>
      <c r="E147" s="4"/>
      <c r="F147" s="1"/>
      <c r="G147" s="1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39"/>
      <c r="E148" s="4"/>
      <c r="F148" s="1"/>
      <c r="G148" s="1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39"/>
      <c r="E149" s="4"/>
      <c r="F149" s="1"/>
      <c r="G149" s="1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39"/>
      <c r="E150" s="4"/>
      <c r="F150" s="1"/>
      <c r="G150" s="1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39"/>
      <c r="E151" s="4"/>
      <c r="F151" s="1"/>
      <c r="G151" s="1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39"/>
      <c r="E152" s="4"/>
      <c r="F152" s="1"/>
      <c r="G152" s="1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39"/>
      <c r="E153" s="4"/>
      <c r="F153" s="1"/>
      <c r="G153" s="1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39"/>
      <c r="E154" s="4"/>
      <c r="F154" s="1"/>
      <c r="G154" s="1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39"/>
      <c r="E155" s="4"/>
      <c r="F155" s="1"/>
      <c r="G155" s="1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39"/>
      <c r="E156" s="4"/>
      <c r="F156" s="1"/>
      <c r="G156" s="1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39"/>
      <c r="E157" s="4"/>
      <c r="F157" s="1"/>
      <c r="G157" s="1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39"/>
      <c r="E158" s="4"/>
      <c r="F158" s="1"/>
      <c r="G158" s="1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39"/>
      <c r="E159" s="4"/>
      <c r="F159" s="1"/>
      <c r="G159" s="1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39"/>
      <c r="E160" s="4"/>
      <c r="F160" s="1"/>
      <c r="G160" s="1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39"/>
      <c r="E161" s="4"/>
      <c r="F161" s="1"/>
      <c r="G161" s="1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39"/>
      <c r="E162" s="4"/>
      <c r="F162" s="1"/>
      <c r="G162" s="1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39"/>
      <c r="E163" s="4"/>
      <c r="F163" s="1"/>
      <c r="G163" s="1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39"/>
      <c r="E164" s="4"/>
      <c r="F164" s="1"/>
      <c r="G164" s="1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39"/>
      <c r="E165" s="4"/>
      <c r="F165" s="1"/>
      <c r="G165" s="1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39"/>
      <c r="E166" s="4"/>
      <c r="F166" s="1"/>
      <c r="G166" s="1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39"/>
      <c r="E167" s="4"/>
      <c r="F167" s="1"/>
      <c r="G167" s="1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39"/>
      <c r="E168" s="4"/>
      <c r="F168" s="1"/>
      <c r="G168" s="1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39"/>
      <c r="E169" s="4"/>
      <c r="F169" s="1"/>
      <c r="G169" s="1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39"/>
      <c r="E170" s="4"/>
      <c r="F170" s="1"/>
      <c r="G170" s="1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39"/>
      <c r="E171" s="4"/>
      <c r="F171" s="1"/>
      <c r="G171" s="1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39"/>
      <c r="E172" s="4"/>
      <c r="F172" s="1"/>
      <c r="G172" s="1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39"/>
      <c r="E173" s="4"/>
      <c r="F173" s="1"/>
      <c r="G173" s="1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39"/>
      <c r="E174" s="4"/>
      <c r="F174" s="1"/>
      <c r="G174" s="1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39"/>
      <c r="E175" s="4"/>
      <c r="F175" s="1"/>
      <c r="G175" s="1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39"/>
      <c r="E176" s="4"/>
      <c r="F176" s="1"/>
      <c r="G176" s="1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39"/>
      <c r="E177" s="4"/>
      <c r="F177" s="1"/>
      <c r="G177" s="1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39"/>
      <c r="E178" s="4"/>
      <c r="F178" s="1"/>
      <c r="G178" s="1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39"/>
      <c r="E179" s="4"/>
      <c r="F179" s="1"/>
      <c r="G179" s="1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39"/>
      <c r="E180" s="4"/>
      <c r="F180" s="1"/>
      <c r="G180" s="1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39"/>
      <c r="E181" s="4"/>
      <c r="F181" s="1"/>
      <c r="G181" s="1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39"/>
      <c r="E182" s="4"/>
      <c r="F182" s="1"/>
      <c r="G182" s="1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39"/>
      <c r="E183" s="4"/>
      <c r="F183" s="1"/>
      <c r="G183" s="1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39"/>
      <c r="E184" s="4"/>
      <c r="F184" s="1"/>
      <c r="G184" s="1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39"/>
      <c r="E185" s="4"/>
      <c r="F185" s="1"/>
      <c r="G185" s="1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39"/>
      <c r="E186" s="4"/>
      <c r="F186" s="1"/>
      <c r="G186" s="1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39"/>
      <c r="E187" s="4"/>
      <c r="F187" s="1"/>
      <c r="G187" s="1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39"/>
      <c r="E188" s="4"/>
      <c r="F188" s="1"/>
      <c r="G188" s="1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39"/>
      <c r="E189" s="4"/>
      <c r="F189" s="1"/>
      <c r="G189" s="1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39"/>
      <c r="E190" s="4"/>
      <c r="F190" s="1"/>
      <c r="G190" s="1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39"/>
      <c r="E191" s="4"/>
      <c r="F191" s="1"/>
      <c r="G191" s="1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39"/>
      <c r="E192" s="4"/>
      <c r="F192" s="1"/>
      <c r="G192" s="1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39"/>
      <c r="E193" s="4"/>
      <c r="F193" s="1"/>
      <c r="G193" s="1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39"/>
      <c r="E194" s="4"/>
      <c r="F194" s="1"/>
      <c r="G194" s="1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39"/>
      <c r="E195" s="4"/>
      <c r="F195" s="1"/>
      <c r="G195" s="1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39"/>
      <c r="E196" s="4"/>
      <c r="F196" s="1"/>
      <c r="G196" s="1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39"/>
      <c r="E197" s="4"/>
      <c r="F197" s="1"/>
      <c r="G197" s="1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39"/>
      <c r="E198" s="4"/>
      <c r="F198" s="1"/>
      <c r="G198" s="1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39"/>
      <c r="E199" s="4"/>
      <c r="F199" s="1"/>
      <c r="G199" s="1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39"/>
      <c r="E200" s="4"/>
      <c r="F200" s="1"/>
      <c r="G200" s="1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39"/>
      <c r="E201" s="4"/>
      <c r="F201" s="1"/>
      <c r="G201" s="1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39"/>
      <c r="E202" s="4"/>
      <c r="F202" s="1"/>
      <c r="G202" s="1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39"/>
      <c r="E203" s="4"/>
      <c r="F203" s="1"/>
      <c r="G203" s="1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39"/>
      <c r="E204" s="4"/>
      <c r="F204" s="1"/>
      <c r="G204" s="1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39"/>
      <c r="E205" s="4"/>
      <c r="F205" s="1"/>
      <c r="G205" s="1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39"/>
      <c r="E206" s="4"/>
      <c r="F206" s="1"/>
      <c r="G206" s="1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39"/>
      <c r="E207" s="4"/>
      <c r="F207" s="1"/>
      <c r="G207" s="1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39"/>
      <c r="E208" s="4"/>
      <c r="F208" s="1"/>
      <c r="G208" s="1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39"/>
      <c r="E209" s="4"/>
      <c r="F209" s="1"/>
      <c r="G209" s="1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39"/>
      <c r="E210" s="4"/>
      <c r="F210" s="1"/>
      <c r="G210" s="1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39"/>
      <c r="E211" s="4"/>
      <c r="F211" s="1"/>
      <c r="G211" s="1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39"/>
      <c r="E212" s="4"/>
      <c r="F212" s="1"/>
      <c r="G212" s="1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39"/>
      <c r="E213" s="4"/>
      <c r="F213" s="1"/>
      <c r="G213" s="1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39"/>
      <c r="E214" s="4"/>
      <c r="F214" s="1"/>
      <c r="G214" s="1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39"/>
      <c r="E215" s="4"/>
      <c r="F215" s="1"/>
      <c r="G215" s="1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39"/>
      <c r="E216" s="4"/>
      <c r="F216" s="1"/>
      <c r="G216" s="1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39"/>
      <c r="E217" s="4"/>
      <c r="F217" s="1"/>
      <c r="G217" s="1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39"/>
      <c r="E218" s="4"/>
      <c r="F218" s="1"/>
      <c r="G218" s="1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39"/>
      <c r="E219" s="4"/>
      <c r="F219" s="1"/>
      <c r="G219" s="1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39"/>
      <c r="E220" s="4"/>
      <c r="F220" s="1"/>
      <c r="G220" s="1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39"/>
      <c r="E221" s="4"/>
      <c r="F221" s="1"/>
      <c r="G221" s="1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39"/>
      <c r="E222" s="4"/>
      <c r="F222" s="1"/>
      <c r="G222" s="1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39"/>
      <c r="E223" s="4"/>
      <c r="F223" s="1"/>
      <c r="G223" s="1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39"/>
      <c r="E224" s="4"/>
      <c r="F224" s="1"/>
      <c r="G224" s="1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39"/>
      <c r="E225" s="4"/>
      <c r="F225" s="1"/>
      <c r="G225" s="1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39"/>
      <c r="E226" s="4"/>
      <c r="F226" s="1"/>
      <c r="G226" s="1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39"/>
      <c r="E227" s="4"/>
      <c r="F227" s="1"/>
      <c r="G227" s="1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39"/>
      <c r="E228" s="4"/>
      <c r="F228" s="1"/>
      <c r="G228" s="1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39"/>
      <c r="E229" s="4"/>
      <c r="F229" s="1"/>
      <c r="G229" s="1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39"/>
      <c r="E230" s="4"/>
      <c r="F230" s="1"/>
      <c r="G230" s="1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39"/>
      <c r="E231" s="4"/>
      <c r="F231" s="1"/>
      <c r="G231" s="1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39"/>
      <c r="E232" s="4"/>
      <c r="F232" s="1"/>
      <c r="G232" s="1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39"/>
      <c r="E233" s="4"/>
      <c r="F233" s="1"/>
      <c r="G233" s="1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39"/>
      <c r="E234" s="4"/>
      <c r="F234" s="1"/>
      <c r="G234" s="1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39"/>
      <c r="E235" s="4"/>
      <c r="F235" s="1"/>
      <c r="G235" s="1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39"/>
      <c r="E236" s="4"/>
      <c r="F236" s="1"/>
      <c r="G236" s="1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39"/>
      <c r="E237" s="4"/>
      <c r="F237" s="1"/>
      <c r="G237" s="1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39"/>
      <c r="E238" s="4"/>
      <c r="F238" s="1"/>
      <c r="G238" s="1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39"/>
      <c r="E239" s="4"/>
      <c r="F239" s="1"/>
      <c r="G239" s="1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39"/>
      <c r="E240" s="4"/>
      <c r="F240" s="1"/>
      <c r="G240" s="1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39"/>
      <c r="E241" s="4"/>
      <c r="F241" s="1"/>
      <c r="G241" s="1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39"/>
      <c r="E242" s="4"/>
      <c r="F242" s="1"/>
      <c r="G242" s="1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39"/>
      <c r="E243" s="4"/>
      <c r="F243" s="1"/>
      <c r="G243" s="1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39"/>
      <c r="E244" s="4"/>
      <c r="F244" s="1"/>
      <c r="G244" s="1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39"/>
      <c r="E245" s="4"/>
      <c r="F245" s="1"/>
      <c r="G245" s="1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39"/>
      <c r="E246" s="4"/>
      <c r="F246" s="1"/>
      <c r="G246" s="1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39"/>
      <c r="E247" s="4"/>
      <c r="F247" s="1"/>
      <c r="G247" s="1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39"/>
      <c r="E248" s="4"/>
      <c r="F248" s="1"/>
      <c r="G248" s="1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39"/>
      <c r="E249" s="4"/>
      <c r="F249" s="1"/>
      <c r="G249" s="1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39"/>
      <c r="E250" s="4"/>
      <c r="F250" s="1"/>
      <c r="G250" s="1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39"/>
      <c r="E251" s="4"/>
      <c r="F251" s="1"/>
      <c r="G251" s="1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39"/>
      <c r="E252" s="4"/>
      <c r="F252" s="1"/>
      <c r="G252" s="1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39"/>
      <c r="E253" s="4"/>
      <c r="F253" s="1"/>
      <c r="G253" s="1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39"/>
      <c r="E254" s="4"/>
      <c r="F254" s="1"/>
      <c r="G254" s="1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39"/>
      <c r="E255" s="4"/>
      <c r="F255" s="1"/>
      <c r="G255" s="1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39"/>
      <c r="E256" s="4"/>
      <c r="F256" s="1"/>
      <c r="G256" s="1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39"/>
      <c r="E257" s="4"/>
      <c r="F257" s="1"/>
      <c r="G257" s="1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39"/>
      <c r="E258" s="4"/>
      <c r="F258" s="1"/>
      <c r="G258" s="1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39"/>
      <c r="E259" s="4"/>
      <c r="F259" s="1"/>
      <c r="G259" s="1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39"/>
      <c r="E260" s="4"/>
      <c r="F260" s="1"/>
      <c r="G260" s="1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39"/>
      <c r="E261" s="4"/>
      <c r="F261" s="1"/>
      <c r="G261" s="1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39"/>
      <c r="E262" s="4"/>
      <c r="F262" s="1"/>
      <c r="G262" s="1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39"/>
      <c r="E263" s="4"/>
      <c r="F263" s="1"/>
      <c r="G263" s="1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39"/>
      <c r="E264" s="4"/>
      <c r="F264" s="1"/>
      <c r="G264" s="1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39"/>
      <c r="E265" s="4"/>
      <c r="F265" s="1"/>
      <c r="G265" s="1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39"/>
      <c r="E266" s="4"/>
      <c r="F266" s="1"/>
      <c r="G266" s="1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39"/>
      <c r="E267" s="4"/>
      <c r="F267" s="1"/>
      <c r="G267" s="1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39"/>
      <c r="E268" s="4"/>
      <c r="F268" s="1"/>
      <c r="G268" s="1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39"/>
      <c r="E269" s="4"/>
      <c r="F269" s="1"/>
      <c r="G269" s="1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39"/>
      <c r="E270" s="4"/>
      <c r="F270" s="1"/>
      <c r="G270" s="1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39"/>
      <c r="E271" s="4"/>
      <c r="F271" s="1"/>
      <c r="G271" s="1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39"/>
      <c r="E272" s="4"/>
      <c r="F272" s="1"/>
      <c r="G272" s="1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39"/>
      <c r="E273" s="4"/>
      <c r="F273" s="1"/>
      <c r="G273" s="1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39"/>
      <c r="E274" s="4"/>
      <c r="F274" s="1"/>
      <c r="G274" s="1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39"/>
      <c r="E275" s="4"/>
      <c r="F275" s="1"/>
      <c r="G275" s="1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39"/>
      <c r="E276" s="4"/>
      <c r="F276" s="1"/>
      <c r="G276" s="1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39"/>
      <c r="E277" s="4"/>
      <c r="F277" s="1"/>
      <c r="G277" s="1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39"/>
      <c r="E278" s="4"/>
      <c r="F278" s="1"/>
      <c r="G278" s="1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39"/>
      <c r="E279" s="4"/>
      <c r="F279" s="1"/>
      <c r="G279" s="1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39"/>
      <c r="E280" s="4"/>
      <c r="F280" s="1"/>
      <c r="G280" s="1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39"/>
      <c r="E281" s="4"/>
      <c r="F281" s="1"/>
      <c r="G281" s="1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39"/>
      <c r="E282" s="4"/>
      <c r="F282" s="1"/>
      <c r="G282" s="1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39"/>
      <c r="E283" s="4"/>
      <c r="F283" s="1"/>
      <c r="G283" s="1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39"/>
      <c r="E284" s="4"/>
      <c r="F284" s="1"/>
      <c r="G284" s="1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39"/>
      <c r="E285" s="4"/>
      <c r="F285" s="1"/>
      <c r="G285" s="1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39"/>
      <c r="E286" s="4"/>
      <c r="F286" s="1"/>
      <c r="G286" s="1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39"/>
      <c r="E287" s="4"/>
      <c r="F287" s="1"/>
      <c r="G287" s="1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39"/>
      <c r="E288" s="4"/>
      <c r="F288" s="1"/>
      <c r="G288" s="1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39"/>
      <c r="E289" s="4"/>
      <c r="F289" s="1"/>
      <c r="G289" s="1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39"/>
      <c r="E290" s="4"/>
      <c r="F290" s="1"/>
      <c r="G290" s="1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39"/>
      <c r="E291" s="4"/>
      <c r="F291" s="1"/>
      <c r="G291" s="1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39"/>
      <c r="E292" s="4"/>
      <c r="F292" s="1"/>
      <c r="G292" s="1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39"/>
      <c r="E293" s="4"/>
      <c r="F293" s="1"/>
      <c r="G293" s="1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39"/>
      <c r="E294" s="4"/>
      <c r="F294" s="1"/>
      <c r="G294" s="1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39"/>
      <c r="E295" s="4"/>
      <c r="F295" s="1"/>
      <c r="G295" s="1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39"/>
      <c r="E296" s="4"/>
      <c r="F296" s="1"/>
      <c r="G296" s="1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39"/>
      <c r="E297" s="4"/>
      <c r="F297" s="1"/>
      <c r="G297" s="1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39"/>
      <c r="E298" s="4"/>
      <c r="F298" s="1"/>
      <c r="G298" s="1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39"/>
      <c r="E299" s="4"/>
      <c r="F299" s="1"/>
      <c r="G299" s="1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39"/>
      <c r="E300" s="4"/>
      <c r="F300" s="1"/>
      <c r="G300" s="1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39"/>
      <c r="E301" s="4"/>
      <c r="F301" s="1"/>
      <c r="G301" s="1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39"/>
      <c r="E302" s="4"/>
      <c r="F302" s="1"/>
      <c r="G302" s="1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39"/>
      <c r="E303" s="4"/>
      <c r="F303" s="1"/>
      <c r="G303" s="1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39"/>
      <c r="E304" s="4"/>
      <c r="F304" s="1"/>
      <c r="G304" s="1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39"/>
      <c r="E305" s="4"/>
      <c r="F305" s="1"/>
      <c r="G305" s="1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39"/>
      <c r="E306" s="4"/>
      <c r="F306" s="1"/>
      <c r="G306" s="1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39"/>
      <c r="E307" s="4"/>
      <c r="F307" s="1"/>
      <c r="G307" s="1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39"/>
      <c r="E308" s="4"/>
      <c r="F308" s="1"/>
      <c r="G308" s="1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39"/>
      <c r="E309" s="4"/>
      <c r="F309" s="1"/>
      <c r="G309" s="1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39"/>
      <c r="E310" s="4"/>
      <c r="F310" s="1"/>
      <c r="G310" s="1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39"/>
      <c r="E311" s="4"/>
      <c r="F311" s="1"/>
      <c r="G311" s="1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39"/>
      <c r="E312" s="4"/>
      <c r="F312" s="1"/>
      <c r="G312" s="1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39"/>
      <c r="E313" s="4"/>
      <c r="F313" s="1"/>
      <c r="G313" s="1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39"/>
      <c r="E314" s="4"/>
      <c r="F314" s="1"/>
      <c r="G314" s="1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39"/>
      <c r="E315" s="4"/>
      <c r="F315" s="1"/>
      <c r="G315" s="1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39"/>
      <c r="E316" s="4"/>
      <c r="F316" s="1"/>
      <c r="G316" s="1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39"/>
      <c r="E317" s="4"/>
      <c r="F317" s="1"/>
      <c r="G317" s="1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39"/>
      <c r="E318" s="4"/>
      <c r="F318" s="1"/>
      <c r="G318" s="1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39"/>
      <c r="E319" s="4"/>
      <c r="F319" s="1"/>
      <c r="G319" s="1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39"/>
      <c r="E320" s="4"/>
      <c r="F320" s="1"/>
      <c r="G320" s="1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39"/>
      <c r="E321" s="4"/>
      <c r="F321" s="1"/>
      <c r="G321" s="1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39"/>
      <c r="E322" s="4"/>
      <c r="F322" s="1"/>
      <c r="G322" s="1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39"/>
      <c r="E323" s="4"/>
      <c r="F323" s="1"/>
      <c r="G323" s="1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39"/>
      <c r="E324" s="4"/>
      <c r="F324" s="1"/>
      <c r="G324" s="1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39"/>
      <c r="E325" s="4"/>
      <c r="F325" s="1"/>
      <c r="G325" s="1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39"/>
      <c r="E326" s="4"/>
      <c r="F326" s="1"/>
      <c r="G326" s="1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39"/>
      <c r="E327" s="4"/>
      <c r="F327" s="1"/>
      <c r="G327" s="1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39"/>
      <c r="E328" s="4"/>
      <c r="F328" s="1"/>
      <c r="G328" s="1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39"/>
      <c r="E329" s="4"/>
      <c r="F329" s="1"/>
      <c r="G329" s="1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39"/>
      <c r="E330" s="4"/>
      <c r="F330" s="1"/>
      <c r="G330" s="1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39"/>
      <c r="E331" s="4"/>
      <c r="F331" s="1"/>
      <c r="G331" s="1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39"/>
      <c r="E332" s="4"/>
      <c r="F332" s="1"/>
      <c r="G332" s="1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39"/>
      <c r="E333" s="4"/>
      <c r="F333" s="1"/>
      <c r="G333" s="1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39"/>
      <c r="E334" s="4"/>
      <c r="F334" s="1"/>
      <c r="G334" s="1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39"/>
      <c r="E335" s="4"/>
      <c r="F335" s="1"/>
      <c r="G335" s="1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39"/>
      <c r="E336" s="4"/>
      <c r="F336" s="1"/>
      <c r="G336" s="1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39"/>
      <c r="E337" s="4"/>
      <c r="F337" s="1"/>
      <c r="G337" s="1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39"/>
      <c r="E338" s="4"/>
      <c r="F338" s="1"/>
      <c r="G338" s="1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39"/>
      <c r="E339" s="4"/>
      <c r="F339" s="1"/>
      <c r="G339" s="1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39"/>
      <c r="E340" s="4"/>
      <c r="F340" s="1"/>
      <c r="G340" s="1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39"/>
      <c r="E341" s="4"/>
      <c r="F341" s="1"/>
      <c r="G341" s="1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39"/>
      <c r="E342" s="4"/>
      <c r="F342" s="1"/>
      <c r="G342" s="1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39"/>
      <c r="E343" s="4"/>
      <c r="F343" s="1"/>
      <c r="G343" s="1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39"/>
      <c r="E344" s="4"/>
      <c r="F344" s="1"/>
      <c r="G344" s="1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39"/>
      <c r="E345" s="4"/>
      <c r="F345" s="1"/>
      <c r="G345" s="1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39"/>
      <c r="E346" s="4"/>
      <c r="F346" s="1"/>
      <c r="G346" s="1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39"/>
      <c r="E347" s="4"/>
      <c r="F347" s="1"/>
      <c r="G347" s="1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39"/>
      <c r="E348" s="4"/>
      <c r="F348" s="1"/>
      <c r="G348" s="1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39"/>
      <c r="E349" s="4"/>
      <c r="F349" s="1"/>
      <c r="G349" s="1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39"/>
      <c r="E350" s="4"/>
      <c r="F350" s="1"/>
      <c r="G350" s="1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39"/>
      <c r="E351" s="4"/>
      <c r="F351" s="1"/>
      <c r="G351" s="1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39"/>
      <c r="E352" s="4"/>
      <c r="F352" s="1"/>
      <c r="G352" s="1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39"/>
      <c r="E353" s="4"/>
      <c r="F353" s="1"/>
      <c r="G353" s="1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39"/>
      <c r="E354" s="4"/>
      <c r="F354" s="1"/>
      <c r="G354" s="1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39"/>
      <c r="E355" s="4"/>
      <c r="F355" s="1"/>
      <c r="G355" s="1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39"/>
      <c r="E356" s="4"/>
      <c r="F356" s="1"/>
      <c r="G356" s="1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39"/>
      <c r="E357" s="4"/>
      <c r="F357" s="1"/>
      <c r="G357" s="1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39"/>
      <c r="E358" s="4"/>
      <c r="F358" s="1"/>
      <c r="G358" s="1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39"/>
      <c r="E359" s="4"/>
      <c r="F359" s="1"/>
      <c r="G359" s="1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39"/>
      <c r="E360" s="4"/>
      <c r="F360" s="1"/>
      <c r="G360" s="1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39"/>
      <c r="E361" s="4"/>
      <c r="F361" s="1"/>
      <c r="G361" s="1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39"/>
      <c r="E362" s="4"/>
      <c r="F362" s="1"/>
      <c r="G362" s="1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39"/>
      <c r="E363" s="4"/>
      <c r="F363" s="1"/>
      <c r="G363" s="1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39"/>
      <c r="E364" s="4"/>
      <c r="F364" s="1"/>
      <c r="G364" s="1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39"/>
      <c r="E365" s="4"/>
      <c r="F365" s="1"/>
      <c r="G365" s="1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39"/>
      <c r="E366" s="4"/>
      <c r="F366" s="1"/>
      <c r="G366" s="1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39"/>
      <c r="E367" s="4"/>
      <c r="F367" s="1"/>
      <c r="G367" s="1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39"/>
      <c r="E368" s="4"/>
      <c r="F368" s="1"/>
      <c r="G368" s="1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39"/>
      <c r="E369" s="4"/>
      <c r="F369" s="1"/>
      <c r="G369" s="1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39"/>
      <c r="E370" s="4"/>
      <c r="F370" s="1"/>
      <c r="G370" s="1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39"/>
      <c r="E371" s="4"/>
      <c r="F371" s="1"/>
      <c r="G371" s="1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39"/>
      <c r="E372" s="4"/>
      <c r="F372" s="1"/>
      <c r="G372" s="1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39"/>
      <c r="E373" s="4"/>
      <c r="F373" s="1"/>
      <c r="G373" s="1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39"/>
      <c r="E374" s="4"/>
      <c r="F374" s="1"/>
      <c r="G374" s="1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39"/>
      <c r="E375" s="4"/>
      <c r="F375" s="1"/>
      <c r="G375" s="1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39"/>
      <c r="E376" s="4"/>
      <c r="F376" s="1"/>
      <c r="G376" s="1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39"/>
      <c r="E377" s="4"/>
      <c r="F377" s="1"/>
      <c r="G377" s="1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39"/>
      <c r="E378" s="4"/>
      <c r="F378" s="1"/>
      <c r="G378" s="1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39"/>
      <c r="E379" s="4"/>
      <c r="F379" s="1"/>
      <c r="G379" s="1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39"/>
      <c r="E380" s="4"/>
      <c r="F380" s="1"/>
      <c r="G380" s="1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39"/>
      <c r="E381" s="4"/>
      <c r="F381" s="1"/>
      <c r="G381" s="1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39"/>
      <c r="E382" s="4"/>
      <c r="F382" s="1"/>
      <c r="G382" s="1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39"/>
      <c r="E383" s="4"/>
      <c r="F383" s="1"/>
      <c r="G383" s="1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39"/>
      <c r="E384" s="4"/>
      <c r="F384" s="1"/>
      <c r="G384" s="1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39"/>
      <c r="E385" s="4"/>
      <c r="F385" s="1"/>
      <c r="G385" s="1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39"/>
      <c r="E386" s="4"/>
      <c r="F386" s="1"/>
      <c r="G386" s="1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39"/>
      <c r="E387" s="4"/>
      <c r="F387" s="1"/>
      <c r="G387" s="1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39"/>
      <c r="E388" s="4"/>
      <c r="F388" s="1"/>
      <c r="G388" s="1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39"/>
      <c r="E389" s="4"/>
      <c r="F389" s="1"/>
      <c r="G389" s="1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39"/>
      <c r="E390" s="4"/>
      <c r="F390" s="1"/>
      <c r="G390" s="1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39"/>
      <c r="E391" s="4"/>
      <c r="F391" s="1"/>
      <c r="G391" s="1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39"/>
      <c r="E392" s="4"/>
      <c r="F392" s="1"/>
      <c r="G392" s="1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39"/>
      <c r="E393" s="4"/>
      <c r="F393" s="1"/>
      <c r="G393" s="1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39"/>
      <c r="E394" s="4"/>
      <c r="F394" s="1"/>
      <c r="G394" s="1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39"/>
      <c r="E395" s="4"/>
      <c r="F395" s="1"/>
      <c r="G395" s="1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39"/>
      <c r="E396" s="4"/>
      <c r="F396" s="1"/>
      <c r="G396" s="1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39"/>
      <c r="E397" s="4"/>
      <c r="F397" s="1"/>
      <c r="G397" s="1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39"/>
      <c r="E398" s="4"/>
      <c r="F398" s="1"/>
      <c r="G398" s="1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39"/>
      <c r="E399" s="4"/>
      <c r="F399" s="1"/>
      <c r="G399" s="1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39"/>
      <c r="E400" s="4"/>
      <c r="F400" s="1"/>
      <c r="G400" s="1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39"/>
      <c r="E401" s="4"/>
      <c r="F401" s="1"/>
      <c r="G401" s="1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39"/>
      <c r="E402" s="4"/>
      <c r="F402" s="1"/>
      <c r="G402" s="1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39"/>
      <c r="E403" s="4"/>
      <c r="F403" s="1"/>
      <c r="G403" s="1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39"/>
      <c r="E404" s="4"/>
      <c r="F404" s="1"/>
      <c r="G404" s="1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39"/>
      <c r="E405" s="4"/>
      <c r="F405" s="1"/>
      <c r="G405" s="1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39"/>
      <c r="E406" s="4"/>
      <c r="F406" s="1"/>
      <c r="G406" s="1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39"/>
      <c r="E407" s="4"/>
      <c r="F407" s="1"/>
      <c r="G407" s="1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39"/>
      <c r="E408" s="4"/>
      <c r="F408" s="1"/>
      <c r="G408" s="1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39"/>
      <c r="E409" s="4"/>
      <c r="F409" s="1"/>
      <c r="G409" s="1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39"/>
      <c r="E410" s="4"/>
      <c r="F410" s="1"/>
      <c r="G410" s="1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39"/>
      <c r="E411" s="4"/>
      <c r="F411" s="1"/>
      <c r="G411" s="1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39"/>
      <c r="E412" s="4"/>
      <c r="F412" s="1"/>
      <c r="G412" s="1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39"/>
      <c r="E413" s="4"/>
      <c r="F413" s="1"/>
      <c r="G413" s="1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39"/>
      <c r="E414" s="4"/>
      <c r="F414" s="1"/>
      <c r="G414" s="1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39"/>
      <c r="E415" s="4"/>
      <c r="F415" s="1"/>
      <c r="G415" s="1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39"/>
      <c r="E416" s="4"/>
      <c r="F416" s="1"/>
      <c r="G416" s="1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39"/>
      <c r="E417" s="4"/>
      <c r="F417" s="1"/>
      <c r="G417" s="1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39"/>
      <c r="E418" s="4"/>
      <c r="F418" s="1"/>
      <c r="G418" s="1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39"/>
      <c r="E419" s="4"/>
      <c r="F419" s="1"/>
      <c r="G419" s="1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39"/>
      <c r="E420" s="4"/>
      <c r="F420" s="1"/>
      <c r="G420" s="1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39"/>
      <c r="E421" s="4"/>
      <c r="F421" s="1"/>
      <c r="G421" s="1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39"/>
      <c r="E422" s="4"/>
      <c r="F422" s="1"/>
      <c r="G422" s="1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39"/>
      <c r="E423" s="4"/>
      <c r="F423" s="1"/>
      <c r="G423" s="1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39"/>
      <c r="E424" s="4"/>
      <c r="F424" s="1"/>
      <c r="G424" s="1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39"/>
      <c r="E425" s="4"/>
      <c r="F425" s="1"/>
      <c r="G425" s="1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39"/>
      <c r="E426" s="4"/>
      <c r="F426" s="1"/>
      <c r="G426" s="1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39"/>
      <c r="E427" s="4"/>
      <c r="F427" s="1"/>
      <c r="G427" s="1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39"/>
      <c r="E428" s="4"/>
      <c r="F428" s="1"/>
      <c r="G428" s="1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39"/>
      <c r="E429" s="4"/>
      <c r="F429" s="1"/>
      <c r="G429" s="1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39"/>
      <c r="E430" s="4"/>
      <c r="F430" s="1"/>
      <c r="G430" s="1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39"/>
      <c r="E431" s="4"/>
      <c r="F431" s="1"/>
      <c r="G431" s="1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39"/>
      <c r="E432" s="4"/>
      <c r="F432" s="1"/>
      <c r="G432" s="1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39"/>
      <c r="E433" s="4"/>
      <c r="F433" s="1"/>
      <c r="G433" s="1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39"/>
      <c r="E434" s="4"/>
      <c r="F434" s="1"/>
      <c r="G434" s="1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39"/>
      <c r="E435" s="4"/>
      <c r="F435" s="1"/>
      <c r="G435" s="1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39"/>
      <c r="E436" s="4"/>
      <c r="F436" s="1"/>
      <c r="G436" s="1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39"/>
      <c r="E437" s="4"/>
      <c r="F437" s="1"/>
      <c r="G437" s="1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39"/>
      <c r="E438" s="4"/>
      <c r="F438" s="1"/>
      <c r="G438" s="1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39"/>
      <c r="E439" s="4"/>
      <c r="F439" s="1"/>
      <c r="G439" s="1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39"/>
      <c r="E440" s="4"/>
      <c r="F440" s="1"/>
      <c r="G440" s="1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39"/>
      <c r="E441" s="4"/>
      <c r="F441" s="1"/>
      <c r="G441" s="1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39"/>
      <c r="E442" s="4"/>
      <c r="F442" s="1"/>
      <c r="G442" s="1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39"/>
      <c r="E443" s="4"/>
      <c r="F443" s="1"/>
      <c r="G443" s="1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39"/>
      <c r="E444" s="4"/>
      <c r="F444" s="1"/>
      <c r="G444" s="1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39"/>
      <c r="E445" s="4"/>
      <c r="F445" s="1"/>
      <c r="G445" s="1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39"/>
      <c r="E446" s="4"/>
      <c r="F446" s="1"/>
      <c r="G446" s="1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39"/>
      <c r="E447" s="4"/>
      <c r="F447" s="1"/>
      <c r="G447" s="1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39"/>
      <c r="E448" s="4"/>
      <c r="F448" s="1"/>
      <c r="G448" s="1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39"/>
      <c r="E449" s="4"/>
      <c r="F449" s="1"/>
      <c r="G449" s="1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39"/>
      <c r="E450" s="4"/>
      <c r="F450" s="1"/>
      <c r="G450" s="1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39"/>
      <c r="E451" s="4"/>
      <c r="F451" s="1"/>
      <c r="G451" s="1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39"/>
      <c r="E452" s="4"/>
      <c r="F452" s="1"/>
      <c r="G452" s="1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39"/>
      <c r="E453" s="4"/>
      <c r="F453" s="1"/>
      <c r="G453" s="1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39"/>
      <c r="E454" s="4"/>
      <c r="F454" s="1"/>
      <c r="G454" s="1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39"/>
      <c r="E455" s="4"/>
      <c r="F455" s="1"/>
      <c r="G455" s="1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39"/>
      <c r="E456" s="4"/>
      <c r="F456" s="1"/>
      <c r="G456" s="1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39"/>
      <c r="E457" s="4"/>
      <c r="F457" s="1"/>
      <c r="G457" s="1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39"/>
      <c r="E458" s="4"/>
      <c r="F458" s="1"/>
      <c r="G458" s="1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39"/>
      <c r="E459" s="4"/>
      <c r="F459" s="1"/>
      <c r="G459" s="1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39"/>
      <c r="E460" s="4"/>
      <c r="F460" s="1"/>
      <c r="G460" s="1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39"/>
      <c r="E461" s="4"/>
      <c r="F461" s="1"/>
      <c r="G461" s="1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39"/>
      <c r="E462" s="4"/>
      <c r="F462" s="1"/>
      <c r="G462" s="1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39"/>
      <c r="E463" s="4"/>
      <c r="F463" s="1"/>
      <c r="G463" s="1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39"/>
      <c r="E464" s="4"/>
      <c r="F464" s="1"/>
      <c r="G464" s="1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39"/>
      <c r="E465" s="4"/>
      <c r="F465" s="1"/>
      <c r="G465" s="1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39"/>
      <c r="E466" s="4"/>
      <c r="F466" s="1"/>
      <c r="G466" s="1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39"/>
      <c r="E467" s="4"/>
      <c r="F467" s="1"/>
      <c r="G467" s="1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39"/>
      <c r="E468" s="4"/>
      <c r="F468" s="1"/>
      <c r="G468" s="1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39"/>
      <c r="E469" s="4"/>
      <c r="F469" s="1"/>
      <c r="G469" s="1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39"/>
      <c r="E470" s="4"/>
      <c r="F470" s="1"/>
      <c r="G470" s="1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39"/>
      <c r="E471" s="4"/>
      <c r="F471" s="1"/>
      <c r="G471" s="1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39"/>
      <c r="E472" s="4"/>
      <c r="F472" s="1"/>
      <c r="G472" s="1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39"/>
      <c r="E473" s="4"/>
      <c r="F473" s="1"/>
      <c r="G473" s="1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39"/>
      <c r="E474" s="4"/>
      <c r="F474" s="1"/>
      <c r="G474" s="1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39"/>
      <c r="E475" s="4"/>
      <c r="F475" s="1"/>
      <c r="G475" s="1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39"/>
      <c r="E476" s="4"/>
      <c r="F476" s="1"/>
      <c r="G476" s="1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39"/>
      <c r="E477" s="4"/>
      <c r="F477" s="1"/>
      <c r="G477" s="1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39"/>
      <c r="E478" s="4"/>
      <c r="F478" s="1"/>
      <c r="G478" s="1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39"/>
      <c r="E479" s="4"/>
      <c r="F479" s="1"/>
      <c r="G479" s="1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39"/>
      <c r="E480" s="4"/>
      <c r="F480" s="1"/>
      <c r="G480" s="1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39"/>
      <c r="E481" s="4"/>
      <c r="F481" s="1"/>
      <c r="G481" s="1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39"/>
      <c r="E482" s="4"/>
      <c r="F482" s="1"/>
      <c r="G482" s="1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39"/>
      <c r="E483" s="4"/>
      <c r="F483" s="1"/>
      <c r="G483" s="1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39"/>
      <c r="E484" s="4"/>
      <c r="F484" s="1"/>
      <c r="G484" s="1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39"/>
      <c r="E485" s="4"/>
      <c r="F485" s="1"/>
      <c r="G485" s="1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39"/>
      <c r="E486" s="4"/>
      <c r="F486" s="1"/>
      <c r="G486" s="1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39"/>
      <c r="E487" s="4"/>
      <c r="F487" s="1"/>
      <c r="G487" s="1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39"/>
      <c r="E488" s="4"/>
      <c r="F488" s="1"/>
      <c r="G488" s="1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39"/>
      <c r="E489" s="4"/>
      <c r="F489" s="1"/>
      <c r="G489" s="1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39"/>
      <c r="E490" s="4"/>
      <c r="F490" s="1"/>
      <c r="G490" s="1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39"/>
      <c r="E491" s="4"/>
      <c r="F491" s="1"/>
      <c r="G491" s="1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39"/>
      <c r="E492" s="4"/>
      <c r="F492" s="1"/>
      <c r="G492" s="1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39"/>
      <c r="E493" s="4"/>
      <c r="F493" s="1"/>
      <c r="G493" s="1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39"/>
      <c r="E494" s="4"/>
      <c r="F494" s="1"/>
      <c r="G494" s="1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39"/>
      <c r="E495" s="4"/>
      <c r="F495" s="1"/>
      <c r="G495" s="1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39"/>
      <c r="E496" s="4"/>
      <c r="F496" s="1"/>
      <c r="G496" s="1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39"/>
      <c r="E497" s="4"/>
      <c r="F497" s="1"/>
      <c r="G497" s="1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39"/>
      <c r="E498" s="4"/>
      <c r="F498" s="1"/>
      <c r="G498" s="1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39"/>
      <c r="E499" s="4"/>
      <c r="F499" s="1"/>
      <c r="G499" s="1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39"/>
      <c r="E500" s="4"/>
      <c r="F500" s="1"/>
      <c r="G500" s="1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39"/>
      <c r="E501" s="4"/>
      <c r="F501" s="1"/>
      <c r="G501" s="1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39"/>
      <c r="E502" s="4"/>
      <c r="F502" s="1"/>
      <c r="G502" s="1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39"/>
      <c r="E503" s="4"/>
      <c r="F503" s="1"/>
      <c r="G503" s="1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39"/>
      <c r="E504" s="4"/>
      <c r="F504" s="1"/>
      <c r="G504" s="1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39"/>
      <c r="E505" s="4"/>
      <c r="F505" s="1"/>
      <c r="G505" s="1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39"/>
      <c r="E506" s="4"/>
      <c r="F506" s="1"/>
      <c r="G506" s="1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39"/>
      <c r="E507" s="4"/>
      <c r="F507" s="1"/>
      <c r="G507" s="1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39"/>
      <c r="E508" s="4"/>
      <c r="F508" s="1"/>
      <c r="G508" s="1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39"/>
      <c r="E509" s="4"/>
      <c r="F509" s="1"/>
      <c r="G509" s="1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39"/>
      <c r="E510" s="4"/>
      <c r="F510" s="1"/>
      <c r="G510" s="1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39"/>
      <c r="E511" s="4"/>
      <c r="F511" s="1"/>
      <c r="G511" s="1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39"/>
      <c r="E512" s="4"/>
      <c r="F512" s="1"/>
      <c r="G512" s="1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39"/>
      <c r="E513" s="4"/>
      <c r="F513" s="1"/>
      <c r="G513" s="1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39"/>
      <c r="E514" s="4"/>
      <c r="F514" s="1"/>
      <c r="G514" s="1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39"/>
      <c r="E515" s="4"/>
      <c r="F515" s="1"/>
      <c r="G515" s="1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39"/>
      <c r="E516" s="4"/>
      <c r="F516" s="1"/>
      <c r="G516" s="1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39"/>
      <c r="E517" s="4"/>
      <c r="F517" s="1"/>
      <c r="G517" s="1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39"/>
      <c r="E518" s="4"/>
      <c r="F518" s="1"/>
      <c r="G518" s="1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39"/>
      <c r="E519" s="4"/>
      <c r="F519" s="1"/>
      <c r="G519" s="1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39"/>
      <c r="E520" s="4"/>
      <c r="F520" s="1"/>
      <c r="G520" s="1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39"/>
      <c r="E521" s="4"/>
      <c r="F521" s="1"/>
      <c r="G521" s="1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39"/>
      <c r="E522" s="4"/>
      <c r="F522" s="1"/>
      <c r="G522" s="1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39"/>
      <c r="E523" s="4"/>
      <c r="F523" s="1"/>
      <c r="G523" s="1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39"/>
      <c r="E524" s="4"/>
      <c r="F524" s="1"/>
      <c r="G524" s="1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39"/>
      <c r="E525" s="4"/>
      <c r="F525" s="1"/>
      <c r="G525" s="1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39"/>
      <c r="E526" s="4"/>
      <c r="F526" s="1"/>
      <c r="G526" s="1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39"/>
      <c r="E527" s="4"/>
      <c r="F527" s="1"/>
      <c r="G527" s="1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39"/>
      <c r="E528" s="4"/>
      <c r="F528" s="1"/>
      <c r="G528" s="1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39"/>
      <c r="E529" s="4"/>
      <c r="F529" s="1"/>
      <c r="G529" s="1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39"/>
      <c r="E530" s="4"/>
      <c r="F530" s="1"/>
      <c r="G530" s="1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39"/>
      <c r="E531" s="4"/>
      <c r="F531" s="1"/>
      <c r="G531" s="1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39"/>
      <c r="E532" s="4"/>
      <c r="F532" s="1"/>
      <c r="G532" s="1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39"/>
      <c r="E533" s="4"/>
      <c r="F533" s="1"/>
      <c r="G533" s="1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39"/>
      <c r="E534" s="4"/>
      <c r="F534" s="1"/>
      <c r="G534" s="1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39"/>
      <c r="E535" s="4"/>
      <c r="F535" s="1"/>
      <c r="G535" s="1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39"/>
      <c r="E536" s="4"/>
      <c r="F536" s="1"/>
      <c r="G536" s="1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39"/>
      <c r="E537" s="4"/>
      <c r="F537" s="1"/>
      <c r="G537" s="1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39"/>
      <c r="E538" s="4"/>
      <c r="F538" s="1"/>
      <c r="G538" s="1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39"/>
      <c r="E539" s="4"/>
      <c r="F539" s="1"/>
      <c r="G539" s="1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39"/>
      <c r="E540" s="4"/>
      <c r="F540" s="1"/>
      <c r="G540" s="1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39"/>
      <c r="E541" s="4"/>
      <c r="F541" s="1"/>
      <c r="G541" s="1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39"/>
      <c r="E542" s="4"/>
      <c r="F542" s="1"/>
      <c r="G542" s="1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39"/>
      <c r="E543" s="4"/>
      <c r="F543" s="1"/>
      <c r="G543" s="1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39"/>
      <c r="E544" s="4"/>
      <c r="F544" s="1"/>
      <c r="G544" s="1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39"/>
      <c r="E545" s="4"/>
      <c r="F545" s="1"/>
      <c r="G545" s="1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39"/>
      <c r="E546" s="4"/>
      <c r="F546" s="1"/>
      <c r="G546" s="1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39"/>
      <c r="E547" s="4"/>
      <c r="F547" s="1"/>
      <c r="G547" s="1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39"/>
      <c r="E548" s="4"/>
      <c r="F548" s="1"/>
      <c r="G548" s="1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39"/>
      <c r="E549" s="4"/>
      <c r="F549" s="1"/>
      <c r="G549" s="1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39"/>
      <c r="E550" s="4"/>
      <c r="F550" s="1"/>
      <c r="G550" s="1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39"/>
      <c r="E551" s="4"/>
      <c r="F551" s="1"/>
      <c r="G551" s="1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39"/>
      <c r="E552" s="4"/>
      <c r="F552" s="1"/>
      <c r="G552" s="1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39"/>
      <c r="E553" s="4"/>
      <c r="F553" s="1"/>
      <c r="G553" s="1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39"/>
      <c r="E554" s="4"/>
      <c r="F554" s="1"/>
      <c r="G554" s="1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39"/>
      <c r="E555" s="4"/>
      <c r="F555" s="1"/>
      <c r="G555" s="1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39"/>
      <c r="E556" s="4"/>
      <c r="F556" s="1"/>
      <c r="G556" s="1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39"/>
      <c r="E557" s="4"/>
      <c r="F557" s="1"/>
      <c r="G557" s="1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39"/>
      <c r="E558" s="4"/>
      <c r="F558" s="1"/>
      <c r="G558" s="1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39"/>
      <c r="E559" s="4"/>
      <c r="F559" s="1"/>
      <c r="G559" s="1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39"/>
      <c r="E560" s="4"/>
      <c r="F560" s="1"/>
      <c r="G560" s="1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39"/>
      <c r="E561" s="4"/>
      <c r="F561" s="1"/>
      <c r="G561" s="1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39"/>
      <c r="E562" s="4"/>
      <c r="F562" s="1"/>
      <c r="G562" s="1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39"/>
      <c r="E563" s="4"/>
      <c r="F563" s="1"/>
      <c r="G563" s="1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39"/>
      <c r="E564" s="4"/>
      <c r="F564" s="1"/>
      <c r="G564" s="1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39"/>
      <c r="E565" s="4"/>
      <c r="F565" s="1"/>
      <c r="G565" s="1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39"/>
      <c r="E566" s="4"/>
      <c r="F566" s="1"/>
      <c r="G566" s="1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39"/>
      <c r="E567" s="4"/>
      <c r="F567" s="1"/>
      <c r="G567" s="1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39"/>
      <c r="E568" s="4"/>
      <c r="F568" s="1"/>
      <c r="G568" s="1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39"/>
      <c r="E569" s="4"/>
      <c r="F569" s="1"/>
      <c r="G569" s="1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39"/>
      <c r="E570" s="4"/>
      <c r="F570" s="1"/>
      <c r="G570" s="1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39"/>
      <c r="E571" s="4"/>
      <c r="F571" s="1"/>
      <c r="G571" s="1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39"/>
      <c r="E572" s="4"/>
      <c r="F572" s="1"/>
      <c r="G572" s="1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39"/>
      <c r="E573" s="4"/>
      <c r="F573" s="1"/>
      <c r="G573" s="1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39"/>
      <c r="E574" s="4"/>
      <c r="F574" s="1"/>
      <c r="G574" s="1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39"/>
      <c r="E575" s="4"/>
      <c r="F575" s="1"/>
      <c r="G575" s="1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39"/>
      <c r="E576" s="4"/>
      <c r="F576" s="1"/>
      <c r="G576" s="1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39"/>
      <c r="E577" s="4"/>
      <c r="F577" s="1"/>
      <c r="G577" s="1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39"/>
      <c r="E578" s="4"/>
      <c r="F578" s="1"/>
      <c r="G578" s="1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39"/>
      <c r="E579" s="4"/>
      <c r="F579" s="1"/>
      <c r="G579" s="1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39"/>
      <c r="E580" s="4"/>
      <c r="F580" s="1"/>
      <c r="G580" s="1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39"/>
      <c r="E581" s="4"/>
      <c r="F581" s="1"/>
      <c r="G581" s="1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39"/>
      <c r="E582" s="4"/>
      <c r="F582" s="1"/>
      <c r="G582" s="1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39"/>
      <c r="E583" s="4"/>
      <c r="F583" s="1"/>
      <c r="G583" s="1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39"/>
      <c r="E584" s="4"/>
      <c r="F584" s="1"/>
      <c r="G584" s="1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39"/>
      <c r="E585" s="4"/>
      <c r="F585" s="1"/>
      <c r="G585" s="1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39"/>
      <c r="E586" s="4"/>
      <c r="F586" s="1"/>
      <c r="G586" s="1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39"/>
      <c r="E587" s="4"/>
      <c r="F587" s="1"/>
      <c r="G587" s="1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39"/>
      <c r="E588" s="4"/>
      <c r="F588" s="1"/>
      <c r="G588" s="1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39"/>
      <c r="E589" s="4"/>
      <c r="F589" s="1"/>
      <c r="G589" s="1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39"/>
      <c r="E590" s="4"/>
      <c r="F590" s="1"/>
      <c r="G590" s="1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39"/>
      <c r="E591" s="4"/>
      <c r="F591" s="1"/>
      <c r="G591" s="1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39"/>
      <c r="E592" s="4"/>
      <c r="F592" s="1"/>
      <c r="G592" s="1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39"/>
      <c r="E593" s="4"/>
      <c r="F593" s="1"/>
      <c r="G593" s="1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39"/>
      <c r="E594" s="4"/>
      <c r="F594" s="1"/>
      <c r="G594" s="1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39"/>
      <c r="E595" s="4"/>
      <c r="F595" s="1"/>
      <c r="G595" s="1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39"/>
      <c r="E596" s="4"/>
      <c r="F596" s="1"/>
      <c r="G596" s="1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39"/>
      <c r="E597" s="4"/>
      <c r="F597" s="1"/>
      <c r="G597" s="1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39"/>
      <c r="E598" s="4"/>
      <c r="F598" s="1"/>
      <c r="G598" s="1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39"/>
      <c r="E599" s="4"/>
      <c r="F599" s="1"/>
      <c r="G599" s="1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39"/>
      <c r="E600" s="4"/>
      <c r="F600" s="1"/>
      <c r="G600" s="1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39"/>
      <c r="E601" s="4"/>
      <c r="F601" s="1"/>
      <c r="G601" s="1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39"/>
      <c r="E602" s="4"/>
      <c r="F602" s="1"/>
      <c r="G602" s="1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39"/>
      <c r="E603" s="4"/>
      <c r="F603" s="1"/>
      <c r="G603" s="1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39"/>
      <c r="E604" s="4"/>
      <c r="F604" s="1"/>
      <c r="G604" s="1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39"/>
      <c r="E605" s="4"/>
      <c r="F605" s="1"/>
      <c r="G605" s="1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39"/>
      <c r="E606" s="4"/>
      <c r="F606" s="1"/>
      <c r="G606" s="1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39"/>
      <c r="E607" s="4"/>
      <c r="F607" s="1"/>
      <c r="G607" s="1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39"/>
      <c r="E608" s="4"/>
      <c r="F608" s="1"/>
      <c r="G608" s="1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39"/>
      <c r="E609" s="4"/>
      <c r="F609" s="1"/>
      <c r="G609" s="1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39"/>
      <c r="E610" s="4"/>
      <c r="F610" s="1"/>
      <c r="G610" s="1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39"/>
      <c r="E611" s="4"/>
      <c r="F611" s="1"/>
      <c r="G611" s="1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39"/>
      <c r="E612" s="4"/>
      <c r="F612" s="1"/>
      <c r="G612" s="1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39"/>
      <c r="E613" s="4"/>
      <c r="F613" s="1"/>
      <c r="G613" s="1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39"/>
      <c r="E614" s="4"/>
      <c r="F614" s="1"/>
      <c r="G614" s="1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39"/>
      <c r="E615" s="4"/>
      <c r="F615" s="1"/>
      <c r="G615" s="1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39"/>
      <c r="E616" s="4"/>
      <c r="F616" s="1"/>
      <c r="G616" s="1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39"/>
      <c r="E617" s="4"/>
      <c r="F617" s="1"/>
      <c r="G617" s="1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39"/>
      <c r="E618" s="4"/>
      <c r="F618" s="1"/>
      <c r="G618" s="1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39"/>
      <c r="E619" s="4"/>
      <c r="F619" s="1"/>
      <c r="G619" s="1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39"/>
      <c r="E620" s="4"/>
      <c r="F620" s="1"/>
      <c r="G620" s="1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39"/>
      <c r="E621" s="4"/>
      <c r="F621" s="1"/>
      <c r="G621" s="1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39"/>
      <c r="E622" s="4"/>
      <c r="F622" s="1"/>
      <c r="G622" s="1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39"/>
      <c r="E623" s="4"/>
      <c r="F623" s="1"/>
      <c r="G623" s="1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39"/>
      <c r="E624" s="4"/>
      <c r="F624" s="1"/>
      <c r="G624" s="1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39"/>
      <c r="E625" s="4"/>
      <c r="F625" s="1"/>
      <c r="G625" s="1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39"/>
      <c r="E626" s="4"/>
      <c r="F626" s="1"/>
      <c r="G626" s="1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39"/>
      <c r="E627" s="4"/>
      <c r="F627" s="1"/>
      <c r="G627" s="1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39"/>
      <c r="E628" s="4"/>
      <c r="F628" s="1"/>
      <c r="G628" s="1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39"/>
      <c r="E629" s="4"/>
      <c r="F629" s="1"/>
      <c r="G629" s="1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39"/>
      <c r="E630" s="4"/>
      <c r="F630" s="1"/>
      <c r="G630" s="1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39"/>
      <c r="E631" s="4"/>
      <c r="F631" s="1"/>
      <c r="G631" s="1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39"/>
      <c r="E632" s="4"/>
      <c r="F632" s="1"/>
      <c r="G632" s="1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39"/>
      <c r="E633" s="4"/>
      <c r="F633" s="1"/>
      <c r="G633" s="1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39"/>
      <c r="E634" s="4"/>
      <c r="F634" s="1"/>
      <c r="G634" s="1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39"/>
      <c r="E635" s="4"/>
      <c r="F635" s="1"/>
      <c r="G635" s="1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39"/>
      <c r="E636" s="4"/>
      <c r="F636" s="1"/>
      <c r="G636" s="1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39"/>
      <c r="E637" s="4"/>
      <c r="F637" s="1"/>
      <c r="G637" s="1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39"/>
      <c r="E638" s="4"/>
      <c r="F638" s="1"/>
      <c r="G638" s="1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39"/>
      <c r="E639" s="4"/>
      <c r="F639" s="1"/>
      <c r="G639" s="1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39"/>
      <c r="E640" s="4"/>
      <c r="F640" s="1"/>
      <c r="G640" s="1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39"/>
      <c r="E641" s="4"/>
      <c r="F641" s="1"/>
      <c r="G641" s="1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39"/>
      <c r="E642" s="4"/>
      <c r="F642" s="1"/>
      <c r="G642" s="1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39"/>
      <c r="E643" s="4"/>
      <c r="F643" s="1"/>
      <c r="G643" s="1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39"/>
      <c r="E644" s="4"/>
      <c r="F644" s="1"/>
      <c r="G644" s="1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39"/>
      <c r="E645" s="4"/>
      <c r="F645" s="1"/>
      <c r="G645" s="1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39"/>
      <c r="E646" s="4"/>
      <c r="F646" s="1"/>
      <c r="G646" s="1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39"/>
      <c r="E647" s="4"/>
      <c r="F647" s="1"/>
      <c r="G647" s="1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39"/>
      <c r="E648" s="4"/>
      <c r="F648" s="1"/>
      <c r="G648" s="1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39"/>
      <c r="E649" s="4"/>
      <c r="F649" s="1"/>
      <c r="G649" s="1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39"/>
      <c r="E650" s="4"/>
      <c r="F650" s="1"/>
      <c r="G650" s="1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39"/>
      <c r="E651" s="4"/>
      <c r="F651" s="1"/>
      <c r="G651" s="1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39"/>
      <c r="E652" s="4"/>
      <c r="F652" s="1"/>
      <c r="G652" s="1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39"/>
      <c r="E653" s="4"/>
      <c r="F653" s="1"/>
      <c r="G653" s="1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39"/>
      <c r="E654" s="4"/>
      <c r="F654" s="1"/>
      <c r="G654" s="1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39"/>
      <c r="E655" s="4"/>
      <c r="F655" s="1"/>
      <c r="G655" s="1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39"/>
      <c r="E656" s="4"/>
      <c r="F656" s="1"/>
      <c r="G656" s="1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39"/>
      <c r="E657" s="4"/>
      <c r="F657" s="1"/>
      <c r="G657" s="1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39"/>
      <c r="E658" s="4"/>
      <c r="F658" s="1"/>
      <c r="G658" s="1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39"/>
      <c r="E659" s="4"/>
      <c r="F659" s="1"/>
      <c r="G659" s="1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39"/>
      <c r="E660" s="4"/>
      <c r="F660" s="1"/>
      <c r="G660" s="1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39"/>
      <c r="E661" s="4"/>
      <c r="F661" s="1"/>
      <c r="G661" s="1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39"/>
      <c r="E662" s="4"/>
      <c r="F662" s="1"/>
      <c r="G662" s="1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39"/>
      <c r="E663" s="4"/>
      <c r="F663" s="1"/>
      <c r="G663" s="1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39"/>
      <c r="E664" s="4"/>
      <c r="F664" s="1"/>
      <c r="G664" s="1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39"/>
      <c r="E665" s="4"/>
      <c r="F665" s="1"/>
      <c r="G665" s="1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39"/>
      <c r="E666" s="4"/>
      <c r="F666" s="1"/>
      <c r="G666" s="1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39"/>
      <c r="E667" s="4"/>
      <c r="F667" s="1"/>
      <c r="G667" s="1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39"/>
      <c r="E668" s="4"/>
      <c r="F668" s="1"/>
      <c r="G668" s="1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39"/>
      <c r="E669" s="4"/>
      <c r="F669" s="1"/>
      <c r="G669" s="1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39"/>
      <c r="E670" s="4"/>
      <c r="F670" s="1"/>
      <c r="G670" s="1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39"/>
      <c r="E671" s="4"/>
      <c r="F671" s="1"/>
      <c r="G671" s="1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39"/>
      <c r="E672" s="4"/>
      <c r="F672" s="1"/>
      <c r="G672" s="1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39"/>
      <c r="E673" s="4"/>
      <c r="F673" s="1"/>
      <c r="G673" s="1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39"/>
      <c r="E674" s="4"/>
      <c r="F674" s="1"/>
      <c r="G674" s="1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39"/>
      <c r="E675" s="4"/>
      <c r="F675" s="1"/>
      <c r="G675" s="1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39"/>
      <c r="E676" s="4"/>
      <c r="F676" s="1"/>
      <c r="G676" s="1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39"/>
      <c r="E677" s="4"/>
      <c r="F677" s="1"/>
      <c r="G677" s="1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39"/>
      <c r="E678" s="4"/>
      <c r="F678" s="1"/>
      <c r="G678" s="1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39"/>
      <c r="E679" s="4"/>
      <c r="F679" s="1"/>
      <c r="G679" s="1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39"/>
      <c r="E680" s="4"/>
      <c r="F680" s="1"/>
      <c r="G680" s="1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39"/>
      <c r="E681" s="4"/>
      <c r="F681" s="1"/>
      <c r="G681" s="1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39"/>
      <c r="E682" s="4"/>
      <c r="F682" s="1"/>
      <c r="G682" s="1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39"/>
      <c r="E683" s="4"/>
      <c r="F683" s="1"/>
      <c r="G683" s="1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39"/>
      <c r="E684" s="4"/>
      <c r="F684" s="1"/>
      <c r="G684" s="1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39"/>
      <c r="E685" s="4"/>
      <c r="F685" s="1"/>
      <c r="G685" s="1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39"/>
      <c r="E686" s="4"/>
      <c r="F686" s="1"/>
      <c r="G686" s="1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39"/>
      <c r="E687" s="4"/>
      <c r="F687" s="1"/>
      <c r="G687" s="1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39"/>
      <c r="E688" s="4"/>
      <c r="F688" s="1"/>
      <c r="G688" s="1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39"/>
      <c r="E689" s="4"/>
      <c r="F689" s="1"/>
      <c r="G689" s="1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39"/>
      <c r="E690" s="4"/>
      <c r="F690" s="1"/>
      <c r="G690" s="1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39"/>
      <c r="E691" s="4"/>
      <c r="F691" s="1"/>
      <c r="G691" s="1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39"/>
      <c r="E692" s="4"/>
      <c r="F692" s="1"/>
      <c r="G692" s="1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39"/>
      <c r="E693" s="4"/>
      <c r="F693" s="1"/>
      <c r="G693" s="1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39"/>
      <c r="E694" s="4"/>
      <c r="F694" s="1"/>
      <c r="G694" s="1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39"/>
      <c r="E695" s="4"/>
      <c r="F695" s="1"/>
      <c r="G695" s="1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39"/>
      <c r="E696" s="4"/>
      <c r="F696" s="1"/>
      <c r="G696" s="1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39"/>
      <c r="E697" s="4"/>
      <c r="F697" s="1"/>
      <c r="G697" s="1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39"/>
      <c r="E698" s="4"/>
      <c r="F698" s="1"/>
      <c r="G698" s="1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39"/>
      <c r="E699" s="4"/>
      <c r="F699" s="1"/>
      <c r="G699" s="1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39"/>
      <c r="E700" s="4"/>
      <c r="F700" s="1"/>
      <c r="G700" s="1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39"/>
      <c r="E701" s="4"/>
      <c r="F701" s="1"/>
      <c r="G701" s="1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39"/>
      <c r="E702" s="4"/>
      <c r="F702" s="1"/>
      <c r="G702" s="1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39"/>
      <c r="E703" s="4"/>
      <c r="F703" s="1"/>
      <c r="G703" s="1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39"/>
      <c r="E704" s="4"/>
      <c r="F704" s="1"/>
      <c r="G704" s="1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39"/>
      <c r="E705" s="4"/>
      <c r="F705" s="1"/>
      <c r="G705" s="1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39"/>
      <c r="E706" s="4"/>
      <c r="F706" s="1"/>
      <c r="G706" s="1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39"/>
      <c r="E707" s="4"/>
      <c r="F707" s="1"/>
      <c r="G707" s="1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39"/>
      <c r="E708" s="4"/>
      <c r="F708" s="1"/>
      <c r="G708" s="1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39"/>
      <c r="E709" s="4"/>
      <c r="F709" s="1"/>
      <c r="G709" s="1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39"/>
      <c r="E710" s="4"/>
      <c r="F710" s="1"/>
      <c r="G710" s="1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39"/>
      <c r="E711" s="4"/>
      <c r="F711" s="1"/>
      <c r="G711" s="1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39"/>
      <c r="E712" s="4"/>
      <c r="F712" s="1"/>
      <c r="G712" s="1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39"/>
      <c r="E713" s="4"/>
      <c r="F713" s="1"/>
      <c r="G713" s="1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39"/>
      <c r="E714" s="4"/>
      <c r="F714" s="1"/>
      <c r="G714" s="1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39"/>
      <c r="E715" s="4"/>
      <c r="F715" s="1"/>
      <c r="G715" s="1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39"/>
      <c r="E716" s="4"/>
      <c r="F716" s="1"/>
      <c r="G716" s="1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39"/>
      <c r="E717" s="4"/>
      <c r="F717" s="1"/>
      <c r="G717" s="1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39"/>
      <c r="E718" s="4"/>
      <c r="F718" s="1"/>
      <c r="G718" s="1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39"/>
      <c r="E719" s="4"/>
      <c r="F719" s="1"/>
      <c r="G719" s="1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39"/>
      <c r="E720" s="4"/>
      <c r="F720" s="1"/>
      <c r="G720" s="1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39"/>
      <c r="E721" s="4"/>
      <c r="F721" s="1"/>
      <c r="G721" s="1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39"/>
      <c r="E722" s="4"/>
      <c r="F722" s="1"/>
      <c r="G722" s="1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39"/>
      <c r="E723" s="4"/>
      <c r="F723" s="1"/>
      <c r="G723" s="1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39"/>
      <c r="E724" s="4"/>
      <c r="F724" s="1"/>
      <c r="G724" s="1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39"/>
      <c r="E725" s="4"/>
      <c r="F725" s="1"/>
      <c r="G725" s="1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39"/>
      <c r="E726" s="4"/>
      <c r="F726" s="1"/>
      <c r="G726" s="1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39"/>
      <c r="E727" s="4"/>
      <c r="F727" s="1"/>
      <c r="G727" s="1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39"/>
      <c r="E728" s="4"/>
      <c r="F728" s="1"/>
      <c r="G728" s="1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39"/>
      <c r="E729" s="4"/>
      <c r="F729" s="1"/>
      <c r="G729" s="1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39"/>
      <c r="E730" s="4"/>
      <c r="F730" s="1"/>
      <c r="G730" s="1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39"/>
      <c r="E731" s="4"/>
      <c r="F731" s="1"/>
      <c r="G731" s="1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39"/>
      <c r="E732" s="4"/>
      <c r="F732" s="1"/>
      <c r="G732" s="1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39"/>
      <c r="E733" s="4"/>
      <c r="F733" s="1"/>
      <c r="G733" s="1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39"/>
      <c r="E734" s="4"/>
      <c r="F734" s="1"/>
      <c r="G734" s="1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39"/>
      <c r="E735" s="4"/>
      <c r="F735" s="1"/>
      <c r="G735" s="1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39"/>
      <c r="E736" s="4"/>
      <c r="F736" s="1"/>
      <c r="G736" s="1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39"/>
      <c r="E737" s="4"/>
      <c r="F737" s="1"/>
      <c r="G737" s="1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39"/>
      <c r="E738" s="4"/>
      <c r="F738" s="1"/>
      <c r="G738" s="1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39"/>
      <c r="E739" s="4"/>
      <c r="F739" s="1"/>
      <c r="G739" s="1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39"/>
      <c r="E740" s="4"/>
      <c r="F740" s="1"/>
      <c r="G740" s="1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39"/>
      <c r="E741" s="4"/>
      <c r="F741" s="1"/>
      <c r="G741" s="1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39"/>
      <c r="E742" s="4"/>
      <c r="F742" s="1"/>
      <c r="G742" s="1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39"/>
      <c r="E743" s="4"/>
      <c r="F743" s="1"/>
      <c r="G743" s="1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39"/>
      <c r="E744" s="4"/>
      <c r="F744" s="1"/>
      <c r="G744" s="1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39"/>
      <c r="E745" s="4"/>
      <c r="F745" s="1"/>
      <c r="G745" s="1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39"/>
      <c r="E746" s="4"/>
      <c r="F746" s="1"/>
      <c r="G746" s="1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39"/>
      <c r="E747" s="4"/>
      <c r="F747" s="1"/>
      <c r="G747" s="1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39"/>
      <c r="E748" s="4"/>
      <c r="F748" s="1"/>
      <c r="G748" s="1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39"/>
      <c r="E749" s="4"/>
      <c r="F749" s="1"/>
      <c r="G749" s="1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39"/>
      <c r="E750" s="4"/>
      <c r="F750" s="1"/>
      <c r="G750" s="1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39"/>
      <c r="E751" s="4"/>
      <c r="F751" s="1"/>
      <c r="G751" s="1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39"/>
      <c r="E752" s="4"/>
      <c r="F752" s="1"/>
      <c r="G752" s="1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39"/>
      <c r="E753" s="4"/>
      <c r="F753" s="1"/>
      <c r="G753" s="1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39"/>
      <c r="E754" s="4"/>
      <c r="F754" s="1"/>
      <c r="G754" s="1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39"/>
      <c r="E755" s="4"/>
      <c r="F755" s="1"/>
      <c r="G755" s="1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39"/>
      <c r="E756" s="4"/>
      <c r="F756" s="1"/>
      <c r="G756" s="1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39"/>
      <c r="E757" s="4"/>
      <c r="F757" s="1"/>
      <c r="G757" s="1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39"/>
      <c r="E758" s="4"/>
      <c r="F758" s="1"/>
      <c r="G758" s="1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39"/>
      <c r="E759" s="4"/>
      <c r="F759" s="1"/>
      <c r="G759" s="1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39"/>
      <c r="E760" s="4"/>
      <c r="F760" s="1"/>
      <c r="G760" s="1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39"/>
      <c r="E761" s="4"/>
      <c r="F761" s="1"/>
      <c r="G761" s="1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39"/>
      <c r="E762" s="4"/>
      <c r="F762" s="1"/>
      <c r="G762" s="1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39"/>
      <c r="E763" s="4"/>
      <c r="F763" s="1"/>
      <c r="G763" s="1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39"/>
      <c r="E764" s="4"/>
      <c r="F764" s="1"/>
      <c r="G764" s="1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39"/>
      <c r="E765" s="4"/>
      <c r="F765" s="1"/>
      <c r="G765" s="1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39"/>
      <c r="E766" s="4"/>
      <c r="F766" s="1"/>
      <c r="G766" s="1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39"/>
      <c r="E767" s="4"/>
      <c r="F767" s="1"/>
      <c r="G767" s="1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39"/>
      <c r="E768" s="4"/>
      <c r="F768" s="1"/>
      <c r="G768" s="1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39"/>
      <c r="E769" s="4"/>
      <c r="F769" s="1"/>
      <c r="G769" s="1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39"/>
      <c r="E770" s="4"/>
      <c r="F770" s="1"/>
      <c r="G770" s="1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39"/>
      <c r="E771" s="4"/>
      <c r="F771" s="1"/>
      <c r="G771" s="1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39"/>
      <c r="E772" s="4"/>
      <c r="F772" s="1"/>
      <c r="G772" s="1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39"/>
      <c r="E773" s="4"/>
      <c r="F773" s="1"/>
      <c r="G773" s="1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39"/>
      <c r="E774" s="4"/>
      <c r="F774" s="1"/>
      <c r="G774" s="1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39"/>
      <c r="E775" s="4"/>
      <c r="F775" s="1"/>
      <c r="G775" s="1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39"/>
      <c r="E776" s="4"/>
      <c r="F776" s="1"/>
      <c r="G776" s="1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39"/>
      <c r="E777" s="4"/>
      <c r="F777" s="1"/>
      <c r="G777" s="1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39"/>
      <c r="E778" s="4"/>
      <c r="F778" s="1"/>
      <c r="G778" s="1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39"/>
      <c r="E779" s="4"/>
      <c r="F779" s="1"/>
      <c r="G779" s="1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39"/>
      <c r="E780" s="4"/>
      <c r="F780" s="1"/>
      <c r="G780" s="1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39"/>
      <c r="E781" s="4"/>
      <c r="F781" s="1"/>
      <c r="G781" s="1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39"/>
      <c r="E782" s="4"/>
      <c r="F782" s="1"/>
      <c r="G782" s="1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39"/>
      <c r="E783" s="4"/>
      <c r="F783" s="1"/>
      <c r="G783" s="1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39"/>
      <c r="E784" s="4"/>
      <c r="F784" s="1"/>
      <c r="G784" s="1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39"/>
      <c r="E785" s="4"/>
      <c r="F785" s="1"/>
      <c r="G785" s="1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39"/>
      <c r="E786" s="4"/>
      <c r="F786" s="1"/>
      <c r="G786" s="1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39"/>
      <c r="E787" s="4"/>
      <c r="F787" s="1"/>
      <c r="G787" s="1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39"/>
      <c r="E788" s="4"/>
      <c r="F788" s="1"/>
      <c r="G788" s="1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39"/>
      <c r="E789" s="4"/>
      <c r="F789" s="1"/>
      <c r="G789" s="1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39"/>
      <c r="E790" s="4"/>
      <c r="F790" s="1"/>
      <c r="G790" s="1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39"/>
      <c r="E791" s="4"/>
      <c r="F791" s="1"/>
      <c r="G791" s="1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39"/>
      <c r="E792" s="4"/>
      <c r="F792" s="1"/>
      <c r="G792" s="1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39"/>
      <c r="E793" s="4"/>
      <c r="F793" s="1"/>
      <c r="G793" s="1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39"/>
      <c r="E794" s="4"/>
      <c r="F794" s="1"/>
      <c r="G794" s="1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39"/>
      <c r="E795" s="4"/>
      <c r="F795" s="1"/>
      <c r="G795" s="1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39"/>
      <c r="E796" s="4"/>
      <c r="F796" s="1"/>
      <c r="G796" s="1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39"/>
      <c r="E797" s="4"/>
      <c r="F797" s="1"/>
      <c r="G797" s="1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39"/>
      <c r="E798" s="4"/>
      <c r="F798" s="1"/>
      <c r="G798" s="1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39"/>
      <c r="E799" s="4"/>
      <c r="F799" s="1"/>
      <c r="G799" s="1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39"/>
      <c r="E800" s="4"/>
      <c r="F800" s="1"/>
      <c r="G800" s="1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39"/>
      <c r="E801" s="4"/>
      <c r="F801" s="1"/>
      <c r="G801" s="1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39"/>
      <c r="E802" s="4"/>
      <c r="F802" s="1"/>
      <c r="G802" s="1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39"/>
      <c r="E803" s="4"/>
      <c r="F803" s="1"/>
      <c r="G803" s="1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39"/>
      <c r="E804" s="4"/>
      <c r="F804" s="1"/>
      <c r="G804" s="1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39"/>
      <c r="E805" s="4"/>
      <c r="F805" s="1"/>
      <c r="G805" s="1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39"/>
      <c r="E806" s="4"/>
      <c r="F806" s="1"/>
      <c r="G806" s="1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39"/>
      <c r="E807" s="4"/>
      <c r="F807" s="1"/>
      <c r="G807" s="1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39"/>
      <c r="E808" s="4"/>
      <c r="F808" s="1"/>
      <c r="G808" s="1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39"/>
      <c r="E809" s="4"/>
      <c r="F809" s="1"/>
      <c r="G809" s="1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39"/>
      <c r="E810" s="4"/>
      <c r="F810" s="1"/>
      <c r="G810" s="1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39"/>
      <c r="E811" s="4"/>
      <c r="F811" s="1"/>
      <c r="G811" s="1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39"/>
      <c r="E812" s="4"/>
      <c r="F812" s="1"/>
      <c r="G812" s="1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39"/>
      <c r="E813" s="4"/>
      <c r="F813" s="1"/>
      <c r="G813" s="1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39"/>
      <c r="E814" s="4"/>
      <c r="F814" s="1"/>
      <c r="G814" s="1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39"/>
      <c r="E815" s="4"/>
      <c r="F815" s="1"/>
      <c r="G815" s="1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39"/>
      <c r="E816" s="4"/>
      <c r="F816" s="1"/>
      <c r="G816" s="1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39"/>
      <c r="E817" s="4"/>
      <c r="F817" s="1"/>
      <c r="G817" s="1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39"/>
      <c r="E818" s="4"/>
      <c r="F818" s="1"/>
      <c r="G818" s="1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39"/>
      <c r="E819" s="4"/>
      <c r="F819" s="1"/>
      <c r="G819" s="1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39"/>
      <c r="E820" s="4"/>
      <c r="F820" s="1"/>
      <c r="G820" s="1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39"/>
      <c r="E821" s="4"/>
      <c r="F821" s="1"/>
      <c r="G821" s="1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39"/>
      <c r="E822" s="4"/>
      <c r="F822" s="1"/>
      <c r="G822" s="1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39"/>
      <c r="E823" s="4"/>
      <c r="F823" s="1"/>
      <c r="G823" s="1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39"/>
      <c r="E824" s="4"/>
      <c r="F824" s="1"/>
      <c r="G824" s="1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39"/>
      <c r="E825" s="4"/>
      <c r="F825" s="1"/>
      <c r="G825" s="1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39"/>
      <c r="E826" s="4"/>
      <c r="F826" s="1"/>
      <c r="G826" s="1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39"/>
      <c r="E827" s="4"/>
      <c r="F827" s="1"/>
      <c r="G827" s="1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39"/>
      <c r="E828" s="4"/>
      <c r="F828" s="1"/>
      <c r="G828" s="1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39"/>
      <c r="E829" s="4"/>
      <c r="F829" s="1"/>
      <c r="G829" s="1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39"/>
      <c r="E830" s="4"/>
      <c r="F830" s="1"/>
      <c r="G830" s="1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39"/>
      <c r="E831" s="4"/>
      <c r="F831" s="1"/>
      <c r="G831" s="1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39"/>
      <c r="E832" s="4"/>
      <c r="F832" s="1"/>
      <c r="G832" s="1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39"/>
      <c r="E833" s="4"/>
      <c r="F833" s="1"/>
      <c r="G833" s="1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39"/>
      <c r="E834" s="4"/>
      <c r="F834" s="1"/>
      <c r="G834" s="1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39"/>
      <c r="E835" s="4"/>
      <c r="F835" s="1"/>
      <c r="G835" s="1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39"/>
      <c r="E836" s="4"/>
      <c r="F836" s="1"/>
      <c r="G836" s="1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39"/>
      <c r="E837" s="4"/>
      <c r="F837" s="1"/>
      <c r="G837" s="1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39"/>
      <c r="E838" s="4"/>
      <c r="F838" s="1"/>
      <c r="G838" s="1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39"/>
      <c r="E839" s="4"/>
      <c r="F839" s="1"/>
      <c r="G839" s="1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39"/>
      <c r="E840" s="4"/>
      <c r="F840" s="1"/>
      <c r="G840" s="1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39"/>
      <c r="E841" s="4"/>
      <c r="F841" s="1"/>
      <c r="G841" s="1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39"/>
      <c r="E842" s="4"/>
      <c r="F842" s="1"/>
      <c r="G842" s="1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39"/>
      <c r="E843" s="4"/>
      <c r="F843" s="1"/>
      <c r="G843" s="1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39"/>
      <c r="E844" s="4"/>
      <c r="F844" s="1"/>
      <c r="G844" s="1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39"/>
      <c r="E845" s="4"/>
      <c r="F845" s="1"/>
      <c r="G845" s="1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39"/>
      <c r="E846" s="4"/>
      <c r="F846" s="1"/>
      <c r="G846" s="1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39"/>
      <c r="E847" s="4"/>
      <c r="F847" s="1"/>
      <c r="G847" s="1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39"/>
      <c r="E848" s="4"/>
      <c r="F848" s="1"/>
      <c r="G848" s="1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39"/>
      <c r="E849" s="4"/>
      <c r="F849" s="1"/>
      <c r="G849" s="1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39"/>
      <c r="E850" s="4"/>
      <c r="F850" s="1"/>
      <c r="G850" s="1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39"/>
      <c r="E851" s="4"/>
      <c r="F851" s="1"/>
      <c r="G851" s="1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39"/>
      <c r="E852" s="4"/>
      <c r="F852" s="1"/>
      <c r="G852" s="1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39"/>
      <c r="E853" s="4"/>
      <c r="F853" s="1"/>
      <c r="G853" s="1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39"/>
      <c r="E854" s="4"/>
      <c r="F854" s="1"/>
      <c r="G854" s="1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39"/>
      <c r="E855" s="4"/>
      <c r="F855" s="1"/>
      <c r="G855" s="1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39"/>
      <c r="E856" s="4"/>
      <c r="F856" s="1"/>
      <c r="G856" s="1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39"/>
      <c r="E857" s="4"/>
      <c r="F857" s="1"/>
      <c r="G857" s="1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39"/>
      <c r="E858" s="4"/>
      <c r="F858" s="1"/>
      <c r="G858" s="1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39"/>
      <c r="E859" s="4"/>
      <c r="F859" s="1"/>
      <c r="G859" s="1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39"/>
      <c r="E860" s="4"/>
      <c r="F860" s="1"/>
      <c r="G860" s="1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39"/>
      <c r="E861" s="4"/>
      <c r="F861" s="1"/>
      <c r="G861" s="1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39"/>
      <c r="E862" s="4"/>
      <c r="F862" s="1"/>
      <c r="G862" s="1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39"/>
      <c r="E863" s="4"/>
      <c r="F863" s="1"/>
      <c r="G863" s="1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39"/>
      <c r="E864" s="4"/>
      <c r="F864" s="1"/>
      <c r="G864" s="1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39"/>
      <c r="E865" s="4"/>
      <c r="F865" s="1"/>
      <c r="G865" s="1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39"/>
      <c r="E866" s="4"/>
      <c r="F866" s="1"/>
      <c r="G866" s="1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39"/>
      <c r="E867" s="4"/>
      <c r="F867" s="1"/>
      <c r="G867" s="1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39"/>
      <c r="E868" s="4"/>
      <c r="F868" s="1"/>
      <c r="G868" s="1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39"/>
      <c r="E869" s="4"/>
      <c r="F869" s="1"/>
      <c r="G869" s="1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39"/>
      <c r="E870" s="4"/>
      <c r="F870" s="1"/>
      <c r="G870" s="1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39"/>
      <c r="E871" s="4"/>
      <c r="F871" s="1"/>
      <c r="G871" s="1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39"/>
      <c r="E872" s="4"/>
      <c r="F872" s="1"/>
      <c r="G872" s="1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39"/>
      <c r="E873" s="4"/>
      <c r="F873" s="1"/>
      <c r="G873" s="1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39"/>
      <c r="E874" s="4"/>
      <c r="F874" s="1"/>
      <c r="G874" s="1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39"/>
      <c r="E875" s="4"/>
      <c r="F875" s="1"/>
      <c r="G875" s="1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39"/>
      <c r="E876" s="4"/>
      <c r="F876" s="1"/>
      <c r="G876" s="1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39"/>
      <c r="E877" s="4"/>
      <c r="F877" s="1"/>
      <c r="G877" s="1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39"/>
      <c r="E878" s="4"/>
      <c r="F878" s="1"/>
      <c r="G878" s="1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39"/>
      <c r="E879" s="4"/>
      <c r="F879" s="1"/>
      <c r="G879" s="1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39"/>
      <c r="E880" s="4"/>
      <c r="F880" s="1"/>
      <c r="G880" s="1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39"/>
      <c r="E881" s="4"/>
      <c r="F881" s="1"/>
      <c r="G881" s="1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39"/>
      <c r="E882" s="4"/>
      <c r="F882" s="1"/>
      <c r="G882" s="1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39"/>
      <c r="E883" s="4"/>
      <c r="F883" s="1"/>
      <c r="G883" s="1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39"/>
      <c r="E884" s="4"/>
      <c r="F884" s="1"/>
      <c r="G884" s="1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39"/>
      <c r="E885" s="4"/>
      <c r="F885" s="1"/>
      <c r="G885" s="1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39"/>
      <c r="E886" s="4"/>
      <c r="F886" s="1"/>
      <c r="G886" s="1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39"/>
      <c r="E887" s="4"/>
      <c r="F887" s="1"/>
      <c r="G887" s="1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39"/>
      <c r="E888" s="4"/>
      <c r="F888" s="1"/>
      <c r="G888" s="1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39"/>
      <c r="E889" s="4"/>
      <c r="F889" s="1"/>
      <c r="G889" s="1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39"/>
      <c r="E890" s="4"/>
      <c r="F890" s="1"/>
      <c r="G890" s="1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39"/>
      <c r="E891" s="4"/>
      <c r="F891" s="1"/>
      <c r="G891" s="1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39"/>
      <c r="E892" s="4"/>
      <c r="F892" s="1"/>
      <c r="G892" s="1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39"/>
      <c r="E893" s="4"/>
      <c r="F893" s="1"/>
      <c r="G893" s="1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39"/>
      <c r="E894" s="4"/>
      <c r="F894" s="1"/>
      <c r="G894" s="1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39"/>
      <c r="E895" s="4"/>
      <c r="F895" s="1"/>
      <c r="G895" s="1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39"/>
      <c r="E896" s="4"/>
      <c r="F896" s="1"/>
      <c r="G896" s="1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39"/>
      <c r="E897" s="4"/>
      <c r="F897" s="1"/>
      <c r="G897" s="1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39"/>
      <c r="E898" s="4"/>
      <c r="F898" s="1"/>
      <c r="G898" s="1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39"/>
      <c r="E899" s="4"/>
      <c r="F899" s="1"/>
      <c r="G899" s="1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39"/>
      <c r="E900" s="4"/>
      <c r="F900" s="1"/>
      <c r="G900" s="1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39"/>
      <c r="E901" s="4"/>
      <c r="F901" s="1"/>
      <c r="G901" s="1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39"/>
      <c r="E902" s="4"/>
      <c r="F902" s="1"/>
      <c r="G902" s="1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39"/>
      <c r="E903" s="4"/>
      <c r="F903" s="1"/>
      <c r="G903" s="1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39"/>
      <c r="E904" s="4"/>
      <c r="F904" s="1"/>
      <c r="G904" s="1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39"/>
      <c r="E905" s="4"/>
      <c r="F905" s="1"/>
      <c r="G905" s="1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39"/>
      <c r="E906" s="4"/>
      <c r="F906" s="1"/>
      <c r="G906" s="1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39"/>
      <c r="E907" s="4"/>
      <c r="F907" s="1"/>
      <c r="G907" s="1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39"/>
      <c r="E908" s="4"/>
      <c r="F908" s="1"/>
      <c r="G908" s="1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39"/>
      <c r="E909" s="4"/>
      <c r="F909" s="1"/>
      <c r="G909" s="1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39"/>
      <c r="E910" s="4"/>
      <c r="F910" s="1"/>
      <c r="G910" s="1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39"/>
      <c r="E911" s="4"/>
      <c r="F911" s="1"/>
      <c r="G911" s="1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39"/>
      <c r="E912" s="4"/>
      <c r="F912" s="1"/>
      <c r="G912" s="1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39"/>
      <c r="E913" s="4"/>
      <c r="F913" s="1"/>
      <c r="G913" s="1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39"/>
      <c r="E914" s="4"/>
      <c r="F914" s="1"/>
      <c r="G914" s="1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39"/>
      <c r="E915" s="4"/>
      <c r="F915" s="1"/>
      <c r="G915" s="1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39"/>
      <c r="E916" s="4"/>
      <c r="F916" s="1"/>
      <c r="G916" s="1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39"/>
      <c r="E917" s="4"/>
      <c r="F917" s="1"/>
      <c r="G917" s="1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39"/>
      <c r="E918" s="4"/>
      <c r="F918" s="1"/>
      <c r="G918" s="1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39"/>
      <c r="E919" s="4"/>
      <c r="F919" s="1"/>
      <c r="G919" s="1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39"/>
      <c r="E920" s="4"/>
      <c r="F920" s="1"/>
      <c r="G920" s="1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39"/>
      <c r="E921" s="4"/>
      <c r="F921" s="1"/>
      <c r="G921" s="1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39"/>
      <c r="E922" s="4"/>
      <c r="F922" s="1"/>
      <c r="G922" s="1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39"/>
      <c r="E923" s="4"/>
      <c r="F923" s="1"/>
      <c r="G923" s="1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39"/>
      <c r="E924" s="4"/>
      <c r="F924" s="1"/>
      <c r="G924" s="1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39"/>
      <c r="E925" s="4"/>
      <c r="F925" s="1"/>
      <c r="G925" s="1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39"/>
      <c r="E926" s="4"/>
      <c r="F926" s="1"/>
      <c r="G926" s="1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39"/>
      <c r="E927" s="4"/>
      <c r="F927" s="1"/>
      <c r="G927" s="1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39"/>
      <c r="E928" s="4"/>
      <c r="F928" s="1"/>
      <c r="G928" s="1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39"/>
      <c r="E929" s="4"/>
      <c r="F929" s="1"/>
      <c r="G929" s="1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39"/>
      <c r="E930" s="4"/>
      <c r="F930" s="1"/>
      <c r="G930" s="1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39"/>
      <c r="E931" s="4"/>
      <c r="F931" s="1"/>
      <c r="G931" s="1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39"/>
      <c r="E932" s="4"/>
      <c r="F932" s="1"/>
      <c r="G932" s="1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39"/>
      <c r="E933" s="4"/>
      <c r="F933" s="1"/>
      <c r="G933" s="1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39"/>
      <c r="E934" s="4"/>
      <c r="F934" s="1"/>
      <c r="G934" s="1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39"/>
      <c r="E935" s="4"/>
      <c r="F935" s="1"/>
      <c r="G935" s="1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39"/>
      <c r="E936" s="4"/>
      <c r="F936" s="1"/>
      <c r="G936" s="1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39"/>
      <c r="E937" s="4"/>
      <c r="F937" s="1"/>
      <c r="G937" s="1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39"/>
      <c r="E938" s="4"/>
      <c r="F938" s="1"/>
      <c r="G938" s="1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39"/>
      <c r="E939" s="4"/>
      <c r="F939" s="1"/>
      <c r="G939" s="1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39"/>
      <c r="E940" s="4"/>
      <c r="F940" s="1"/>
      <c r="G940" s="1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39"/>
      <c r="E941" s="4"/>
      <c r="F941" s="1"/>
      <c r="G941" s="1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39"/>
      <c r="E942" s="4"/>
      <c r="F942" s="1"/>
      <c r="G942" s="1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39"/>
      <c r="E943" s="4"/>
      <c r="F943" s="1"/>
      <c r="G943" s="1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39"/>
      <c r="E944" s="4"/>
      <c r="F944" s="1"/>
      <c r="G944" s="1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39"/>
      <c r="E945" s="4"/>
      <c r="F945" s="1"/>
      <c r="G945" s="1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39"/>
      <c r="E946" s="4"/>
      <c r="F946" s="1"/>
      <c r="G946" s="1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39"/>
      <c r="E947" s="4"/>
      <c r="F947" s="1"/>
      <c r="G947" s="1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39"/>
      <c r="E948" s="4"/>
      <c r="F948" s="1"/>
      <c r="G948" s="1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39"/>
      <c r="E949" s="4"/>
      <c r="F949" s="1"/>
      <c r="G949" s="1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39"/>
      <c r="E950" s="4"/>
      <c r="F950" s="1"/>
      <c r="G950" s="1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39"/>
      <c r="E951" s="4"/>
      <c r="F951" s="1"/>
      <c r="G951" s="1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39"/>
      <c r="E952" s="4"/>
      <c r="F952" s="1"/>
      <c r="G952" s="1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39"/>
      <c r="E953" s="4"/>
      <c r="F953" s="1"/>
      <c r="G953" s="1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39"/>
      <c r="E954" s="4"/>
      <c r="F954" s="1"/>
      <c r="G954" s="1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39"/>
      <c r="E955" s="4"/>
      <c r="F955" s="1"/>
      <c r="G955" s="1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39"/>
      <c r="E956" s="4"/>
      <c r="F956" s="1"/>
      <c r="G956" s="1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39"/>
      <c r="E957" s="4"/>
      <c r="F957" s="1"/>
      <c r="G957" s="1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39"/>
      <c r="E958" s="4"/>
      <c r="F958" s="1"/>
      <c r="G958" s="1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39"/>
      <c r="E959" s="4"/>
      <c r="F959" s="1"/>
      <c r="G959" s="1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39"/>
      <c r="E960" s="4"/>
      <c r="F960" s="1"/>
      <c r="G960" s="1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39"/>
      <c r="E961" s="4"/>
      <c r="F961" s="1"/>
      <c r="G961" s="1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39"/>
      <c r="E962" s="4"/>
      <c r="F962" s="1"/>
      <c r="G962" s="1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39"/>
      <c r="E963" s="4"/>
      <c r="F963" s="1"/>
      <c r="G963" s="1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39"/>
      <c r="E964" s="4"/>
      <c r="F964" s="1"/>
      <c r="G964" s="1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39"/>
      <c r="E965" s="4"/>
      <c r="F965" s="1"/>
      <c r="G965" s="1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39"/>
      <c r="E966" s="4"/>
      <c r="F966" s="1"/>
      <c r="G966" s="1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39"/>
      <c r="E967" s="4"/>
      <c r="F967" s="1"/>
      <c r="G967" s="1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39"/>
      <c r="E968" s="4"/>
      <c r="F968" s="1"/>
      <c r="G968" s="1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39"/>
      <c r="E969" s="4"/>
      <c r="F969" s="1"/>
      <c r="G969" s="1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39"/>
      <c r="E970" s="4"/>
      <c r="F970" s="1"/>
      <c r="G970" s="1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39"/>
      <c r="E971" s="4"/>
      <c r="F971" s="1"/>
      <c r="G971" s="1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39"/>
      <c r="E972" s="4"/>
      <c r="F972" s="1"/>
      <c r="G972" s="1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39"/>
      <c r="E973" s="4"/>
      <c r="F973" s="1"/>
      <c r="G973" s="1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39"/>
      <c r="E974" s="4"/>
      <c r="F974" s="1"/>
      <c r="G974" s="1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39"/>
      <c r="E975" s="4"/>
      <c r="F975" s="1"/>
      <c r="G975" s="1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39"/>
      <c r="E976" s="4"/>
      <c r="F976" s="1"/>
      <c r="G976" s="1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39"/>
      <c r="E977" s="4"/>
      <c r="F977" s="1"/>
      <c r="G977" s="1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39"/>
      <c r="E978" s="4"/>
      <c r="F978" s="1"/>
      <c r="G978" s="1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39"/>
      <c r="E979" s="4"/>
      <c r="F979" s="1"/>
      <c r="G979" s="1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39"/>
      <c r="E980" s="4"/>
      <c r="F980" s="1"/>
      <c r="G980" s="1"/>
      <c r="H980" s="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39"/>
      <c r="E981" s="4"/>
      <c r="F981" s="1"/>
      <c r="G981" s="1"/>
      <c r="H981" s="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39"/>
      <c r="E982" s="4"/>
      <c r="F982" s="1"/>
      <c r="G982" s="1"/>
      <c r="H982" s="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39"/>
      <c r="E983" s="4"/>
      <c r="F983" s="1"/>
      <c r="G983" s="1"/>
      <c r="H983" s="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39"/>
      <c r="E984" s="4"/>
      <c r="F984" s="1"/>
      <c r="G984" s="1"/>
      <c r="H984" s="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39"/>
      <c r="E985" s="4"/>
      <c r="F985" s="1"/>
      <c r="G985" s="1"/>
      <c r="H985" s="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39"/>
      <c r="E986" s="4"/>
      <c r="F986" s="1"/>
      <c r="G986" s="1"/>
      <c r="H986" s="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39"/>
      <c r="E987" s="4"/>
      <c r="F987" s="1"/>
      <c r="G987" s="1"/>
      <c r="H987" s="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39"/>
      <c r="E988" s="4"/>
      <c r="F988" s="1"/>
      <c r="G988" s="1"/>
      <c r="H988" s="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39"/>
      <c r="E989" s="4"/>
      <c r="F989" s="1"/>
      <c r="G989" s="1"/>
      <c r="H989" s="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39"/>
      <c r="E990" s="4"/>
      <c r="F990" s="1"/>
      <c r="G990" s="1"/>
      <c r="H990" s="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39"/>
      <c r="E991" s="4"/>
      <c r="F991" s="1"/>
      <c r="G991" s="1"/>
      <c r="H991" s="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39"/>
      <c r="E992" s="4"/>
      <c r="F992" s="1"/>
      <c r="G992" s="1"/>
      <c r="H992" s="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39"/>
      <c r="E993" s="4"/>
      <c r="F993" s="1"/>
      <c r="G993" s="1"/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39"/>
      <c r="E994" s="4"/>
      <c r="F994" s="1"/>
      <c r="G994" s="1"/>
      <c r="H994" s="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39"/>
      <c r="E995" s="4"/>
      <c r="F995" s="1"/>
      <c r="G995" s="1"/>
      <c r="H995" s="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39"/>
      <c r="E996" s="4"/>
      <c r="F996" s="1"/>
      <c r="G996" s="1"/>
      <c r="H996" s="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39"/>
      <c r="E997" s="4"/>
      <c r="F997" s="1"/>
      <c r="G997" s="1"/>
      <c r="H997" s="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39"/>
      <c r="E998" s="4"/>
      <c r="F998" s="1"/>
      <c r="G998" s="1"/>
      <c r="H998" s="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39"/>
      <c r="E999" s="4"/>
      <c r="F999" s="1"/>
      <c r="G999" s="1"/>
      <c r="H999" s="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39"/>
      <c r="E1000" s="4"/>
      <c r="F1000" s="1"/>
      <c r="G1000" s="1"/>
      <c r="H1000" s="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/>
      <c r="D1001" s="39"/>
      <c r="E1001" s="4"/>
      <c r="F1001" s="1"/>
      <c r="G1001" s="1"/>
      <c r="H1001" s="4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5">
      <c r="A1002" s="1"/>
      <c r="B1002" s="1"/>
      <c r="C1002" s="1"/>
      <c r="D1002" s="39"/>
      <c r="E1002" s="4"/>
      <c r="F1002" s="1"/>
      <c r="G1002" s="1"/>
      <c r="H1002" s="4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5">
    <mergeCell ref="B2:C2"/>
    <mergeCell ref="K2:O2"/>
    <mergeCell ref="B15:C15"/>
    <mergeCell ref="B20:C20"/>
    <mergeCell ref="B23:C23"/>
  </mergeCells>
  <conditionalFormatting sqref="C9">
    <cfRule type="cellIs" dxfId="113" priority="1" operator="less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34DF-34E2-45F0-BE70-B48A99EFDA28}">
  <dimension ref="A1:Y1001"/>
  <sheetViews>
    <sheetView tabSelected="1" zoomScale="98" zoomScaleNormal="98" workbookViewId="0">
      <pane ySplit="4" topLeftCell="A5" activePane="bottomLeft" state="frozen"/>
      <selection pane="bottomLeft" activeCell="F56" sqref="F56"/>
    </sheetView>
  </sheetViews>
  <sheetFormatPr defaultColWidth="8.7109375" defaultRowHeight="15" x14ac:dyDescent="0.25"/>
  <cols>
    <col min="1" max="1" width="34" style="81" customWidth="1"/>
    <col min="2" max="3" width="15.85546875" style="96" bestFit="1" customWidth="1"/>
    <col min="4" max="4" width="15.140625" style="96" bestFit="1" customWidth="1"/>
    <col min="5" max="5" width="8.140625" style="137" bestFit="1" customWidth="1"/>
    <col min="6" max="6" width="13.7109375" style="96" bestFit="1" customWidth="1"/>
    <col min="7" max="7" width="13.85546875" style="96" bestFit="1" customWidth="1"/>
    <col min="8" max="8" width="13.7109375" style="96" bestFit="1" customWidth="1"/>
    <col min="9" max="9" width="13.85546875" style="96" bestFit="1" customWidth="1"/>
    <col min="10" max="10" width="13.7109375" style="96" bestFit="1" customWidth="1"/>
    <col min="11" max="11" width="13.85546875" style="96" bestFit="1" customWidth="1"/>
    <col min="12" max="12" width="13.7109375" style="96" bestFit="1" customWidth="1"/>
    <col min="13" max="13" width="13.85546875" style="96" bestFit="1" customWidth="1"/>
    <col min="14" max="14" width="16.7109375" style="96" bestFit="1" customWidth="1"/>
    <col min="15" max="15" width="9.140625" style="96" bestFit="1" customWidth="1"/>
    <col min="16" max="16" width="10.140625" style="81" customWidth="1"/>
    <col min="17" max="17" width="14.42578125" style="81" customWidth="1"/>
    <col min="18" max="18" width="15.85546875" style="81" bestFit="1" customWidth="1"/>
    <col min="19" max="19" width="15" style="95" bestFit="1" customWidth="1"/>
    <col min="20" max="20" width="15.85546875" style="95" customWidth="1"/>
    <col min="21" max="21" width="15" style="95" bestFit="1" customWidth="1"/>
    <col min="22" max="22" width="15.85546875" style="95" customWidth="1"/>
    <col min="23" max="23" width="14.28515625" style="81" bestFit="1" customWidth="1"/>
    <col min="24" max="24" width="16.7109375" style="81" bestFit="1" customWidth="1"/>
    <col min="25" max="16384" width="8.7109375" style="81"/>
  </cols>
  <sheetData>
    <row r="1" spans="1:25" ht="24" customHeight="1" x14ac:dyDescent="0.25">
      <c r="A1" s="300" t="s">
        <v>94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2"/>
    </row>
    <row r="2" spans="1:25" ht="15" customHeight="1" thickBot="1" x14ac:dyDescent="0.3">
      <c r="A2" s="303" t="s">
        <v>95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5"/>
      <c r="Q2" s="305"/>
      <c r="R2" s="305"/>
      <c r="S2" s="305"/>
      <c r="T2" s="305"/>
      <c r="U2" s="305"/>
      <c r="V2" s="305"/>
      <c r="W2" s="305"/>
      <c r="X2" s="306"/>
    </row>
    <row r="3" spans="1:25" ht="15.75" thickBot="1" x14ac:dyDescent="0.3">
      <c r="A3" s="311" t="s">
        <v>96</v>
      </c>
      <c r="B3" s="313" t="s">
        <v>97</v>
      </c>
      <c r="C3" s="313" t="s">
        <v>98</v>
      </c>
      <c r="D3" s="313" t="s">
        <v>99</v>
      </c>
      <c r="E3" s="315" t="s">
        <v>100</v>
      </c>
      <c r="F3" s="307" t="s">
        <v>101</v>
      </c>
      <c r="G3" s="310"/>
      <c r="H3" s="307" t="s">
        <v>102</v>
      </c>
      <c r="I3" s="310"/>
      <c r="J3" s="307" t="s">
        <v>103</v>
      </c>
      <c r="K3" s="310"/>
      <c r="L3" s="307" t="s">
        <v>104</v>
      </c>
      <c r="M3" s="310"/>
      <c r="N3" s="307" t="s">
        <v>105</v>
      </c>
      <c r="O3" s="308"/>
      <c r="P3" s="100"/>
      <c r="Q3" s="317" t="s">
        <v>166</v>
      </c>
      <c r="R3" s="305"/>
      <c r="S3" s="305"/>
      <c r="T3" s="305"/>
      <c r="U3" s="305"/>
      <c r="V3" s="305"/>
      <c r="W3" s="305"/>
      <c r="X3" s="306"/>
    </row>
    <row r="4" spans="1:25" x14ac:dyDescent="0.25">
      <c r="A4" s="312"/>
      <c r="B4" s="314"/>
      <c r="C4" s="314"/>
      <c r="D4" s="314"/>
      <c r="E4" s="316"/>
      <c r="F4" s="107" t="s">
        <v>156</v>
      </c>
      <c r="G4" s="225" t="s">
        <v>155</v>
      </c>
      <c r="H4" s="107" t="s">
        <v>156</v>
      </c>
      <c r="I4" s="107" t="s">
        <v>155</v>
      </c>
      <c r="J4" s="107" t="s">
        <v>156</v>
      </c>
      <c r="K4" s="107" t="s">
        <v>155</v>
      </c>
      <c r="L4" s="107" t="s">
        <v>156</v>
      </c>
      <c r="M4" s="107" t="s">
        <v>155</v>
      </c>
      <c r="N4" s="107" t="s">
        <v>156</v>
      </c>
      <c r="O4" s="145" t="s">
        <v>155</v>
      </c>
      <c r="P4" s="144">
        <v>1505613.76</v>
      </c>
      <c r="Q4" s="180" t="s">
        <v>159</v>
      </c>
      <c r="R4" s="180" t="s">
        <v>101</v>
      </c>
      <c r="S4" s="180" t="s">
        <v>102</v>
      </c>
      <c r="T4" s="180" t="s">
        <v>103</v>
      </c>
      <c r="U4" s="180" t="s">
        <v>104</v>
      </c>
      <c r="V4" s="180" t="s">
        <v>105</v>
      </c>
      <c r="W4" s="180" t="s">
        <v>153</v>
      </c>
      <c r="X4" s="180" t="s">
        <v>154</v>
      </c>
      <c r="Y4" s="100"/>
    </row>
    <row r="5" spans="1:25" x14ac:dyDescent="0.25">
      <c r="A5" s="163" t="s">
        <v>106</v>
      </c>
      <c r="B5" s="151">
        <f>SUM(B6:B10)</f>
        <v>51159.69</v>
      </c>
      <c r="C5" s="106">
        <f t="shared" ref="C5:H5" si="0">SUM(C6:C10)</f>
        <v>0</v>
      </c>
      <c r="D5" s="106">
        <f t="shared" si="0"/>
        <v>51159.69</v>
      </c>
      <c r="E5" s="134">
        <f t="shared" si="0"/>
        <v>3.3979292272142886E-2</v>
      </c>
      <c r="F5" s="106">
        <f>SUM(F6:F10)</f>
        <v>46409.69</v>
      </c>
      <c r="G5" s="226">
        <f t="shared" si="0"/>
        <v>0</v>
      </c>
      <c r="H5" s="106">
        <f t="shared" si="0"/>
        <v>4750</v>
      </c>
      <c r="I5" s="106">
        <f t="shared" ref="I5:J5" si="1">SUM(I6:I10)</f>
        <v>0</v>
      </c>
      <c r="J5" s="106">
        <f t="shared" si="1"/>
        <v>0</v>
      </c>
      <c r="K5" s="106">
        <f t="shared" ref="K5:L5" si="2">SUM(K6:K10)</f>
        <v>0</v>
      </c>
      <c r="L5" s="106">
        <f t="shared" si="2"/>
        <v>0</v>
      </c>
      <c r="M5" s="106">
        <f t="shared" ref="M5:N5" si="3">SUM(M6:M10)</f>
        <v>0</v>
      </c>
      <c r="N5" s="106">
        <f t="shared" si="3"/>
        <v>0</v>
      </c>
      <c r="O5" s="146">
        <f t="shared" ref="O5" si="4">SUM(O6:O10)</f>
        <v>0</v>
      </c>
      <c r="P5" s="179"/>
      <c r="Q5" s="181" t="s">
        <v>100</v>
      </c>
      <c r="R5" s="189">
        <v>0.2</v>
      </c>
      <c r="S5" s="189">
        <v>0.3</v>
      </c>
      <c r="T5" s="200">
        <v>0.2</v>
      </c>
      <c r="U5" s="219">
        <v>0.2</v>
      </c>
      <c r="V5" s="219">
        <v>0.05</v>
      </c>
      <c r="W5" s="219">
        <v>0.05</v>
      </c>
      <c r="X5" s="201">
        <f>SUM(R5:W5)</f>
        <v>1</v>
      </c>
      <c r="Y5" s="100"/>
    </row>
    <row r="6" spans="1:25" x14ac:dyDescent="0.25">
      <c r="A6" s="164" t="s">
        <v>107</v>
      </c>
      <c r="B6" s="152">
        <v>34219.69</v>
      </c>
      <c r="C6" s="104"/>
      <c r="D6" s="104">
        <f>B6+C6</f>
        <v>34219.69</v>
      </c>
      <c r="E6" s="135">
        <f t="shared" ref="E6:E37" si="5">D6/$X$6</f>
        <v>2.2728066725426311E-2</v>
      </c>
      <c r="F6" s="104">
        <f>D6</f>
        <v>34219.69</v>
      </c>
      <c r="G6" s="227"/>
      <c r="H6" s="104"/>
      <c r="I6" s="104"/>
      <c r="J6" s="104"/>
      <c r="K6" s="104"/>
      <c r="L6" s="104"/>
      <c r="M6" s="104"/>
      <c r="N6" s="104"/>
      <c r="O6" s="147"/>
      <c r="P6" s="100"/>
      <c r="Q6" s="182" t="s">
        <v>157</v>
      </c>
      <c r="R6" s="190">
        <f t="shared" ref="R6:W6" si="6">R5*$P$4</f>
        <v>301122.75200000004</v>
      </c>
      <c r="S6" s="190">
        <f t="shared" si="6"/>
        <v>451684.12799999997</v>
      </c>
      <c r="T6" s="190">
        <f t="shared" si="6"/>
        <v>301122.75200000004</v>
      </c>
      <c r="U6" s="211">
        <f t="shared" si="6"/>
        <v>301122.75200000004</v>
      </c>
      <c r="V6" s="211">
        <f t="shared" si="6"/>
        <v>75280.688000000009</v>
      </c>
      <c r="W6" s="211">
        <f t="shared" si="6"/>
        <v>75280.688000000009</v>
      </c>
      <c r="X6" s="202">
        <f>SUM(R6:W6)</f>
        <v>1505613.7600000002</v>
      </c>
      <c r="Y6" s="100"/>
    </row>
    <row r="7" spans="1:25" x14ac:dyDescent="0.25">
      <c r="A7" s="164" t="s">
        <v>108</v>
      </c>
      <c r="B7" s="152">
        <v>9500</v>
      </c>
      <c r="C7" s="104"/>
      <c r="D7" s="104">
        <f t="shared" ref="D7:D54" si="7">B7+C7</f>
        <v>9500</v>
      </c>
      <c r="E7" s="135">
        <f t="shared" si="5"/>
        <v>6.3097191672849742E-3</v>
      </c>
      <c r="F7" s="104">
        <f>D7/2</f>
        <v>4750</v>
      </c>
      <c r="G7" s="227"/>
      <c r="H7" s="104">
        <f>D7/2</f>
        <v>4750</v>
      </c>
      <c r="I7" s="104"/>
      <c r="J7" s="104"/>
      <c r="K7" s="104"/>
      <c r="L7" s="104"/>
      <c r="M7" s="104"/>
      <c r="N7" s="104"/>
      <c r="O7" s="147"/>
      <c r="P7" s="100"/>
      <c r="Q7" s="288" t="s">
        <v>158</v>
      </c>
      <c r="R7" s="277">
        <f>R6</f>
        <v>301122.75200000004</v>
      </c>
      <c r="S7" s="277">
        <f>S6-S14-S15</f>
        <v>181221.09378666664</v>
      </c>
      <c r="T7" s="277">
        <f>T6-T14-T15</f>
        <v>127003.98714666671</v>
      </c>
      <c r="U7" s="277">
        <f>U6-U14-U15</f>
        <v>127003.98714666671</v>
      </c>
      <c r="V7" s="277">
        <f>V6-V14-V15</f>
        <v>65117.79512000001</v>
      </c>
      <c r="W7" s="277">
        <f>W6-W14-W15</f>
        <v>65117.79512000001</v>
      </c>
      <c r="X7" s="183"/>
      <c r="Y7" s="100"/>
    </row>
    <row r="8" spans="1:25" x14ac:dyDescent="0.25">
      <c r="A8" s="164" t="s">
        <v>109</v>
      </c>
      <c r="B8" s="152">
        <v>3000</v>
      </c>
      <c r="C8" s="104"/>
      <c r="D8" s="104">
        <f t="shared" si="7"/>
        <v>3000</v>
      </c>
      <c r="E8" s="135">
        <f t="shared" si="5"/>
        <v>1.9925428949320971E-3</v>
      </c>
      <c r="F8" s="104">
        <f>D8</f>
        <v>3000</v>
      </c>
      <c r="G8" s="227"/>
      <c r="H8" s="104"/>
      <c r="I8" s="104"/>
      <c r="J8" s="104"/>
      <c r="K8" s="104"/>
      <c r="L8" s="104"/>
      <c r="M8" s="104"/>
      <c r="N8" s="104"/>
      <c r="O8" s="147"/>
      <c r="P8" s="100"/>
      <c r="Q8" s="289"/>
      <c r="R8" s="278"/>
      <c r="S8" s="278"/>
      <c r="T8" s="278"/>
      <c r="U8" s="278"/>
      <c r="V8" s="278"/>
      <c r="W8" s="278"/>
      <c r="X8" s="190"/>
      <c r="Y8" s="100"/>
    </row>
    <row r="9" spans="1:25" x14ac:dyDescent="0.25">
      <c r="A9" s="164" t="s">
        <v>110</v>
      </c>
      <c r="B9" s="152">
        <v>3000</v>
      </c>
      <c r="C9" s="104"/>
      <c r="D9" s="104">
        <f t="shared" si="7"/>
        <v>3000</v>
      </c>
      <c r="E9" s="135">
        <f t="shared" si="5"/>
        <v>1.9925428949320971E-3</v>
      </c>
      <c r="F9" s="104">
        <f>D9</f>
        <v>3000</v>
      </c>
      <c r="G9" s="227"/>
      <c r="H9" s="104"/>
      <c r="I9" s="104"/>
      <c r="J9" s="104"/>
      <c r="K9" s="104"/>
      <c r="L9" s="104"/>
      <c r="M9" s="104"/>
      <c r="N9" s="104"/>
      <c r="O9" s="147"/>
      <c r="P9" s="100"/>
      <c r="Q9" s="183"/>
      <c r="R9" s="183"/>
      <c r="S9" s="195"/>
      <c r="T9" s="195"/>
      <c r="U9" s="195"/>
      <c r="V9" s="195"/>
      <c r="W9" s="183"/>
      <c r="X9" s="203"/>
      <c r="Y9" s="100"/>
    </row>
    <row r="10" spans="1:25" x14ac:dyDescent="0.25">
      <c r="A10" s="164" t="s">
        <v>111</v>
      </c>
      <c r="B10" s="152">
        <v>1440</v>
      </c>
      <c r="C10" s="104"/>
      <c r="D10" s="104">
        <f t="shared" si="7"/>
        <v>1440</v>
      </c>
      <c r="E10" s="135">
        <f t="shared" si="5"/>
        <v>9.5642058956740654E-4</v>
      </c>
      <c r="F10" s="104">
        <f>D10</f>
        <v>1440</v>
      </c>
      <c r="G10" s="227"/>
      <c r="H10" s="104"/>
      <c r="I10" s="104"/>
      <c r="J10" s="104"/>
      <c r="K10" s="104"/>
      <c r="L10" s="104"/>
      <c r="M10" s="104"/>
      <c r="N10" s="104"/>
      <c r="O10" s="147"/>
      <c r="P10" s="100"/>
      <c r="Q10" s="184" t="s">
        <v>71</v>
      </c>
      <c r="R10" s="191">
        <f>R6</f>
        <v>301122.75200000004</v>
      </c>
      <c r="S10" s="196">
        <f>S7+R11</f>
        <v>341994.15578666667</v>
      </c>
      <c r="T10" s="196">
        <f>T7+S11</f>
        <v>267658.14293333341</v>
      </c>
      <c r="U10" s="212">
        <f>U7+T11</f>
        <v>213802.13008000012</v>
      </c>
      <c r="V10" s="212">
        <f>V7+U11</f>
        <v>115379.92520000013</v>
      </c>
      <c r="W10" s="212">
        <f>W7+V11</f>
        <v>65627.720320000139</v>
      </c>
      <c r="X10" s="190"/>
      <c r="Y10" s="100"/>
    </row>
    <row r="11" spans="1:25" x14ac:dyDescent="0.25">
      <c r="A11" s="165" t="s">
        <v>112</v>
      </c>
      <c r="B11" s="153">
        <f>SUM(B12:B17)</f>
        <v>68100</v>
      </c>
      <c r="C11" s="105">
        <f t="shared" ref="C11:G11" si="8">SUM(C12:C17)</f>
        <v>87882.64</v>
      </c>
      <c r="D11" s="105">
        <f>SUM(D12:D17)</f>
        <v>155982.64000000001</v>
      </c>
      <c r="E11" s="136">
        <f t="shared" si="5"/>
        <v>0.10360070035491704</v>
      </c>
      <c r="F11" s="105">
        <f t="shared" si="8"/>
        <v>26940</v>
      </c>
      <c r="G11" s="228">
        <f t="shared" si="8"/>
        <v>0</v>
      </c>
      <c r="H11" s="105">
        <f>SUM(H12:H17)</f>
        <v>35280</v>
      </c>
      <c r="I11" s="105">
        <f>SUM(I12:I17)</f>
        <v>87882.64</v>
      </c>
      <c r="J11" s="105">
        <f>SUM(J12:J17)</f>
        <v>5880</v>
      </c>
      <c r="K11" s="105">
        <f t="shared" ref="K11" si="9">SUM(K12:K17)</f>
        <v>0</v>
      </c>
      <c r="L11" s="105">
        <f t="shared" ref="L11" si="10">SUM(L12:L17)</f>
        <v>0</v>
      </c>
      <c r="M11" s="105">
        <f t="shared" ref="M11" si="11">SUM(M12:M17)</f>
        <v>0</v>
      </c>
      <c r="N11" s="105">
        <f t="shared" ref="N11" si="12">SUM(N12:N17)</f>
        <v>0</v>
      </c>
      <c r="O11" s="148">
        <f t="shared" ref="O11" si="13">SUM(O12:O17)</f>
        <v>0</v>
      </c>
      <c r="P11" s="100"/>
      <c r="Q11" s="185" t="s">
        <v>73</v>
      </c>
      <c r="R11" s="192">
        <f>R10-R13</f>
        <v>160773.06200000003</v>
      </c>
      <c r="S11" s="192">
        <f>S10-S13</f>
        <v>140654.15578666667</v>
      </c>
      <c r="T11" s="192">
        <f t="shared" ref="T11:W11" si="14">T10-T13</f>
        <v>86798.142933333409</v>
      </c>
      <c r="U11" s="213">
        <f t="shared" si="14"/>
        <v>50262.130080000119</v>
      </c>
      <c r="V11" s="213">
        <f t="shared" si="14"/>
        <v>509.92520000012883</v>
      </c>
      <c r="W11" s="213">
        <f t="shared" si="14"/>
        <v>65627.720320000139</v>
      </c>
      <c r="X11" s="192"/>
      <c r="Y11" s="100"/>
    </row>
    <row r="12" spans="1:25" x14ac:dyDescent="0.25">
      <c r="A12" s="166" t="s">
        <v>113</v>
      </c>
      <c r="B12" s="101">
        <f>49000+9800</f>
        <v>58800</v>
      </c>
      <c r="C12" s="98"/>
      <c r="D12" s="98">
        <f>B12+C12</f>
        <v>58800</v>
      </c>
      <c r="E12" s="135">
        <f t="shared" si="5"/>
        <v>3.9053840740669102E-2</v>
      </c>
      <c r="F12" s="98">
        <f>D12*0.3</f>
        <v>17640</v>
      </c>
      <c r="G12" s="229"/>
      <c r="H12" s="98">
        <f>D12*0.6</f>
        <v>35280</v>
      </c>
      <c r="I12" s="98"/>
      <c r="J12" s="98">
        <f>D12*0.1</f>
        <v>5880</v>
      </c>
      <c r="K12" s="98"/>
      <c r="L12" s="98"/>
      <c r="M12" s="98"/>
      <c r="N12" s="98"/>
      <c r="O12" s="149"/>
      <c r="P12" s="100"/>
      <c r="Q12" s="186"/>
      <c r="R12" s="193"/>
      <c r="S12" s="197"/>
      <c r="T12" s="197"/>
      <c r="U12" s="214"/>
      <c r="V12" s="214"/>
      <c r="W12" s="215"/>
      <c r="X12" s="193"/>
      <c r="Y12" s="100"/>
    </row>
    <row r="13" spans="1:25" x14ac:dyDescent="0.25">
      <c r="A13" s="166" t="s">
        <v>167</v>
      </c>
      <c r="B13" s="101">
        <v>0</v>
      </c>
      <c r="C13" s="222">
        <v>47882.64</v>
      </c>
      <c r="D13" s="98">
        <f>B13+C13</f>
        <v>47882.64</v>
      </c>
      <c r="E13" s="135">
        <f t="shared" si="5"/>
        <v>3.1802738040863809E-2</v>
      </c>
      <c r="F13" s="98"/>
      <c r="G13" s="230"/>
      <c r="H13" s="98"/>
      <c r="I13" s="98">
        <f>C13</f>
        <v>47882.64</v>
      </c>
      <c r="J13" s="98"/>
      <c r="K13" s="98"/>
      <c r="L13" s="98"/>
      <c r="M13" s="98"/>
      <c r="N13" s="98"/>
      <c r="O13" s="149"/>
      <c r="P13" s="100"/>
      <c r="Q13" s="187" t="s">
        <v>72</v>
      </c>
      <c r="R13" s="194">
        <f>F55</f>
        <v>140349.69</v>
      </c>
      <c r="S13" s="194">
        <f>H55</f>
        <v>201340</v>
      </c>
      <c r="T13" s="194">
        <f>J55</f>
        <v>180860</v>
      </c>
      <c r="U13" s="216">
        <f>L55</f>
        <v>163540</v>
      </c>
      <c r="V13" s="216">
        <f>N55</f>
        <v>114870</v>
      </c>
      <c r="W13" s="216">
        <v>0</v>
      </c>
      <c r="X13" s="279">
        <f>SUM(R13:W14)</f>
        <v>1351734.3299999998</v>
      </c>
      <c r="Y13" s="100"/>
    </row>
    <row r="14" spans="1:25" x14ac:dyDescent="0.25">
      <c r="A14" s="166" t="s">
        <v>114</v>
      </c>
      <c r="B14" s="101"/>
      <c r="C14" s="222">
        <v>40000</v>
      </c>
      <c r="D14" s="98">
        <f>B14+C14</f>
        <v>40000</v>
      </c>
      <c r="E14" s="135">
        <f t="shared" si="5"/>
        <v>2.6567238599094628E-2</v>
      </c>
      <c r="F14" s="98"/>
      <c r="G14" s="229"/>
      <c r="H14" s="98"/>
      <c r="I14" s="98">
        <f>D14</f>
        <v>40000</v>
      </c>
      <c r="J14" s="98"/>
      <c r="K14" s="98"/>
      <c r="L14" s="98"/>
      <c r="M14" s="98"/>
      <c r="N14" s="98"/>
      <c r="O14" s="149"/>
      <c r="P14" s="100"/>
      <c r="Q14" s="187" t="s">
        <v>12</v>
      </c>
      <c r="R14" s="194">
        <f>G55</f>
        <v>0</v>
      </c>
      <c r="S14" s="198">
        <f>I55</f>
        <v>242179.97333333333</v>
      </c>
      <c r="T14" s="198">
        <f>K55</f>
        <v>154297.33333333331</v>
      </c>
      <c r="U14" s="217">
        <f>M55</f>
        <v>154297.33333333331</v>
      </c>
      <c r="V14" s="217">
        <f>O55</f>
        <v>0</v>
      </c>
      <c r="W14" s="218"/>
      <c r="X14" s="280"/>
      <c r="Y14" s="100"/>
    </row>
    <row r="15" spans="1:25" x14ac:dyDescent="0.25">
      <c r="A15" s="166" t="s">
        <v>115</v>
      </c>
      <c r="B15" s="101">
        <v>3800</v>
      </c>
      <c r="C15" s="98"/>
      <c r="D15" s="98">
        <f t="shared" si="7"/>
        <v>3800</v>
      </c>
      <c r="E15" s="135">
        <f t="shared" si="5"/>
        <v>2.5238876669139896E-3</v>
      </c>
      <c r="F15" s="98">
        <f>D15</f>
        <v>3800</v>
      </c>
      <c r="G15" s="229"/>
      <c r="H15" s="98"/>
      <c r="I15" s="98"/>
      <c r="J15" s="98"/>
      <c r="K15" s="98"/>
      <c r="L15" s="98"/>
      <c r="M15" s="98"/>
      <c r="N15" s="98"/>
      <c r="O15" s="149"/>
      <c r="P15" s="100"/>
      <c r="Q15" s="186"/>
      <c r="R15" s="284">
        <v>0</v>
      </c>
      <c r="S15" s="284">
        <f>(S6-S14)*$R$21</f>
        <v>28283.060879999997</v>
      </c>
      <c r="T15" s="284">
        <f>(T6-T14)*$R$21</f>
        <v>19821.431520000009</v>
      </c>
      <c r="U15" s="281">
        <f>(U6-U14)*$R$21</f>
        <v>19821.431520000009</v>
      </c>
      <c r="V15" s="281">
        <f>(V6-V14)*$R$21</f>
        <v>10162.892880000001</v>
      </c>
      <c r="W15" s="281">
        <f>(W6-W14)*$R$21</f>
        <v>10162.892880000001</v>
      </c>
      <c r="X15" s="193"/>
      <c r="Y15" s="100"/>
    </row>
    <row r="16" spans="1:25" x14ac:dyDescent="0.25">
      <c r="A16" s="166" t="s">
        <v>116</v>
      </c>
      <c r="B16" s="101">
        <v>3000</v>
      </c>
      <c r="C16" s="98"/>
      <c r="D16" s="98">
        <f t="shared" si="7"/>
        <v>3000</v>
      </c>
      <c r="E16" s="135">
        <f t="shared" si="5"/>
        <v>1.9925428949320971E-3</v>
      </c>
      <c r="F16" s="98">
        <f>D16</f>
        <v>3000</v>
      </c>
      <c r="G16" s="229"/>
      <c r="H16" s="98"/>
      <c r="I16" s="98"/>
      <c r="J16" s="98"/>
      <c r="K16" s="98"/>
      <c r="L16" s="98"/>
      <c r="M16" s="98"/>
      <c r="N16" s="98"/>
      <c r="O16" s="149"/>
      <c r="P16" s="100"/>
      <c r="Q16" s="204" t="s">
        <v>74</v>
      </c>
      <c r="R16" s="285"/>
      <c r="S16" s="285"/>
      <c r="T16" s="285"/>
      <c r="U16" s="282"/>
      <c r="V16" s="282"/>
      <c r="W16" s="282"/>
      <c r="X16" s="193"/>
      <c r="Y16" s="100"/>
    </row>
    <row r="17" spans="1:25" ht="15.75" thickBot="1" x14ac:dyDescent="0.3">
      <c r="A17" s="166" t="s">
        <v>117</v>
      </c>
      <c r="B17" s="101">
        <v>2500</v>
      </c>
      <c r="C17" s="98"/>
      <c r="D17" s="98">
        <f t="shared" si="7"/>
        <v>2500</v>
      </c>
      <c r="E17" s="135">
        <f t="shared" si="5"/>
        <v>1.6604524124434143E-3</v>
      </c>
      <c r="F17" s="98">
        <f>D17</f>
        <v>2500</v>
      </c>
      <c r="G17" s="229"/>
      <c r="H17" s="98"/>
      <c r="I17" s="98"/>
      <c r="J17" s="98"/>
      <c r="K17" s="98"/>
      <c r="L17" s="98"/>
      <c r="M17" s="98"/>
      <c r="N17" s="98"/>
      <c r="O17" s="149"/>
      <c r="P17" s="100"/>
      <c r="Q17" s="188"/>
      <c r="R17" s="286"/>
      <c r="S17" s="287"/>
      <c r="T17" s="287"/>
      <c r="U17" s="283"/>
      <c r="V17" s="283"/>
      <c r="W17" s="283"/>
      <c r="X17" s="190"/>
      <c r="Y17" s="100"/>
    </row>
    <row r="18" spans="1:25" x14ac:dyDescent="0.25">
      <c r="A18" s="167" t="s">
        <v>118</v>
      </c>
      <c r="B18" s="154">
        <f>SUM(B20:B20)</f>
        <v>0</v>
      </c>
      <c r="C18" s="97">
        <f>SUM(C19:C20)</f>
        <v>332892</v>
      </c>
      <c r="D18" s="97">
        <f>SUM(D19:D20)</f>
        <v>332892</v>
      </c>
      <c r="E18" s="136">
        <f t="shared" si="5"/>
        <v>0.22110052979324521</v>
      </c>
      <c r="F18" s="97">
        <f t="shared" ref="F18:O18" si="15">SUM(F20:F20)</f>
        <v>0</v>
      </c>
      <c r="G18" s="231">
        <f t="shared" si="15"/>
        <v>0</v>
      </c>
      <c r="H18" s="97">
        <f>SUM(H19:H20)</f>
        <v>0</v>
      </c>
      <c r="I18" s="97">
        <f t="shared" ref="I18:M18" si="16">SUM(I19:I20)</f>
        <v>110964</v>
      </c>
      <c r="J18" s="97">
        <f t="shared" si="16"/>
        <v>0</v>
      </c>
      <c r="K18" s="97">
        <f t="shared" si="16"/>
        <v>110964</v>
      </c>
      <c r="L18" s="97">
        <f t="shared" si="16"/>
        <v>0</v>
      </c>
      <c r="M18" s="97">
        <f t="shared" si="16"/>
        <v>110964</v>
      </c>
      <c r="N18" s="97">
        <f t="shared" si="15"/>
        <v>0</v>
      </c>
      <c r="O18" s="150">
        <f t="shared" si="15"/>
        <v>0</v>
      </c>
      <c r="P18" s="100"/>
      <c r="Q18" s="209" t="s">
        <v>75</v>
      </c>
      <c r="R18" s="210"/>
      <c r="S18" s="195"/>
      <c r="T18" s="195"/>
      <c r="U18" s="195"/>
      <c r="V18" s="195"/>
      <c r="W18" s="183"/>
      <c r="X18" s="183"/>
      <c r="Y18" s="100"/>
    </row>
    <row r="19" spans="1:25" x14ac:dyDescent="0.25">
      <c r="A19" s="220" t="s">
        <v>169</v>
      </c>
      <c r="B19" s="242"/>
      <c r="C19" s="243">
        <v>172320</v>
      </c>
      <c r="D19" s="243">
        <f t="shared" ref="D19" si="17">B19+C19</f>
        <v>172320</v>
      </c>
      <c r="E19" s="244">
        <f t="shared" si="5"/>
        <v>0.11445166388489965</v>
      </c>
      <c r="F19" s="243"/>
      <c r="G19" s="245"/>
      <c r="H19" s="243"/>
      <c r="I19" s="243">
        <f>$D$19/3</f>
        <v>57440</v>
      </c>
      <c r="J19" s="243"/>
      <c r="K19" s="243">
        <f>$D$19/3</f>
        <v>57440</v>
      </c>
      <c r="L19" s="243"/>
      <c r="M19" s="243">
        <f>$D$19/3</f>
        <v>57440</v>
      </c>
      <c r="N19" s="243"/>
      <c r="O19" s="246"/>
      <c r="P19" s="100"/>
      <c r="Q19" s="236" t="s">
        <v>76</v>
      </c>
      <c r="R19" s="237">
        <v>0.04</v>
      </c>
      <c r="S19" s="195"/>
      <c r="T19" s="195"/>
      <c r="U19" s="195"/>
      <c r="V19" s="195"/>
      <c r="W19" s="183"/>
      <c r="X19" s="183"/>
      <c r="Y19" s="100"/>
    </row>
    <row r="20" spans="1:25" ht="24" x14ac:dyDescent="0.25">
      <c r="A20" s="220" t="s">
        <v>168</v>
      </c>
      <c r="B20" s="242"/>
      <c r="C20" s="247">
        <v>160572</v>
      </c>
      <c r="D20" s="247">
        <f t="shared" si="7"/>
        <v>160572</v>
      </c>
      <c r="E20" s="248">
        <f t="shared" si="5"/>
        <v>0.10664886590834556</v>
      </c>
      <c r="F20" s="247"/>
      <c r="G20" s="249"/>
      <c r="H20" s="247"/>
      <c r="I20" s="247">
        <f>$D$20/3</f>
        <v>53524</v>
      </c>
      <c r="J20" s="247"/>
      <c r="K20" s="247">
        <f>$D$20/3</f>
        <v>53524</v>
      </c>
      <c r="L20" s="247"/>
      <c r="M20" s="247">
        <f>$D$20/3</f>
        <v>53524</v>
      </c>
      <c r="N20" s="247"/>
      <c r="O20" s="250"/>
      <c r="Q20" s="240" t="s">
        <v>77</v>
      </c>
      <c r="R20" s="241">
        <f>13.5%-4%</f>
        <v>9.5000000000000001E-2</v>
      </c>
      <c r="S20" s="195"/>
      <c r="T20" s="195"/>
      <c r="U20" s="195"/>
      <c r="V20" s="195"/>
      <c r="W20" s="183"/>
      <c r="X20" s="183"/>
      <c r="Y20" s="100"/>
    </row>
    <row r="21" spans="1:25" ht="15.75" thickBot="1" x14ac:dyDescent="0.3">
      <c r="A21" s="167" t="s">
        <v>119</v>
      </c>
      <c r="B21" s="154">
        <f>SUM(B22:B23)</f>
        <v>15000</v>
      </c>
      <c r="C21" s="97">
        <f t="shared" ref="C21:G21" si="18">SUM(C22:C23)</f>
        <v>55000</v>
      </c>
      <c r="D21" s="97">
        <f t="shared" si="18"/>
        <v>70000</v>
      </c>
      <c r="E21" s="136">
        <f t="shared" si="5"/>
        <v>4.6492667548415599E-2</v>
      </c>
      <c r="F21" s="97">
        <f t="shared" si="18"/>
        <v>0</v>
      </c>
      <c r="G21" s="231">
        <f t="shared" si="18"/>
        <v>0</v>
      </c>
      <c r="H21" s="97">
        <f>SUM(H22:H23)</f>
        <v>15000</v>
      </c>
      <c r="I21" s="97">
        <f t="shared" ref="I21" si="19">SUM(I22:I23)</f>
        <v>18333.333333333332</v>
      </c>
      <c r="J21" s="97">
        <f t="shared" ref="J21" si="20">SUM(J22:J23)</f>
        <v>0</v>
      </c>
      <c r="K21" s="97">
        <f t="shared" ref="K21" si="21">SUM(K22:K23)</f>
        <v>18333.333333333332</v>
      </c>
      <c r="L21" s="97">
        <f t="shared" ref="L21" si="22">SUM(L22:L23)</f>
        <v>0</v>
      </c>
      <c r="M21" s="97">
        <f t="shared" ref="M21" si="23">SUM(M22:M23)</f>
        <v>18333.333333333332</v>
      </c>
      <c r="N21" s="97">
        <f t="shared" ref="N21" si="24">SUM(N22:N23)</f>
        <v>0</v>
      </c>
      <c r="O21" s="150">
        <f t="shared" ref="O21" si="25">SUM(O22:O23)</f>
        <v>0</v>
      </c>
      <c r="Q21" s="239" t="s">
        <v>36</v>
      </c>
      <c r="R21" s="238">
        <f>R20+R19</f>
        <v>0.13500000000000001</v>
      </c>
      <c r="S21" s="199"/>
      <c r="T21" s="199"/>
      <c r="U21" s="199"/>
      <c r="V21" s="199"/>
      <c r="W21" s="188"/>
      <c r="X21" s="188"/>
      <c r="Y21" s="100"/>
    </row>
    <row r="22" spans="1:25" x14ac:dyDescent="0.25">
      <c r="A22" s="220" t="s">
        <v>120</v>
      </c>
      <c r="B22" s="221"/>
      <c r="C22" s="222">
        <v>55000</v>
      </c>
      <c r="D22" s="222">
        <f t="shared" si="7"/>
        <v>55000</v>
      </c>
      <c r="E22" s="223">
        <f t="shared" si="5"/>
        <v>3.652995307375511E-2</v>
      </c>
      <c r="F22" s="222"/>
      <c r="G22" s="251"/>
      <c r="H22" s="222"/>
      <c r="I22" s="222">
        <f>$D$22/3</f>
        <v>18333.333333333332</v>
      </c>
      <c r="J22" s="222"/>
      <c r="K22" s="222">
        <f>$D$22/3</f>
        <v>18333.333333333332</v>
      </c>
      <c r="L22" s="222"/>
      <c r="M22" s="222">
        <f>$D$22/3</f>
        <v>18333.333333333332</v>
      </c>
      <c r="N22" s="222"/>
      <c r="O22" s="224"/>
      <c r="S22" s="81"/>
      <c r="T22" s="81"/>
      <c r="U22" s="81"/>
      <c r="V22" s="81"/>
      <c r="Y22" s="100"/>
    </row>
    <row r="23" spans="1:25" x14ac:dyDescent="0.25">
      <c r="A23" s="166" t="s">
        <v>121</v>
      </c>
      <c r="B23" s="101">
        <v>15000</v>
      </c>
      <c r="C23" s="98"/>
      <c r="D23" s="98">
        <f t="shared" si="7"/>
        <v>15000</v>
      </c>
      <c r="E23" s="135">
        <f t="shared" si="5"/>
        <v>9.9627144746604855E-3</v>
      </c>
      <c r="F23" s="98"/>
      <c r="G23" s="229"/>
      <c r="H23" s="98">
        <f>D23</f>
        <v>15000</v>
      </c>
      <c r="I23" s="98"/>
      <c r="J23" s="98"/>
      <c r="K23" s="98"/>
      <c r="L23" s="98"/>
      <c r="M23" s="98"/>
      <c r="N23" s="98"/>
      <c r="O23" s="149"/>
      <c r="Y23" s="100"/>
    </row>
    <row r="24" spans="1:25" x14ac:dyDescent="0.25">
      <c r="A24" s="167" t="s">
        <v>122</v>
      </c>
      <c r="B24" s="154">
        <f>SUM(B25)</f>
        <v>75400</v>
      </c>
      <c r="C24" s="97">
        <f t="shared" ref="C24:G24" si="26">SUM(C25)</f>
        <v>0</v>
      </c>
      <c r="D24" s="97">
        <f t="shared" si="26"/>
        <v>75400</v>
      </c>
      <c r="E24" s="136">
        <f t="shared" si="5"/>
        <v>5.0079244759293373E-2</v>
      </c>
      <c r="F24" s="97">
        <f t="shared" si="26"/>
        <v>0</v>
      </c>
      <c r="G24" s="231">
        <f t="shared" si="26"/>
        <v>0</v>
      </c>
      <c r="H24" s="97">
        <f>SUM(H25)</f>
        <v>11310</v>
      </c>
      <c r="I24" s="97">
        <f t="shared" ref="I24" si="27">SUM(I25)</f>
        <v>0</v>
      </c>
      <c r="J24" s="97">
        <f t="shared" ref="J24" si="28">SUM(J25)</f>
        <v>15080</v>
      </c>
      <c r="K24" s="97">
        <f t="shared" ref="K24" si="29">SUM(K25)</f>
        <v>0</v>
      </c>
      <c r="L24" s="97">
        <f t="shared" ref="L24" si="30">SUM(L25)</f>
        <v>45240</v>
      </c>
      <c r="M24" s="97">
        <f t="shared" ref="M24" si="31">SUM(M25)</f>
        <v>0</v>
      </c>
      <c r="N24" s="97">
        <f t="shared" ref="N24" si="32">SUM(N25)</f>
        <v>3770</v>
      </c>
      <c r="O24" s="150">
        <f t="shared" ref="O24" si="33">SUM(O25)</f>
        <v>0</v>
      </c>
      <c r="T24" s="85"/>
      <c r="U24" s="82"/>
      <c r="V24" s="82"/>
    </row>
    <row r="25" spans="1:25" x14ac:dyDescent="0.25">
      <c r="A25" s="166" t="s">
        <v>123</v>
      </c>
      <c r="B25" s="101">
        <f>65*1160</f>
        <v>75400</v>
      </c>
      <c r="C25" s="98"/>
      <c r="D25" s="98">
        <f t="shared" si="7"/>
        <v>75400</v>
      </c>
      <c r="E25" s="135">
        <f t="shared" si="5"/>
        <v>5.0079244759293373E-2</v>
      </c>
      <c r="F25" s="98"/>
      <c r="G25" s="229"/>
      <c r="H25" s="98">
        <f>$D$25*0.15</f>
        <v>11310</v>
      </c>
      <c r="I25" s="98"/>
      <c r="J25" s="98">
        <f>$D$25*0.2</f>
        <v>15080</v>
      </c>
      <c r="K25" s="98"/>
      <c r="L25" s="98">
        <f>$D$25*0.6</f>
        <v>45240</v>
      </c>
      <c r="M25" s="98"/>
      <c r="N25" s="98">
        <f>$D$25*0.05</f>
        <v>3770</v>
      </c>
      <c r="O25" s="149"/>
      <c r="T25" s="85"/>
      <c r="U25" s="82"/>
      <c r="V25" s="82"/>
    </row>
    <row r="26" spans="1:25" x14ac:dyDescent="0.25">
      <c r="A26" s="167" t="s">
        <v>124</v>
      </c>
      <c r="B26" s="154">
        <f>SUM(B27:B29)</f>
        <v>51000</v>
      </c>
      <c r="C26" s="97">
        <f t="shared" ref="C26:G26" si="34">SUM(C27:C29)</f>
        <v>75000</v>
      </c>
      <c r="D26" s="97">
        <f t="shared" si="34"/>
        <v>126000</v>
      </c>
      <c r="E26" s="136">
        <f t="shared" si="5"/>
        <v>8.3686801587148071E-2</v>
      </c>
      <c r="F26" s="97">
        <f t="shared" si="34"/>
        <v>0</v>
      </c>
      <c r="G26" s="231">
        <f t="shared" si="34"/>
        <v>0</v>
      </c>
      <c r="H26" s="97">
        <f>SUM(H27:H29)</f>
        <v>25500</v>
      </c>
      <c r="I26" s="97">
        <f t="shared" ref="I26" si="35">SUM(I27:I29)</f>
        <v>25000</v>
      </c>
      <c r="J26" s="97">
        <f t="shared" ref="J26" si="36">SUM(J27:J29)</f>
        <v>25500</v>
      </c>
      <c r="K26" s="97">
        <f t="shared" ref="K26" si="37">SUM(K27:K29)</f>
        <v>25000</v>
      </c>
      <c r="L26" s="97">
        <f t="shared" ref="L26" si="38">SUM(L27:L29)</f>
        <v>0</v>
      </c>
      <c r="M26" s="97">
        <f t="shared" ref="M26" si="39">SUM(M27:M29)</f>
        <v>25000</v>
      </c>
      <c r="N26" s="97">
        <f t="shared" ref="N26" si="40">SUM(N27:N29)</f>
        <v>0</v>
      </c>
      <c r="O26" s="150">
        <f t="shared" ref="O26" si="41">SUM(O27:O29)</f>
        <v>0</v>
      </c>
      <c r="T26" s="85"/>
    </row>
    <row r="27" spans="1:25" x14ac:dyDescent="0.25">
      <c r="A27" s="220" t="s">
        <v>125</v>
      </c>
      <c r="B27" s="221"/>
      <c r="C27" s="222">
        <v>75000</v>
      </c>
      <c r="D27" s="222">
        <f t="shared" si="7"/>
        <v>75000</v>
      </c>
      <c r="E27" s="223">
        <f t="shared" si="5"/>
        <v>4.9813572373302424E-2</v>
      </c>
      <c r="F27" s="222"/>
      <c r="G27" s="251"/>
      <c r="H27" s="222"/>
      <c r="I27" s="222">
        <f>D27/3</f>
        <v>25000</v>
      </c>
      <c r="J27" s="222"/>
      <c r="K27" s="222">
        <f>D27/3</f>
        <v>25000</v>
      </c>
      <c r="L27" s="222"/>
      <c r="M27" s="222">
        <f>D27/3</f>
        <v>25000</v>
      </c>
      <c r="N27" s="222"/>
      <c r="O27" s="224"/>
      <c r="Q27" s="99"/>
      <c r="T27" s="85"/>
    </row>
    <row r="28" spans="1:25" x14ac:dyDescent="0.25">
      <c r="A28" s="166" t="s">
        <v>126</v>
      </c>
      <c r="B28" s="101">
        <v>30000</v>
      </c>
      <c r="C28" s="98"/>
      <c r="D28" s="98">
        <f t="shared" si="7"/>
        <v>30000</v>
      </c>
      <c r="E28" s="135">
        <f t="shared" si="5"/>
        <v>1.9925428949320971E-2</v>
      </c>
      <c r="F28" s="98"/>
      <c r="G28" s="229"/>
      <c r="H28" s="98">
        <f>D28/2</f>
        <v>15000</v>
      </c>
      <c r="I28" s="98"/>
      <c r="J28" s="98">
        <f>D28/2</f>
        <v>15000</v>
      </c>
      <c r="K28" s="98"/>
      <c r="L28" s="98"/>
      <c r="M28" s="98"/>
      <c r="N28" s="98"/>
      <c r="O28" s="149"/>
      <c r="S28" s="84"/>
      <c r="T28" s="85"/>
    </row>
    <row r="29" spans="1:25" x14ac:dyDescent="0.25">
      <c r="A29" s="166" t="s">
        <v>127</v>
      </c>
      <c r="B29" s="101">
        <v>21000</v>
      </c>
      <c r="C29" s="98"/>
      <c r="D29" s="98">
        <f t="shared" si="7"/>
        <v>21000</v>
      </c>
      <c r="E29" s="135">
        <f t="shared" si="5"/>
        <v>1.394780026452468E-2</v>
      </c>
      <c r="F29" s="98"/>
      <c r="G29" s="229"/>
      <c r="H29" s="98">
        <f>D29/2</f>
        <v>10500</v>
      </c>
      <c r="I29" s="98"/>
      <c r="J29" s="98">
        <f>D29/2</f>
        <v>10500</v>
      </c>
      <c r="K29" s="98"/>
      <c r="L29" s="98"/>
      <c r="M29" s="98"/>
      <c r="N29" s="98"/>
      <c r="O29" s="149"/>
      <c r="S29" s="84"/>
      <c r="T29" s="85"/>
    </row>
    <row r="30" spans="1:25" x14ac:dyDescent="0.25">
      <c r="A30" s="168" t="s">
        <v>128</v>
      </c>
      <c r="B30" s="154">
        <f>SUM(B31:B33)</f>
        <v>51700</v>
      </c>
      <c r="C30" s="97">
        <f t="shared" ref="C30:G30" si="42">SUM(C31:C33)</f>
        <v>0</v>
      </c>
      <c r="D30" s="97">
        <f t="shared" si="42"/>
        <v>51700</v>
      </c>
      <c r="E30" s="136">
        <f t="shared" si="5"/>
        <v>3.4338155889329806E-2</v>
      </c>
      <c r="F30" s="97">
        <f t="shared" si="42"/>
        <v>0</v>
      </c>
      <c r="G30" s="231">
        <f t="shared" si="42"/>
        <v>0</v>
      </c>
      <c r="H30" s="97">
        <f>SUM(H31:H33)</f>
        <v>0</v>
      </c>
      <c r="I30" s="97">
        <f t="shared" ref="I30" si="43">SUM(I31:I33)</f>
        <v>0</v>
      </c>
      <c r="J30" s="97">
        <f t="shared" ref="J30" si="44">SUM(J31:J33)</f>
        <v>16500</v>
      </c>
      <c r="K30" s="97">
        <f t="shared" ref="K30" si="45">SUM(K31:K33)</f>
        <v>0</v>
      </c>
      <c r="L30" s="97">
        <f t="shared" ref="L30" si="46">SUM(L31:L33)</f>
        <v>17600</v>
      </c>
      <c r="M30" s="97">
        <f t="shared" ref="M30" si="47">SUM(M31:M33)</f>
        <v>0</v>
      </c>
      <c r="N30" s="97">
        <f t="shared" ref="N30" si="48">SUM(N31:N33)</f>
        <v>17600</v>
      </c>
      <c r="O30" s="150">
        <f t="shared" ref="O30" si="49">SUM(O31:O33)</f>
        <v>0</v>
      </c>
      <c r="S30" s="84"/>
      <c r="T30" s="85"/>
      <c r="U30" s="82"/>
      <c r="V30" s="82"/>
    </row>
    <row r="31" spans="1:25" x14ac:dyDescent="0.25">
      <c r="A31" s="169" t="s">
        <v>129</v>
      </c>
      <c r="B31" s="101">
        <v>35200</v>
      </c>
      <c r="C31" s="98"/>
      <c r="D31" s="98">
        <f t="shared" si="7"/>
        <v>35200</v>
      </c>
      <c r="E31" s="135">
        <f t="shared" si="5"/>
        <v>2.3379169967203271E-2</v>
      </c>
      <c r="F31" s="98"/>
      <c r="G31" s="229"/>
      <c r="H31" s="98"/>
      <c r="I31" s="98"/>
      <c r="J31" s="98"/>
      <c r="K31" s="98"/>
      <c r="L31" s="98">
        <f>B31/2</f>
        <v>17600</v>
      </c>
      <c r="M31" s="98"/>
      <c r="N31" s="98">
        <f>B31/2</f>
        <v>17600</v>
      </c>
      <c r="O31" s="149"/>
      <c r="S31" s="86"/>
      <c r="T31" s="83"/>
      <c r="U31" s="82"/>
      <c r="V31" s="82"/>
    </row>
    <row r="32" spans="1:25" x14ac:dyDescent="0.25">
      <c r="A32" s="166" t="s">
        <v>130</v>
      </c>
      <c r="B32" s="101">
        <v>15500</v>
      </c>
      <c r="C32" s="98"/>
      <c r="D32" s="98">
        <f t="shared" si="7"/>
        <v>15500</v>
      </c>
      <c r="E32" s="135">
        <f t="shared" si="5"/>
        <v>1.0294804957149168E-2</v>
      </c>
      <c r="F32" s="98"/>
      <c r="G32" s="229"/>
      <c r="H32" s="102"/>
      <c r="I32" s="102"/>
      <c r="J32" s="102">
        <v>15500</v>
      </c>
      <c r="K32" s="102"/>
      <c r="L32" s="102"/>
      <c r="M32" s="102"/>
      <c r="N32" s="102"/>
      <c r="O32" s="157"/>
      <c r="S32" s="84"/>
      <c r="T32" s="85"/>
      <c r="U32" s="82"/>
      <c r="V32" s="82"/>
    </row>
    <row r="33" spans="1:22" x14ac:dyDescent="0.25">
      <c r="A33" s="166" t="s">
        <v>131</v>
      </c>
      <c r="B33" s="101">
        <v>1000</v>
      </c>
      <c r="C33" s="98"/>
      <c r="D33" s="98">
        <f t="shared" si="7"/>
        <v>1000</v>
      </c>
      <c r="E33" s="135">
        <f t="shared" si="5"/>
        <v>6.641809649773657E-4</v>
      </c>
      <c r="F33" s="98"/>
      <c r="G33" s="232"/>
      <c r="H33" s="158"/>
      <c r="I33" s="159"/>
      <c r="J33" s="159">
        <v>1000</v>
      </c>
      <c r="K33" s="159"/>
      <c r="L33" s="159"/>
      <c r="M33" s="159"/>
      <c r="N33" s="159"/>
      <c r="O33" s="170"/>
      <c r="S33" s="309"/>
      <c r="T33" s="309"/>
      <c r="U33" s="82"/>
      <c r="V33" s="82"/>
    </row>
    <row r="34" spans="1:22" x14ac:dyDescent="0.25">
      <c r="A34" s="167" t="s">
        <v>132</v>
      </c>
      <c r="B34" s="154">
        <f>SUM(B35)</f>
        <v>10000</v>
      </c>
      <c r="C34" s="97">
        <f t="shared" ref="C34:G34" si="50">SUM(C35)</f>
        <v>0</v>
      </c>
      <c r="D34" s="97">
        <f t="shared" si="50"/>
        <v>10000</v>
      </c>
      <c r="E34" s="136">
        <f t="shared" si="5"/>
        <v>6.641809649773657E-3</v>
      </c>
      <c r="F34" s="97">
        <f t="shared" si="50"/>
        <v>0</v>
      </c>
      <c r="G34" s="233">
        <f t="shared" si="50"/>
        <v>0</v>
      </c>
      <c r="H34" s="160">
        <f>SUM(H35)</f>
        <v>0</v>
      </c>
      <c r="I34" s="97">
        <f t="shared" ref="I34" si="51">SUM(I35)</f>
        <v>0</v>
      </c>
      <c r="J34" s="97">
        <f t="shared" ref="J34" si="52">SUM(J35)</f>
        <v>10000</v>
      </c>
      <c r="K34" s="97">
        <f t="shared" ref="K34" si="53">SUM(K35)</f>
        <v>0</v>
      </c>
      <c r="L34" s="97">
        <f t="shared" ref="L34" si="54">SUM(L35)</f>
        <v>0</v>
      </c>
      <c r="M34" s="97">
        <f t="shared" ref="M34" si="55">SUM(M35)</f>
        <v>0</v>
      </c>
      <c r="N34" s="97">
        <f t="shared" ref="N34" si="56">SUM(N35)</f>
        <v>0</v>
      </c>
      <c r="O34" s="150">
        <f t="shared" ref="O34" si="57">SUM(O35)</f>
        <v>0</v>
      </c>
      <c r="S34" s="84"/>
      <c r="T34" s="82"/>
      <c r="U34" s="82"/>
      <c r="V34" s="82"/>
    </row>
    <row r="35" spans="1:22" x14ac:dyDescent="0.25">
      <c r="A35" s="166" t="s">
        <v>133</v>
      </c>
      <c r="B35" s="101">
        <v>10000</v>
      </c>
      <c r="C35" s="98"/>
      <c r="D35" s="98">
        <f t="shared" si="7"/>
        <v>10000</v>
      </c>
      <c r="E35" s="135">
        <f t="shared" si="5"/>
        <v>6.641809649773657E-3</v>
      </c>
      <c r="F35" s="98"/>
      <c r="G35" s="232"/>
      <c r="H35" s="161"/>
      <c r="I35" s="98"/>
      <c r="J35" s="98">
        <v>10000</v>
      </c>
      <c r="K35" s="98"/>
      <c r="L35" s="98"/>
      <c r="M35" s="98"/>
      <c r="N35" s="98"/>
      <c r="O35" s="149"/>
      <c r="S35" s="87"/>
      <c r="T35" s="82"/>
      <c r="U35" s="82"/>
      <c r="V35" s="82"/>
    </row>
    <row r="36" spans="1:22" x14ac:dyDescent="0.25">
      <c r="A36" s="167" t="s">
        <v>134</v>
      </c>
      <c r="B36" s="154">
        <f>SUM(B37)</f>
        <v>10000</v>
      </c>
      <c r="C36" s="97">
        <f t="shared" ref="C36:G36" si="58">SUM(C37)</f>
        <v>0</v>
      </c>
      <c r="D36" s="97">
        <f t="shared" si="58"/>
        <v>10000</v>
      </c>
      <c r="E36" s="136">
        <f t="shared" si="5"/>
        <v>6.641809649773657E-3</v>
      </c>
      <c r="F36" s="97">
        <f t="shared" si="58"/>
        <v>0</v>
      </c>
      <c r="G36" s="233">
        <f t="shared" si="58"/>
        <v>0</v>
      </c>
      <c r="H36" s="160">
        <f>SUM(H37)</f>
        <v>0</v>
      </c>
      <c r="I36" s="97">
        <f t="shared" ref="I36" si="59">SUM(I37)</f>
        <v>0</v>
      </c>
      <c r="J36" s="97">
        <f t="shared" ref="J36" si="60">SUM(J37)</f>
        <v>10000</v>
      </c>
      <c r="K36" s="97">
        <f t="shared" ref="K36" si="61">SUM(K37)</f>
        <v>0</v>
      </c>
      <c r="L36" s="97">
        <f t="shared" ref="L36" si="62">SUM(L37)</f>
        <v>0</v>
      </c>
      <c r="M36" s="97">
        <f t="shared" ref="M36" si="63">SUM(M37)</f>
        <v>0</v>
      </c>
      <c r="N36" s="97">
        <f t="shared" ref="N36" si="64">SUM(N37)</f>
        <v>0</v>
      </c>
      <c r="O36" s="150">
        <f t="shared" ref="O36" si="65">SUM(O37)</f>
        <v>0</v>
      </c>
      <c r="S36" s="88"/>
      <c r="T36" s="85"/>
      <c r="U36" s="82"/>
      <c r="V36" s="82"/>
    </row>
    <row r="37" spans="1:22" ht="24" x14ac:dyDescent="0.25">
      <c r="A37" s="171" t="s">
        <v>170</v>
      </c>
      <c r="B37" s="252">
        <v>10000</v>
      </c>
      <c r="C37" s="253"/>
      <c r="D37" s="253">
        <f t="shared" si="7"/>
        <v>10000</v>
      </c>
      <c r="E37" s="254">
        <f t="shared" si="5"/>
        <v>6.641809649773657E-3</v>
      </c>
      <c r="F37" s="253"/>
      <c r="G37" s="255"/>
      <c r="H37" s="256"/>
      <c r="I37" s="253"/>
      <c r="J37" s="253">
        <v>10000</v>
      </c>
      <c r="K37" s="253"/>
      <c r="L37" s="253"/>
      <c r="M37" s="253"/>
      <c r="N37" s="253"/>
      <c r="O37" s="257"/>
      <c r="S37" s="82"/>
      <c r="T37" s="82"/>
      <c r="U37" s="82"/>
      <c r="V37" s="82"/>
    </row>
    <row r="38" spans="1:22" x14ac:dyDescent="0.25">
      <c r="A38" s="165" t="s">
        <v>135</v>
      </c>
      <c r="B38" s="154">
        <f>SUM(B39:B40)</f>
        <v>4400</v>
      </c>
      <c r="C38" s="97">
        <f t="shared" ref="C38:G38" si="66">SUM(C39:C40)</f>
        <v>0</v>
      </c>
      <c r="D38" s="97">
        <f t="shared" si="66"/>
        <v>4400</v>
      </c>
      <c r="E38" s="136">
        <f t="shared" ref="E38:E69" si="67">D38/$X$6</f>
        <v>2.9223962459004088E-3</v>
      </c>
      <c r="F38" s="97">
        <f t="shared" si="66"/>
        <v>0</v>
      </c>
      <c r="G38" s="233">
        <f t="shared" si="66"/>
        <v>0</v>
      </c>
      <c r="H38" s="160">
        <f>SUM(H39:H40)</f>
        <v>0</v>
      </c>
      <c r="I38" s="97">
        <f t="shared" ref="I38" si="68">SUM(I39:I40)</f>
        <v>0</v>
      </c>
      <c r="J38" s="97">
        <f t="shared" ref="J38" si="69">SUM(J39:J40)</f>
        <v>4400</v>
      </c>
      <c r="K38" s="97">
        <f t="shared" ref="K38" si="70">SUM(K39:K40)</f>
        <v>0</v>
      </c>
      <c r="L38" s="97">
        <f t="shared" ref="L38" si="71">SUM(L39:L40)</f>
        <v>0</v>
      </c>
      <c r="M38" s="97">
        <f t="shared" ref="M38" si="72">SUM(M39:M40)</f>
        <v>0</v>
      </c>
      <c r="N38" s="97">
        <f t="shared" ref="N38" si="73">SUM(N39:N40)</f>
        <v>0</v>
      </c>
      <c r="O38" s="150">
        <f t="shared" ref="O38" si="74">SUM(O39:O40)</f>
        <v>0</v>
      </c>
      <c r="S38" s="85"/>
      <c r="T38" s="82"/>
      <c r="U38" s="82"/>
      <c r="V38" s="82"/>
    </row>
    <row r="39" spans="1:22" x14ac:dyDescent="0.25">
      <c r="A39" s="166" t="s">
        <v>136</v>
      </c>
      <c r="B39" s="101">
        <v>2400</v>
      </c>
      <c r="C39" s="98"/>
      <c r="D39" s="98">
        <f t="shared" si="7"/>
        <v>2400</v>
      </c>
      <c r="E39" s="135">
        <f t="shared" si="67"/>
        <v>1.5940343159456776E-3</v>
      </c>
      <c r="F39" s="98"/>
      <c r="G39" s="232"/>
      <c r="H39" s="161"/>
      <c r="I39" s="98"/>
      <c r="J39" s="98">
        <v>2400</v>
      </c>
      <c r="K39" s="98"/>
      <c r="L39" s="98"/>
      <c r="M39" s="98"/>
      <c r="N39" s="98"/>
      <c r="O39" s="149"/>
      <c r="S39" s="82"/>
      <c r="T39" s="82"/>
      <c r="U39" s="82"/>
      <c r="V39" s="82"/>
    </row>
    <row r="40" spans="1:22" x14ac:dyDescent="0.25">
      <c r="A40" s="166" t="s">
        <v>137</v>
      </c>
      <c r="B40" s="101">
        <v>2000</v>
      </c>
      <c r="C40" s="98"/>
      <c r="D40" s="98">
        <f t="shared" si="7"/>
        <v>2000</v>
      </c>
      <c r="E40" s="135">
        <f t="shared" si="67"/>
        <v>1.3283619299547314E-3</v>
      </c>
      <c r="F40" s="98"/>
      <c r="G40" s="232"/>
      <c r="H40" s="161"/>
      <c r="I40" s="98"/>
      <c r="J40" s="98">
        <v>2000</v>
      </c>
      <c r="K40" s="98"/>
      <c r="L40" s="98"/>
      <c r="M40" s="98"/>
      <c r="N40" s="98"/>
      <c r="O40" s="149"/>
      <c r="S40" s="82"/>
      <c r="T40" s="82"/>
      <c r="U40" s="82"/>
      <c r="V40" s="82"/>
    </row>
    <row r="41" spans="1:22" x14ac:dyDescent="0.25">
      <c r="A41" s="167" t="s">
        <v>138</v>
      </c>
      <c r="B41" s="154">
        <f>SUM(B42:B43)</f>
        <v>7200</v>
      </c>
      <c r="C41" s="97">
        <f t="shared" ref="C41:G41" si="75">SUM(C42:C43)</f>
        <v>0</v>
      </c>
      <c r="D41" s="97">
        <f t="shared" si="75"/>
        <v>7200</v>
      </c>
      <c r="E41" s="136">
        <f t="shared" si="67"/>
        <v>4.7821029478370327E-3</v>
      </c>
      <c r="F41" s="97">
        <f t="shared" si="75"/>
        <v>0</v>
      </c>
      <c r="G41" s="233">
        <f t="shared" si="75"/>
        <v>0</v>
      </c>
      <c r="H41" s="160">
        <f>SUM(H42:H43)</f>
        <v>0</v>
      </c>
      <c r="I41" s="97">
        <f t="shared" ref="I41" si="76">SUM(I42:I43)</f>
        <v>0</v>
      </c>
      <c r="J41" s="97">
        <f t="shared" ref="J41" si="77">SUM(J42:J43)</f>
        <v>0</v>
      </c>
      <c r="K41" s="97">
        <f t="shared" ref="K41" si="78">SUM(K42:K43)</f>
        <v>0</v>
      </c>
      <c r="L41" s="97">
        <f t="shared" ref="L41" si="79">SUM(L42:L43)</f>
        <v>7200</v>
      </c>
      <c r="M41" s="97">
        <f t="shared" ref="M41" si="80">SUM(M42:M43)</f>
        <v>0</v>
      </c>
      <c r="N41" s="97">
        <f t="shared" ref="N41" si="81">SUM(N42:N43)</f>
        <v>0</v>
      </c>
      <c r="O41" s="150">
        <f t="shared" ref="O41" si="82">SUM(O42:O43)</f>
        <v>0</v>
      </c>
      <c r="S41" s="82"/>
      <c r="T41" s="82"/>
      <c r="U41" s="82"/>
      <c r="V41" s="82"/>
    </row>
    <row r="42" spans="1:22" x14ac:dyDescent="0.25">
      <c r="A42" s="166" t="s">
        <v>139</v>
      </c>
      <c r="B42" s="101">
        <v>4800</v>
      </c>
      <c r="C42" s="98"/>
      <c r="D42" s="98">
        <f t="shared" si="7"/>
        <v>4800</v>
      </c>
      <c r="E42" s="135">
        <f t="shared" si="67"/>
        <v>3.1880686318913553E-3</v>
      </c>
      <c r="F42" s="98"/>
      <c r="G42" s="232"/>
      <c r="H42" s="161"/>
      <c r="I42" s="98"/>
      <c r="J42" s="98"/>
      <c r="K42" s="98"/>
      <c r="L42" s="98">
        <v>4800</v>
      </c>
      <c r="M42" s="98"/>
      <c r="N42" s="98"/>
      <c r="O42" s="149"/>
      <c r="S42" s="82"/>
      <c r="T42" s="82"/>
      <c r="U42" s="82"/>
      <c r="V42" s="82"/>
    </row>
    <row r="43" spans="1:22" x14ac:dyDescent="0.25">
      <c r="A43" s="166" t="s">
        <v>140</v>
      </c>
      <c r="B43" s="101">
        <v>2400</v>
      </c>
      <c r="C43" s="98"/>
      <c r="D43" s="98">
        <f t="shared" si="7"/>
        <v>2400</v>
      </c>
      <c r="E43" s="135">
        <f t="shared" si="67"/>
        <v>1.5940343159456776E-3</v>
      </c>
      <c r="F43" s="98"/>
      <c r="G43" s="232"/>
      <c r="H43" s="161"/>
      <c r="I43" s="98"/>
      <c r="J43" s="98"/>
      <c r="K43" s="98"/>
      <c r="L43" s="98">
        <v>2400</v>
      </c>
      <c r="M43" s="98"/>
      <c r="N43" s="98"/>
      <c r="O43" s="149"/>
      <c r="S43" s="90"/>
      <c r="T43" s="89"/>
      <c r="U43" s="82"/>
      <c r="V43" s="82"/>
    </row>
    <row r="44" spans="1:22" x14ac:dyDescent="0.25">
      <c r="A44" s="167" t="s">
        <v>141</v>
      </c>
      <c r="B44" s="154">
        <f>SUM(B45:B54)</f>
        <v>383000</v>
      </c>
      <c r="C44" s="97">
        <f t="shared" ref="C44:G44" si="83">SUM(C45:C54)</f>
        <v>0</v>
      </c>
      <c r="D44" s="97">
        <f t="shared" si="83"/>
        <v>383000</v>
      </c>
      <c r="E44" s="136">
        <f t="shared" si="67"/>
        <v>0.25438130958633104</v>
      </c>
      <c r="F44" s="97">
        <f t="shared" si="83"/>
        <v>67000</v>
      </c>
      <c r="G44" s="233">
        <f t="shared" si="83"/>
        <v>0</v>
      </c>
      <c r="H44" s="160">
        <f>SUM(H45:H54)</f>
        <v>109500</v>
      </c>
      <c r="I44" s="97">
        <f t="shared" ref="I44" si="84">SUM(I45:I54)</f>
        <v>0</v>
      </c>
      <c r="J44" s="97">
        <f t="shared" ref="J44" si="85">SUM(J45:J54)</f>
        <v>93500</v>
      </c>
      <c r="K44" s="97">
        <f t="shared" ref="K44" si="86">SUM(K45:K54)</f>
        <v>0</v>
      </c>
      <c r="L44" s="97">
        <f t="shared" ref="L44" si="87">SUM(L45:L54)</f>
        <v>93500</v>
      </c>
      <c r="M44" s="97">
        <f t="shared" ref="M44" si="88">SUM(M45:M54)</f>
        <v>0</v>
      </c>
      <c r="N44" s="97">
        <f t="shared" ref="N44" si="89">SUM(N45:N54)</f>
        <v>93500</v>
      </c>
      <c r="O44" s="150">
        <f t="shared" ref="O44" si="90">SUM(O45:O54)</f>
        <v>0</v>
      </c>
      <c r="S44" s="91"/>
      <c r="T44" s="92"/>
      <c r="U44" s="82"/>
      <c r="V44" s="82"/>
    </row>
    <row r="45" spans="1:22" x14ac:dyDescent="0.25">
      <c r="A45" s="166" t="s">
        <v>142</v>
      </c>
      <c r="B45" s="101">
        <f>44000*3.5</f>
        <v>154000</v>
      </c>
      <c r="C45" s="98"/>
      <c r="D45" s="98">
        <f>B45+C45</f>
        <v>154000</v>
      </c>
      <c r="E45" s="135">
        <f t="shared" si="67"/>
        <v>0.10228386860651431</v>
      </c>
      <c r="F45" s="98">
        <f>$D$45/3.5</f>
        <v>44000</v>
      </c>
      <c r="G45" s="232"/>
      <c r="H45" s="161">
        <f>$D$45/3.5</f>
        <v>44000</v>
      </c>
      <c r="I45" s="98"/>
      <c r="J45" s="98">
        <f>$D$45/3.5</f>
        <v>44000</v>
      </c>
      <c r="K45" s="98"/>
      <c r="L45" s="98">
        <f>$D$45/3.5</f>
        <v>44000</v>
      </c>
      <c r="M45" s="98"/>
      <c r="N45" s="98">
        <f>$D$45/3.5</f>
        <v>44000</v>
      </c>
      <c r="O45" s="149"/>
      <c r="S45" s="93"/>
      <c r="T45" s="94"/>
      <c r="U45" s="82"/>
      <c r="V45" s="82"/>
    </row>
    <row r="46" spans="1:22" x14ac:dyDescent="0.25">
      <c r="A46" s="166" t="s">
        <v>143</v>
      </c>
      <c r="B46" s="101">
        <f>16000*3.5</f>
        <v>56000</v>
      </c>
      <c r="C46" s="98"/>
      <c r="D46" s="98">
        <f t="shared" si="7"/>
        <v>56000</v>
      </c>
      <c r="E46" s="135">
        <f t="shared" si="67"/>
        <v>3.7194134038732479E-2</v>
      </c>
      <c r="F46" s="98"/>
      <c r="G46" s="232"/>
      <c r="H46" s="161">
        <f>$D$46/3.5</f>
        <v>16000</v>
      </c>
      <c r="I46" s="98"/>
      <c r="J46" s="98">
        <f>$D$46/3.5</f>
        <v>16000</v>
      </c>
      <c r="K46" s="98"/>
      <c r="L46" s="98">
        <f>$D$46/3.5</f>
        <v>16000</v>
      </c>
      <c r="M46" s="98"/>
      <c r="N46" s="98">
        <f>$D$46/3.5</f>
        <v>16000</v>
      </c>
      <c r="O46" s="149"/>
      <c r="S46" s="91"/>
      <c r="T46" s="92"/>
      <c r="U46" s="82"/>
      <c r="V46" s="82"/>
    </row>
    <row r="47" spans="1:22" x14ac:dyDescent="0.25">
      <c r="A47" s="166" t="s">
        <v>144</v>
      </c>
      <c r="B47" s="101">
        <f>SUM(F47:O47)</f>
        <v>47000</v>
      </c>
      <c r="C47" s="98"/>
      <c r="D47" s="98">
        <f t="shared" si="7"/>
        <v>47000</v>
      </c>
      <c r="E47" s="135">
        <f t="shared" si="67"/>
        <v>3.1216505353936188E-2</v>
      </c>
      <c r="F47" s="98">
        <v>7000</v>
      </c>
      <c r="G47" s="232"/>
      <c r="H47" s="161">
        <v>10000</v>
      </c>
      <c r="I47" s="98"/>
      <c r="J47" s="98">
        <v>10000</v>
      </c>
      <c r="K47" s="98"/>
      <c r="L47" s="98">
        <v>10000</v>
      </c>
      <c r="M47" s="98"/>
      <c r="N47" s="98">
        <v>10000</v>
      </c>
      <c r="O47" s="149"/>
      <c r="S47" s="91"/>
      <c r="T47" s="92"/>
      <c r="U47" s="82"/>
      <c r="V47" s="82"/>
    </row>
    <row r="48" spans="1:22" x14ac:dyDescent="0.25">
      <c r="A48" s="166" t="s">
        <v>145</v>
      </c>
      <c r="B48" s="101">
        <f>SUM(F48:O48)</f>
        <v>32500</v>
      </c>
      <c r="C48" s="98"/>
      <c r="D48" s="98">
        <f t="shared" si="7"/>
        <v>32500</v>
      </c>
      <c r="E48" s="135">
        <f t="shared" si="67"/>
        <v>2.1585881361764384E-2</v>
      </c>
      <c r="F48" s="98">
        <v>10500</v>
      </c>
      <c r="G48" s="232"/>
      <c r="H48" s="161">
        <v>5500</v>
      </c>
      <c r="I48" s="98"/>
      <c r="J48" s="98">
        <v>5500</v>
      </c>
      <c r="K48" s="98"/>
      <c r="L48" s="98">
        <v>5500</v>
      </c>
      <c r="M48" s="98"/>
      <c r="N48" s="98">
        <v>5500</v>
      </c>
      <c r="O48" s="149"/>
      <c r="S48" s="91"/>
      <c r="T48" s="92"/>
      <c r="U48" s="82"/>
      <c r="V48" s="82"/>
    </row>
    <row r="49" spans="1:22" x14ac:dyDescent="0.25">
      <c r="A49" s="166" t="s">
        <v>146</v>
      </c>
      <c r="B49" s="101">
        <f>SUM(F49:N49)</f>
        <v>25000</v>
      </c>
      <c r="C49" s="98"/>
      <c r="D49" s="98">
        <f t="shared" si="7"/>
        <v>25000</v>
      </c>
      <c r="E49" s="135">
        <f t="shared" si="67"/>
        <v>1.6604524124434143E-2</v>
      </c>
      <c r="F49" s="98">
        <v>3000</v>
      </c>
      <c r="G49" s="232"/>
      <c r="H49" s="161">
        <v>5500</v>
      </c>
      <c r="I49" s="98"/>
      <c r="J49" s="98">
        <v>5500</v>
      </c>
      <c r="K49" s="98"/>
      <c r="L49" s="98">
        <v>5500</v>
      </c>
      <c r="M49" s="98"/>
      <c r="N49" s="98">
        <v>5500</v>
      </c>
      <c r="O49" s="149"/>
      <c r="S49" s="91"/>
      <c r="T49" s="92"/>
      <c r="U49" s="82"/>
      <c r="V49" s="82"/>
    </row>
    <row r="50" spans="1:22" x14ac:dyDescent="0.25">
      <c r="A50" s="166" t="s">
        <v>147</v>
      </c>
      <c r="B50" s="101">
        <f>SUM(F50:O50)</f>
        <v>5500</v>
      </c>
      <c r="C50" s="98"/>
      <c r="D50" s="98">
        <f t="shared" si="7"/>
        <v>5500</v>
      </c>
      <c r="E50" s="135">
        <f t="shared" si="67"/>
        <v>3.6529953073755114E-3</v>
      </c>
      <c r="F50" s="98">
        <v>0</v>
      </c>
      <c r="G50" s="232"/>
      <c r="H50" s="161">
        <v>5500</v>
      </c>
      <c r="I50" s="98"/>
      <c r="J50" s="98"/>
      <c r="K50" s="98"/>
      <c r="L50" s="98"/>
      <c r="M50" s="98"/>
      <c r="N50" s="98"/>
      <c r="O50" s="149"/>
      <c r="S50" s="82"/>
      <c r="T50" s="82"/>
      <c r="U50" s="82"/>
      <c r="V50" s="82"/>
    </row>
    <row r="51" spans="1:22" x14ac:dyDescent="0.25">
      <c r="A51" s="166" t="s">
        <v>148</v>
      </c>
      <c r="B51" s="101">
        <f>SUM(F51:O51)</f>
        <v>10500</v>
      </c>
      <c r="C51" s="98"/>
      <c r="D51" s="98">
        <f t="shared" si="7"/>
        <v>10500</v>
      </c>
      <c r="E51" s="135">
        <f t="shared" si="67"/>
        <v>6.9739001322623399E-3</v>
      </c>
      <c r="F51" s="98">
        <v>0</v>
      </c>
      <c r="G51" s="232"/>
      <c r="H51" s="161">
        <v>10500</v>
      </c>
      <c r="I51" s="98"/>
      <c r="J51" s="98"/>
      <c r="K51" s="98"/>
      <c r="L51" s="98"/>
      <c r="M51" s="98"/>
      <c r="N51" s="98"/>
      <c r="O51" s="149"/>
      <c r="S51" s="82"/>
      <c r="T51" s="82"/>
      <c r="U51" s="82"/>
      <c r="V51" s="82"/>
    </row>
    <row r="52" spans="1:22" x14ac:dyDescent="0.25">
      <c r="A52" s="166" t="s">
        <v>149</v>
      </c>
      <c r="B52" s="101">
        <f>(SUM(F52:O52))</f>
        <v>20000</v>
      </c>
      <c r="C52" s="98"/>
      <c r="D52" s="98">
        <f t="shared" si="7"/>
        <v>20000</v>
      </c>
      <c r="E52" s="135">
        <f t="shared" si="67"/>
        <v>1.3283619299547314E-2</v>
      </c>
      <c r="F52" s="98">
        <v>0</v>
      </c>
      <c r="G52" s="232"/>
      <c r="H52" s="161">
        <v>5000</v>
      </c>
      <c r="I52" s="98"/>
      <c r="J52" s="98">
        <v>5000</v>
      </c>
      <c r="K52" s="98"/>
      <c r="L52" s="98">
        <v>5000</v>
      </c>
      <c r="M52" s="98"/>
      <c r="N52" s="98">
        <v>5000</v>
      </c>
      <c r="O52" s="149"/>
      <c r="S52" s="82"/>
      <c r="T52" s="82"/>
      <c r="U52" s="82"/>
      <c r="V52" s="82"/>
    </row>
    <row r="53" spans="1:22" x14ac:dyDescent="0.25">
      <c r="A53" s="166" t="s">
        <v>150</v>
      </c>
      <c r="B53" s="101">
        <f>(SUM(F53:O53))</f>
        <v>12500</v>
      </c>
      <c r="C53" s="98"/>
      <c r="D53" s="98">
        <f t="shared" si="7"/>
        <v>12500</v>
      </c>
      <c r="E53" s="135">
        <f t="shared" si="67"/>
        <v>8.3022620622170713E-3</v>
      </c>
      <c r="F53" s="98">
        <v>2500</v>
      </c>
      <c r="G53" s="232"/>
      <c r="H53" s="161">
        <v>2500</v>
      </c>
      <c r="I53" s="98"/>
      <c r="J53" s="98">
        <v>2500</v>
      </c>
      <c r="K53" s="98"/>
      <c r="L53" s="98">
        <v>2500</v>
      </c>
      <c r="M53" s="98"/>
      <c r="N53" s="98">
        <v>2500</v>
      </c>
      <c r="O53" s="149"/>
      <c r="S53" s="82"/>
      <c r="T53" s="82"/>
      <c r="U53" s="82"/>
      <c r="V53" s="82"/>
    </row>
    <row r="54" spans="1:22" x14ac:dyDescent="0.25">
      <c r="A54" s="172" t="s">
        <v>151</v>
      </c>
      <c r="B54" s="155">
        <f>(SUM(F54:O54))</f>
        <v>20000</v>
      </c>
      <c r="C54" s="102"/>
      <c r="D54" s="102">
        <f t="shared" si="7"/>
        <v>20000</v>
      </c>
      <c r="E54" s="156">
        <f t="shared" si="67"/>
        <v>1.3283619299547314E-2</v>
      </c>
      <c r="F54" s="102">
        <v>0</v>
      </c>
      <c r="G54" s="234"/>
      <c r="H54" s="162">
        <v>5000</v>
      </c>
      <c r="I54" s="102"/>
      <c r="J54" s="102">
        <v>5000</v>
      </c>
      <c r="K54" s="102"/>
      <c r="L54" s="102">
        <v>5000</v>
      </c>
      <c r="M54" s="102"/>
      <c r="N54" s="102">
        <v>5000</v>
      </c>
      <c r="O54" s="157"/>
      <c r="S54" s="82"/>
      <c r="T54" s="82"/>
      <c r="U54" s="82"/>
      <c r="V54" s="82"/>
    </row>
    <row r="55" spans="1:22" ht="15.75" thickBot="1" x14ac:dyDescent="0.3">
      <c r="A55" s="173" t="s">
        <v>152</v>
      </c>
      <c r="B55" s="174">
        <f>SUM(B44,B41,B38,B36,B34,B30,B26,B24,B21,B18,B11,B5)</f>
        <v>726959.69</v>
      </c>
      <c r="C55" s="175">
        <f>SUM(C44,C41,C38,C36,C34,C30,C26,C24,C21,C18,C11,C5)</f>
        <v>550774.64</v>
      </c>
      <c r="D55" s="175">
        <f>SUM(D44,D41,D38,D36,D34,D30,D26,D24,D21,D18,D11,D5)</f>
        <v>1277734.33</v>
      </c>
      <c r="E55" s="176">
        <f t="shared" si="67"/>
        <v>0.84864682028410787</v>
      </c>
      <c r="F55" s="175">
        <f>SUM(F44,F41,F38,F36,F34,F30,F26,F24,F21,F18,F11,F5)</f>
        <v>140349.69</v>
      </c>
      <c r="G55" s="235">
        <f t="shared" ref="F55:O55" si="91">SUM(G44,G41,G38,G36,G34,G30,G26,G24,G21,G18,G11,G5)</f>
        <v>0</v>
      </c>
      <c r="H55" s="177">
        <f>SUM(H44,H41,H38,H36,H34,H30,H26,H24,H21,H18,H11,H5)</f>
        <v>201340</v>
      </c>
      <c r="I55" s="175">
        <f t="shared" si="91"/>
        <v>242179.97333333333</v>
      </c>
      <c r="J55" s="175">
        <f t="shared" si="91"/>
        <v>180860</v>
      </c>
      <c r="K55" s="175">
        <f t="shared" si="91"/>
        <v>154297.33333333331</v>
      </c>
      <c r="L55" s="175">
        <f t="shared" si="91"/>
        <v>163540</v>
      </c>
      <c r="M55" s="175">
        <f t="shared" si="91"/>
        <v>154297.33333333331</v>
      </c>
      <c r="N55" s="175">
        <f t="shared" si="91"/>
        <v>114870</v>
      </c>
      <c r="O55" s="178">
        <f t="shared" si="91"/>
        <v>0</v>
      </c>
      <c r="S55" s="82"/>
      <c r="T55" s="82"/>
      <c r="U55" s="82"/>
      <c r="V55" s="82"/>
    </row>
    <row r="56" spans="1:22" x14ac:dyDescent="0.25">
      <c r="S56" s="82"/>
      <c r="T56" s="82"/>
      <c r="U56" s="82"/>
      <c r="V56" s="82"/>
    </row>
    <row r="57" spans="1:22" ht="15.75" thickBot="1" x14ac:dyDescent="0.3">
      <c r="S57" s="82"/>
      <c r="T57" s="82"/>
      <c r="U57" s="82"/>
      <c r="V57" s="82"/>
    </row>
    <row r="58" spans="1:22" x14ac:dyDescent="0.25">
      <c r="L58" s="290"/>
      <c r="M58" s="291"/>
      <c r="N58" s="143" t="s">
        <v>81</v>
      </c>
      <c r="O58" s="140" t="s">
        <v>165</v>
      </c>
      <c r="S58" s="82"/>
      <c r="T58" s="82"/>
      <c r="U58" s="82"/>
      <c r="V58" s="82"/>
    </row>
    <row r="59" spans="1:22" x14ac:dyDescent="0.25">
      <c r="E59" s="138"/>
      <c r="L59" s="298" t="s">
        <v>164</v>
      </c>
      <c r="M59" s="299"/>
      <c r="N59" s="205">
        <f>X6</f>
        <v>1505613.7600000002</v>
      </c>
      <c r="O59" s="142">
        <v>1</v>
      </c>
      <c r="S59" s="82"/>
      <c r="T59" s="82"/>
      <c r="U59" s="82"/>
      <c r="V59" s="82"/>
    </row>
    <row r="60" spans="1:22" x14ac:dyDescent="0.25">
      <c r="L60" s="296" t="s">
        <v>160</v>
      </c>
      <c r="M60" s="297"/>
      <c r="N60" s="206">
        <f>SUM(R13:W14)</f>
        <v>1351734.3299999998</v>
      </c>
      <c r="O60" s="141">
        <f>N60/$N$59</f>
        <v>0.89779621169243273</v>
      </c>
      <c r="S60" s="82"/>
      <c r="T60" s="82"/>
      <c r="U60" s="82"/>
      <c r="V60" s="82"/>
    </row>
    <row r="61" spans="1:22" x14ac:dyDescent="0.25">
      <c r="L61" s="294" t="s">
        <v>161</v>
      </c>
      <c r="M61" s="295"/>
      <c r="N61" s="206">
        <f>SUM(R15:W17)+20000</f>
        <v>108251.70968000001</v>
      </c>
      <c r="O61" s="141">
        <f>N61/$N$59</f>
        <v>7.1898724995712052E-2</v>
      </c>
      <c r="S61" s="82"/>
      <c r="T61" s="82"/>
      <c r="U61" s="82"/>
      <c r="V61" s="82"/>
    </row>
    <row r="62" spans="1:22" x14ac:dyDescent="0.25">
      <c r="L62" s="294" t="s">
        <v>162</v>
      </c>
      <c r="M62" s="295"/>
      <c r="N62" s="206">
        <f>N59-N60</f>
        <v>153879.4300000004</v>
      </c>
      <c r="O62" s="141">
        <f>N62/$N$59</f>
        <v>0.10220378830756725</v>
      </c>
      <c r="S62" s="82"/>
      <c r="T62" s="82"/>
      <c r="U62" s="82"/>
      <c r="V62" s="82"/>
    </row>
    <row r="63" spans="1:22" ht="15.75" thickBot="1" x14ac:dyDescent="0.3">
      <c r="L63" s="292" t="s">
        <v>163</v>
      </c>
      <c r="M63" s="293"/>
      <c r="N63" s="207">
        <f>N62-N61</f>
        <v>45627.720320000386</v>
      </c>
      <c r="O63" s="208">
        <f>N63/$N$59</f>
        <v>3.0305063311855212E-2</v>
      </c>
      <c r="S63" s="82"/>
      <c r="T63" s="82"/>
      <c r="U63" s="82"/>
      <c r="V63" s="82"/>
    </row>
    <row r="64" spans="1:22" x14ac:dyDescent="0.25">
      <c r="A64" s="139"/>
      <c r="B64" s="103"/>
      <c r="C64" s="103"/>
      <c r="D64" s="133"/>
      <c r="S64" s="82"/>
      <c r="T64" s="82"/>
      <c r="U64" s="82"/>
      <c r="V64" s="82"/>
    </row>
    <row r="65" spans="19:22" x14ac:dyDescent="0.25">
      <c r="S65" s="82"/>
      <c r="T65" s="82"/>
      <c r="U65" s="82"/>
      <c r="V65" s="82"/>
    </row>
    <row r="66" spans="19:22" x14ac:dyDescent="0.25">
      <c r="S66" s="82"/>
      <c r="T66" s="82"/>
      <c r="U66" s="82"/>
      <c r="V66" s="82"/>
    </row>
    <row r="67" spans="19:22" x14ac:dyDescent="0.25">
      <c r="S67" s="82"/>
      <c r="T67" s="82"/>
      <c r="U67" s="82"/>
      <c r="V67" s="82"/>
    </row>
    <row r="68" spans="19:22" x14ac:dyDescent="0.25">
      <c r="S68" s="82"/>
      <c r="T68" s="82"/>
      <c r="U68" s="82"/>
      <c r="V68" s="82"/>
    </row>
    <row r="69" spans="19:22" x14ac:dyDescent="0.25">
      <c r="S69" s="82"/>
      <c r="T69" s="82"/>
      <c r="U69" s="82"/>
      <c r="V69" s="82"/>
    </row>
    <row r="70" spans="19:22" x14ac:dyDescent="0.25">
      <c r="S70" s="82"/>
      <c r="T70" s="82"/>
      <c r="U70" s="82"/>
      <c r="V70" s="82"/>
    </row>
    <row r="71" spans="19:22" x14ac:dyDescent="0.25">
      <c r="S71" s="82"/>
      <c r="T71" s="82"/>
      <c r="U71" s="82"/>
      <c r="V71" s="82"/>
    </row>
    <row r="72" spans="19:22" x14ac:dyDescent="0.25">
      <c r="S72" s="82"/>
      <c r="T72" s="82"/>
      <c r="U72" s="82"/>
      <c r="V72" s="82"/>
    </row>
    <row r="73" spans="19:22" x14ac:dyDescent="0.25">
      <c r="S73" s="82"/>
      <c r="T73" s="82"/>
      <c r="U73" s="82"/>
      <c r="V73" s="82"/>
    </row>
    <row r="74" spans="19:22" x14ac:dyDescent="0.25">
      <c r="S74" s="82"/>
      <c r="T74" s="82"/>
      <c r="U74" s="82"/>
      <c r="V74" s="82"/>
    </row>
    <row r="75" spans="19:22" x14ac:dyDescent="0.25">
      <c r="S75" s="82"/>
      <c r="T75" s="82"/>
      <c r="U75" s="82"/>
      <c r="V75" s="82"/>
    </row>
    <row r="76" spans="19:22" x14ac:dyDescent="0.25">
      <c r="S76" s="82"/>
      <c r="T76" s="82"/>
      <c r="U76" s="82"/>
      <c r="V76" s="82"/>
    </row>
    <row r="77" spans="19:22" x14ac:dyDescent="0.25">
      <c r="S77" s="82"/>
      <c r="T77" s="82"/>
      <c r="U77" s="82"/>
      <c r="V77" s="82"/>
    </row>
    <row r="78" spans="19:22" x14ac:dyDescent="0.25">
      <c r="S78" s="82"/>
      <c r="T78" s="82"/>
      <c r="U78" s="82"/>
      <c r="V78" s="82"/>
    </row>
    <row r="79" spans="19:22" x14ac:dyDescent="0.25">
      <c r="S79" s="82"/>
      <c r="T79" s="82"/>
      <c r="U79" s="82"/>
      <c r="V79" s="82"/>
    </row>
    <row r="80" spans="19:22" x14ac:dyDescent="0.25">
      <c r="S80" s="82"/>
      <c r="T80" s="82"/>
      <c r="U80" s="82"/>
      <c r="V80" s="82"/>
    </row>
    <row r="81" spans="19:22" x14ac:dyDescent="0.25">
      <c r="S81" s="82"/>
      <c r="T81" s="82"/>
      <c r="U81" s="82"/>
      <c r="V81" s="82"/>
    </row>
    <row r="82" spans="19:22" x14ac:dyDescent="0.25">
      <c r="S82" s="82"/>
      <c r="T82" s="82"/>
      <c r="U82" s="82"/>
      <c r="V82" s="82"/>
    </row>
    <row r="83" spans="19:22" x14ac:dyDescent="0.25">
      <c r="S83" s="82"/>
      <c r="T83" s="82"/>
      <c r="U83" s="82"/>
      <c r="V83" s="82"/>
    </row>
    <row r="84" spans="19:22" x14ac:dyDescent="0.25">
      <c r="S84" s="82"/>
      <c r="T84" s="82"/>
      <c r="U84" s="82"/>
      <c r="V84" s="82"/>
    </row>
    <row r="85" spans="19:22" x14ac:dyDescent="0.25">
      <c r="S85" s="82"/>
      <c r="T85" s="82"/>
      <c r="U85" s="82"/>
      <c r="V85" s="82"/>
    </row>
    <row r="86" spans="19:22" x14ac:dyDescent="0.25">
      <c r="S86" s="82"/>
      <c r="T86" s="82"/>
      <c r="U86" s="82"/>
      <c r="V86" s="82"/>
    </row>
    <row r="87" spans="19:22" x14ac:dyDescent="0.25">
      <c r="S87" s="82"/>
      <c r="T87" s="82"/>
      <c r="U87" s="82"/>
      <c r="V87" s="82"/>
    </row>
    <row r="88" spans="19:22" x14ac:dyDescent="0.25">
      <c r="S88" s="82"/>
      <c r="T88" s="82"/>
      <c r="U88" s="82"/>
      <c r="V88" s="82"/>
    </row>
    <row r="89" spans="19:22" x14ac:dyDescent="0.25">
      <c r="S89" s="82"/>
      <c r="T89" s="82"/>
      <c r="U89" s="82"/>
      <c r="V89" s="82"/>
    </row>
    <row r="90" spans="19:22" x14ac:dyDescent="0.25">
      <c r="S90" s="82"/>
      <c r="T90" s="82"/>
      <c r="U90" s="82"/>
      <c r="V90" s="82"/>
    </row>
    <row r="91" spans="19:22" x14ac:dyDescent="0.25">
      <c r="S91" s="82"/>
      <c r="T91" s="82"/>
      <c r="U91" s="82"/>
      <c r="V91" s="82"/>
    </row>
    <row r="92" spans="19:22" x14ac:dyDescent="0.25">
      <c r="S92" s="82"/>
      <c r="T92" s="82"/>
      <c r="U92" s="82"/>
      <c r="V92" s="82"/>
    </row>
    <row r="93" spans="19:22" x14ac:dyDescent="0.25">
      <c r="S93" s="82"/>
      <c r="T93" s="82"/>
      <c r="U93" s="82"/>
      <c r="V93" s="82"/>
    </row>
    <row r="94" spans="19:22" x14ac:dyDescent="0.25">
      <c r="S94" s="82"/>
      <c r="T94" s="82"/>
      <c r="U94" s="82"/>
      <c r="V94" s="82"/>
    </row>
    <row r="95" spans="19:22" x14ac:dyDescent="0.25">
      <c r="S95" s="82"/>
      <c r="T95" s="82"/>
      <c r="U95" s="82"/>
      <c r="V95" s="82"/>
    </row>
    <row r="96" spans="19:22" x14ac:dyDescent="0.25">
      <c r="S96" s="82"/>
      <c r="T96" s="82"/>
      <c r="U96" s="82"/>
      <c r="V96" s="82"/>
    </row>
    <row r="97" spans="19:22" x14ac:dyDescent="0.25">
      <c r="S97" s="82"/>
      <c r="T97" s="82"/>
      <c r="U97" s="82"/>
      <c r="V97" s="82"/>
    </row>
    <row r="98" spans="19:22" x14ac:dyDescent="0.25">
      <c r="S98" s="82"/>
      <c r="T98" s="82"/>
      <c r="U98" s="82"/>
      <c r="V98" s="82"/>
    </row>
    <row r="99" spans="19:22" x14ac:dyDescent="0.25">
      <c r="S99" s="82"/>
      <c r="T99" s="82"/>
      <c r="U99" s="82"/>
      <c r="V99" s="82"/>
    </row>
    <row r="100" spans="19:22" x14ac:dyDescent="0.25">
      <c r="S100" s="82"/>
      <c r="T100" s="82"/>
      <c r="U100" s="82"/>
      <c r="V100" s="82"/>
    </row>
    <row r="101" spans="19:22" x14ac:dyDescent="0.25">
      <c r="S101" s="82"/>
      <c r="T101" s="82"/>
      <c r="U101" s="82"/>
      <c r="V101" s="82"/>
    </row>
    <row r="102" spans="19:22" x14ac:dyDescent="0.25">
      <c r="S102" s="82"/>
      <c r="T102" s="82"/>
      <c r="U102" s="82"/>
      <c r="V102" s="82"/>
    </row>
    <row r="103" spans="19:22" x14ac:dyDescent="0.25">
      <c r="S103" s="82"/>
      <c r="T103" s="82"/>
      <c r="U103" s="82"/>
      <c r="V103" s="82"/>
    </row>
    <row r="104" spans="19:22" x14ac:dyDescent="0.25">
      <c r="S104" s="82"/>
      <c r="T104" s="82"/>
      <c r="U104" s="82"/>
      <c r="V104" s="82"/>
    </row>
    <row r="105" spans="19:22" x14ac:dyDescent="0.25">
      <c r="S105" s="82"/>
      <c r="T105" s="82"/>
      <c r="U105" s="82"/>
      <c r="V105" s="82"/>
    </row>
    <row r="106" spans="19:22" x14ac:dyDescent="0.25">
      <c r="S106" s="82"/>
      <c r="T106" s="82"/>
      <c r="U106" s="82"/>
      <c r="V106" s="82"/>
    </row>
    <row r="107" spans="19:22" x14ac:dyDescent="0.25">
      <c r="S107" s="82"/>
      <c r="T107" s="82"/>
      <c r="U107" s="82"/>
      <c r="V107" s="82"/>
    </row>
    <row r="108" spans="19:22" x14ac:dyDescent="0.25">
      <c r="S108" s="82"/>
      <c r="T108" s="82"/>
      <c r="U108" s="82"/>
      <c r="V108" s="82"/>
    </row>
    <row r="109" spans="19:22" x14ac:dyDescent="0.25">
      <c r="S109" s="82"/>
      <c r="T109" s="82"/>
      <c r="U109" s="82"/>
      <c r="V109" s="82"/>
    </row>
    <row r="110" spans="19:22" x14ac:dyDescent="0.25">
      <c r="S110" s="82"/>
      <c r="T110" s="82"/>
      <c r="U110" s="82"/>
      <c r="V110" s="82"/>
    </row>
    <row r="111" spans="19:22" x14ac:dyDescent="0.25">
      <c r="S111" s="82"/>
      <c r="T111" s="82"/>
      <c r="U111" s="82"/>
      <c r="V111" s="82"/>
    </row>
    <row r="112" spans="19:22" x14ac:dyDescent="0.25">
      <c r="S112" s="82"/>
      <c r="T112" s="82"/>
      <c r="U112" s="82"/>
      <c r="V112" s="82"/>
    </row>
    <row r="113" spans="19:22" x14ac:dyDescent="0.25">
      <c r="S113" s="82"/>
      <c r="T113" s="82"/>
      <c r="U113" s="82"/>
      <c r="V113" s="82"/>
    </row>
    <row r="114" spans="19:22" x14ac:dyDescent="0.25">
      <c r="S114" s="82"/>
      <c r="T114" s="82"/>
      <c r="U114" s="82"/>
      <c r="V114" s="82"/>
    </row>
    <row r="115" spans="19:22" x14ac:dyDescent="0.25">
      <c r="S115" s="82"/>
      <c r="T115" s="82"/>
      <c r="U115" s="82"/>
      <c r="V115" s="82"/>
    </row>
    <row r="116" spans="19:22" x14ac:dyDescent="0.25">
      <c r="S116" s="82"/>
      <c r="T116" s="82"/>
      <c r="U116" s="82"/>
      <c r="V116" s="82"/>
    </row>
    <row r="117" spans="19:22" x14ac:dyDescent="0.25">
      <c r="S117" s="82"/>
      <c r="T117" s="82"/>
      <c r="U117" s="82"/>
      <c r="V117" s="82"/>
    </row>
    <row r="118" spans="19:22" x14ac:dyDescent="0.25">
      <c r="S118" s="82"/>
      <c r="T118" s="82"/>
      <c r="U118" s="82"/>
      <c r="V118" s="82"/>
    </row>
    <row r="119" spans="19:22" x14ac:dyDescent="0.25">
      <c r="S119" s="82"/>
      <c r="T119" s="82"/>
      <c r="U119" s="82"/>
      <c r="V119" s="82"/>
    </row>
    <row r="120" spans="19:22" x14ac:dyDescent="0.25">
      <c r="S120" s="82"/>
      <c r="T120" s="82"/>
      <c r="U120" s="82"/>
      <c r="V120" s="82"/>
    </row>
    <row r="121" spans="19:22" x14ac:dyDescent="0.25">
      <c r="S121" s="82"/>
      <c r="T121" s="82"/>
      <c r="U121" s="82"/>
      <c r="V121" s="82"/>
    </row>
    <row r="122" spans="19:22" x14ac:dyDescent="0.25">
      <c r="S122" s="82"/>
      <c r="T122" s="82"/>
      <c r="U122" s="82"/>
      <c r="V122" s="82"/>
    </row>
    <row r="123" spans="19:22" x14ac:dyDescent="0.25">
      <c r="S123" s="82"/>
      <c r="T123" s="82"/>
      <c r="U123" s="82"/>
      <c r="V123" s="82"/>
    </row>
    <row r="124" spans="19:22" x14ac:dyDescent="0.25">
      <c r="S124" s="82"/>
      <c r="T124" s="82"/>
      <c r="U124" s="82"/>
      <c r="V124" s="82"/>
    </row>
    <row r="125" spans="19:22" x14ac:dyDescent="0.25">
      <c r="S125" s="82"/>
      <c r="T125" s="82"/>
      <c r="U125" s="82"/>
      <c r="V125" s="82"/>
    </row>
    <row r="126" spans="19:22" x14ac:dyDescent="0.25">
      <c r="S126" s="82"/>
      <c r="T126" s="82"/>
      <c r="U126" s="82"/>
      <c r="V126" s="82"/>
    </row>
    <row r="127" spans="19:22" x14ac:dyDescent="0.25">
      <c r="S127" s="82"/>
      <c r="T127" s="82"/>
      <c r="U127" s="82"/>
      <c r="V127" s="82"/>
    </row>
    <row r="128" spans="19:22" x14ac:dyDescent="0.25">
      <c r="S128" s="82"/>
      <c r="T128" s="82"/>
      <c r="U128" s="82"/>
      <c r="V128" s="82"/>
    </row>
    <row r="129" spans="19:22" x14ac:dyDescent="0.25">
      <c r="S129" s="82"/>
      <c r="T129" s="82"/>
      <c r="U129" s="82"/>
      <c r="V129" s="82"/>
    </row>
    <row r="130" spans="19:22" x14ac:dyDescent="0.25">
      <c r="S130" s="82"/>
      <c r="T130" s="82"/>
      <c r="U130" s="82"/>
      <c r="V130" s="82"/>
    </row>
    <row r="131" spans="19:22" x14ac:dyDescent="0.25">
      <c r="S131" s="82"/>
      <c r="T131" s="82"/>
      <c r="U131" s="82"/>
      <c r="V131" s="82"/>
    </row>
    <row r="132" spans="19:22" x14ac:dyDescent="0.25">
      <c r="S132" s="82"/>
      <c r="T132" s="82"/>
      <c r="U132" s="82"/>
      <c r="V132" s="82"/>
    </row>
    <row r="133" spans="19:22" x14ac:dyDescent="0.25">
      <c r="S133" s="82"/>
      <c r="T133" s="82"/>
      <c r="U133" s="82"/>
      <c r="V133" s="82"/>
    </row>
    <row r="134" spans="19:22" x14ac:dyDescent="0.25">
      <c r="S134" s="82"/>
      <c r="T134" s="82"/>
      <c r="U134" s="82"/>
      <c r="V134" s="82"/>
    </row>
    <row r="135" spans="19:22" x14ac:dyDescent="0.25">
      <c r="S135" s="82"/>
      <c r="T135" s="82"/>
      <c r="U135" s="82"/>
      <c r="V135" s="82"/>
    </row>
    <row r="136" spans="19:22" x14ac:dyDescent="0.25">
      <c r="S136" s="82"/>
      <c r="T136" s="82"/>
      <c r="U136" s="82"/>
      <c r="V136" s="82"/>
    </row>
    <row r="137" spans="19:22" x14ac:dyDescent="0.25">
      <c r="S137" s="82"/>
      <c r="T137" s="82"/>
      <c r="U137" s="82"/>
      <c r="V137" s="82"/>
    </row>
    <row r="138" spans="19:22" x14ac:dyDescent="0.25">
      <c r="S138" s="82"/>
      <c r="T138" s="82"/>
      <c r="U138" s="82"/>
      <c r="V138" s="82"/>
    </row>
    <row r="139" spans="19:22" x14ac:dyDescent="0.25">
      <c r="S139" s="82"/>
      <c r="T139" s="82"/>
      <c r="U139" s="82"/>
      <c r="V139" s="82"/>
    </row>
    <row r="140" spans="19:22" x14ac:dyDescent="0.25">
      <c r="S140" s="82"/>
      <c r="T140" s="82"/>
      <c r="U140" s="82"/>
      <c r="V140" s="82"/>
    </row>
    <row r="141" spans="19:22" x14ac:dyDescent="0.25">
      <c r="S141" s="82"/>
      <c r="T141" s="82"/>
      <c r="U141" s="82"/>
      <c r="V141" s="82"/>
    </row>
    <row r="142" spans="19:22" x14ac:dyDescent="0.25">
      <c r="S142" s="82"/>
      <c r="T142" s="82"/>
      <c r="U142" s="82"/>
      <c r="V142" s="82"/>
    </row>
    <row r="143" spans="19:22" x14ac:dyDescent="0.25">
      <c r="S143" s="82"/>
      <c r="T143" s="82"/>
      <c r="U143" s="82"/>
      <c r="V143" s="82"/>
    </row>
    <row r="144" spans="19:22" x14ac:dyDescent="0.25">
      <c r="S144" s="82"/>
      <c r="T144" s="82"/>
      <c r="U144" s="82"/>
      <c r="V144" s="82"/>
    </row>
    <row r="145" spans="19:22" x14ac:dyDescent="0.25">
      <c r="S145" s="82"/>
      <c r="T145" s="82"/>
      <c r="U145" s="82"/>
      <c r="V145" s="82"/>
    </row>
    <row r="146" spans="19:22" x14ac:dyDescent="0.25">
      <c r="S146" s="82"/>
      <c r="T146" s="82"/>
      <c r="U146" s="82"/>
      <c r="V146" s="82"/>
    </row>
    <row r="147" spans="19:22" x14ac:dyDescent="0.25">
      <c r="S147" s="82"/>
      <c r="T147" s="82"/>
      <c r="U147" s="82"/>
      <c r="V147" s="82"/>
    </row>
    <row r="148" spans="19:22" x14ac:dyDescent="0.25">
      <c r="S148" s="82"/>
      <c r="T148" s="82"/>
      <c r="U148" s="82"/>
      <c r="V148" s="82"/>
    </row>
    <row r="149" spans="19:22" x14ac:dyDescent="0.25">
      <c r="S149" s="82"/>
      <c r="T149" s="82"/>
      <c r="U149" s="82"/>
      <c r="V149" s="82"/>
    </row>
    <row r="150" spans="19:22" x14ac:dyDescent="0.25">
      <c r="S150" s="82"/>
      <c r="T150" s="82"/>
      <c r="U150" s="82"/>
      <c r="V150" s="82"/>
    </row>
    <row r="151" spans="19:22" x14ac:dyDescent="0.25">
      <c r="S151" s="82"/>
      <c r="T151" s="82"/>
      <c r="U151" s="82"/>
      <c r="V151" s="82"/>
    </row>
    <row r="152" spans="19:22" x14ac:dyDescent="0.25">
      <c r="S152" s="82"/>
      <c r="T152" s="82"/>
      <c r="U152" s="82"/>
      <c r="V152" s="82"/>
    </row>
    <row r="153" spans="19:22" x14ac:dyDescent="0.25">
      <c r="S153" s="82"/>
      <c r="T153" s="82"/>
      <c r="U153" s="82"/>
      <c r="V153" s="82"/>
    </row>
    <row r="154" spans="19:22" x14ac:dyDescent="0.25">
      <c r="S154" s="82"/>
      <c r="T154" s="82"/>
      <c r="U154" s="82"/>
      <c r="V154" s="82"/>
    </row>
    <row r="155" spans="19:22" x14ac:dyDescent="0.25">
      <c r="S155" s="82"/>
      <c r="T155" s="82"/>
      <c r="U155" s="82"/>
      <c r="V155" s="82"/>
    </row>
    <row r="156" spans="19:22" x14ac:dyDescent="0.25">
      <c r="S156" s="82"/>
      <c r="T156" s="82"/>
      <c r="U156" s="82"/>
      <c r="V156" s="82"/>
    </row>
    <row r="157" spans="19:22" x14ac:dyDescent="0.25">
      <c r="S157" s="82"/>
      <c r="T157" s="82"/>
      <c r="U157" s="82"/>
      <c r="V157" s="82"/>
    </row>
    <row r="158" spans="19:22" x14ac:dyDescent="0.25">
      <c r="S158" s="82"/>
      <c r="T158" s="82"/>
      <c r="U158" s="82"/>
      <c r="V158" s="82"/>
    </row>
    <row r="159" spans="19:22" x14ac:dyDescent="0.25">
      <c r="S159" s="82"/>
      <c r="T159" s="82"/>
      <c r="U159" s="82"/>
      <c r="V159" s="82"/>
    </row>
    <row r="160" spans="19:22" x14ac:dyDescent="0.25">
      <c r="S160" s="82"/>
      <c r="T160" s="82"/>
      <c r="U160" s="82"/>
      <c r="V160" s="82"/>
    </row>
    <row r="161" spans="19:22" x14ac:dyDescent="0.25">
      <c r="S161" s="82"/>
      <c r="T161" s="82"/>
      <c r="U161" s="82"/>
      <c r="V161" s="82"/>
    </row>
    <row r="162" spans="19:22" x14ac:dyDescent="0.25">
      <c r="S162" s="82"/>
      <c r="T162" s="82"/>
      <c r="U162" s="82"/>
      <c r="V162" s="82"/>
    </row>
    <row r="163" spans="19:22" x14ac:dyDescent="0.25">
      <c r="S163" s="82"/>
      <c r="T163" s="82"/>
      <c r="U163" s="82"/>
      <c r="V163" s="82"/>
    </row>
    <row r="164" spans="19:22" x14ac:dyDescent="0.25">
      <c r="S164" s="82"/>
      <c r="T164" s="82"/>
      <c r="U164" s="82"/>
      <c r="V164" s="82"/>
    </row>
    <row r="165" spans="19:22" x14ac:dyDescent="0.25">
      <c r="S165" s="82"/>
      <c r="T165" s="82"/>
      <c r="U165" s="82"/>
      <c r="V165" s="82"/>
    </row>
    <row r="166" spans="19:22" x14ac:dyDescent="0.25">
      <c r="S166" s="82"/>
      <c r="T166" s="82"/>
      <c r="U166" s="82"/>
      <c r="V166" s="82"/>
    </row>
    <row r="167" spans="19:22" x14ac:dyDescent="0.25">
      <c r="S167" s="82"/>
      <c r="T167" s="82"/>
      <c r="U167" s="82"/>
      <c r="V167" s="82"/>
    </row>
    <row r="168" spans="19:22" x14ac:dyDescent="0.25">
      <c r="S168" s="82"/>
      <c r="T168" s="82"/>
      <c r="U168" s="82"/>
      <c r="V168" s="82"/>
    </row>
    <row r="169" spans="19:22" x14ac:dyDescent="0.25">
      <c r="S169" s="82"/>
      <c r="T169" s="82"/>
      <c r="U169" s="82"/>
      <c r="V169" s="82"/>
    </row>
    <row r="170" spans="19:22" x14ac:dyDescent="0.25">
      <c r="S170" s="82"/>
      <c r="T170" s="82"/>
      <c r="U170" s="82"/>
      <c r="V170" s="82"/>
    </row>
    <row r="171" spans="19:22" x14ac:dyDescent="0.25">
      <c r="S171" s="82"/>
      <c r="T171" s="82"/>
      <c r="U171" s="82"/>
      <c r="V171" s="82"/>
    </row>
    <row r="172" spans="19:22" x14ac:dyDescent="0.25">
      <c r="S172" s="82"/>
      <c r="T172" s="82"/>
      <c r="U172" s="82"/>
      <c r="V172" s="82"/>
    </row>
    <row r="173" spans="19:22" x14ac:dyDescent="0.25">
      <c r="S173" s="82"/>
      <c r="T173" s="82"/>
      <c r="U173" s="82"/>
      <c r="V173" s="82"/>
    </row>
    <row r="174" spans="19:22" x14ac:dyDescent="0.25">
      <c r="S174" s="82"/>
      <c r="T174" s="82"/>
      <c r="U174" s="82"/>
      <c r="V174" s="82"/>
    </row>
    <row r="175" spans="19:22" x14ac:dyDescent="0.25">
      <c r="S175" s="82"/>
      <c r="T175" s="82"/>
      <c r="U175" s="82"/>
      <c r="V175" s="82"/>
    </row>
    <row r="176" spans="19:22" x14ac:dyDescent="0.25">
      <c r="S176" s="82"/>
      <c r="T176" s="82"/>
      <c r="U176" s="82"/>
      <c r="V176" s="82"/>
    </row>
    <row r="177" spans="19:22" x14ac:dyDescent="0.25">
      <c r="S177" s="82"/>
      <c r="T177" s="82"/>
      <c r="U177" s="82"/>
      <c r="V177" s="82"/>
    </row>
    <row r="178" spans="19:22" x14ac:dyDescent="0.25">
      <c r="S178" s="82"/>
      <c r="T178" s="82"/>
      <c r="U178" s="82"/>
      <c r="V178" s="82"/>
    </row>
    <row r="179" spans="19:22" x14ac:dyDescent="0.25">
      <c r="S179" s="82"/>
      <c r="T179" s="82"/>
      <c r="U179" s="82"/>
      <c r="V179" s="82"/>
    </row>
    <row r="180" spans="19:22" x14ac:dyDescent="0.25">
      <c r="S180" s="82"/>
      <c r="T180" s="82"/>
      <c r="U180" s="82"/>
      <c r="V180" s="82"/>
    </row>
    <row r="181" spans="19:22" x14ac:dyDescent="0.25">
      <c r="S181" s="82"/>
      <c r="T181" s="82"/>
      <c r="U181" s="82"/>
      <c r="V181" s="82"/>
    </row>
    <row r="182" spans="19:22" x14ac:dyDescent="0.25">
      <c r="S182" s="82"/>
      <c r="T182" s="82"/>
      <c r="U182" s="82"/>
      <c r="V182" s="82"/>
    </row>
    <row r="183" spans="19:22" x14ac:dyDescent="0.25">
      <c r="S183" s="82"/>
      <c r="T183" s="82"/>
      <c r="U183" s="82"/>
      <c r="V183" s="82"/>
    </row>
    <row r="184" spans="19:22" x14ac:dyDescent="0.25">
      <c r="S184" s="82"/>
      <c r="T184" s="82"/>
      <c r="U184" s="82"/>
      <c r="V184" s="82"/>
    </row>
    <row r="185" spans="19:22" x14ac:dyDescent="0.25">
      <c r="S185" s="82"/>
      <c r="T185" s="82"/>
      <c r="U185" s="82"/>
      <c r="V185" s="82"/>
    </row>
    <row r="186" spans="19:22" x14ac:dyDescent="0.25">
      <c r="S186" s="82"/>
      <c r="T186" s="82"/>
      <c r="U186" s="82"/>
      <c r="V186" s="82"/>
    </row>
    <row r="187" spans="19:22" x14ac:dyDescent="0.25">
      <c r="S187" s="82"/>
      <c r="T187" s="82"/>
      <c r="U187" s="82"/>
      <c r="V187" s="82"/>
    </row>
    <row r="188" spans="19:22" x14ac:dyDescent="0.25">
      <c r="S188" s="82"/>
      <c r="T188" s="82"/>
      <c r="U188" s="82"/>
      <c r="V188" s="82"/>
    </row>
    <row r="189" spans="19:22" x14ac:dyDescent="0.25">
      <c r="S189" s="82"/>
      <c r="T189" s="82"/>
      <c r="U189" s="82"/>
      <c r="V189" s="82"/>
    </row>
    <row r="190" spans="19:22" x14ac:dyDescent="0.25">
      <c r="S190" s="82"/>
      <c r="T190" s="82"/>
      <c r="U190" s="82"/>
      <c r="V190" s="82"/>
    </row>
    <row r="191" spans="19:22" x14ac:dyDescent="0.25">
      <c r="S191" s="82"/>
      <c r="T191" s="82"/>
      <c r="U191" s="82"/>
      <c r="V191" s="82"/>
    </row>
    <row r="192" spans="19:22" x14ac:dyDescent="0.25">
      <c r="S192" s="82"/>
      <c r="T192" s="82"/>
      <c r="U192" s="82"/>
      <c r="V192" s="82"/>
    </row>
    <row r="193" spans="19:22" x14ac:dyDescent="0.25">
      <c r="S193" s="82"/>
      <c r="T193" s="82"/>
      <c r="U193" s="82"/>
      <c r="V193" s="82"/>
    </row>
    <row r="194" spans="19:22" x14ac:dyDescent="0.25">
      <c r="S194" s="82"/>
      <c r="T194" s="82"/>
      <c r="U194" s="82"/>
      <c r="V194" s="82"/>
    </row>
    <row r="195" spans="19:22" x14ac:dyDescent="0.25">
      <c r="S195" s="82"/>
      <c r="T195" s="82"/>
      <c r="U195" s="82"/>
      <c r="V195" s="82"/>
    </row>
    <row r="196" spans="19:22" x14ac:dyDescent="0.25">
      <c r="S196" s="82"/>
      <c r="T196" s="82"/>
      <c r="U196" s="82"/>
      <c r="V196" s="82"/>
    </row>
    <row r="197" spans="19:22" x14ac:dyDescent="0.25">
      <c r="S197" s="82"/>
      <c r="T197" s="82"/>
      <c r="U197" s="82"/>
      <c r="V197" s="82"/>
    </row>
    <row r="198" spans="19:22" x14ac:dyDescent="0.25">
      <c r="S198" s="82"/>
      <c r="T198" s="82"/>
      <c r="U198" s="82"/>
      <c r="V198" s="82"/>
    </row>
    <row r="199" spans="19:22" x14ac:dyDescent="0.25">
      <c r="S199" s="82"/>
      <c r="T199" s="82"/>
      <c r="U199" s="82"/>
      <c r="V199" s="82"/>
    </row>
    <row r="200" spans="19:22" x14ac:dyDescent="0.25">
      <c r="S200" s="82"/>
      <c r="T200" s="82"/>
      <c r="U200" s="82"/>
      <c r="V200" s="82"/>
    </row>
    <row r="201" spans="19:22" x14ac:dyDescent="0.25">
      <c r="S201" s="82"/>
      <c r="T201" s="82"/>
      <c r="U201" s="82"/>
      <c r="V201" s="82"/>
    </row>
    <row r="202" spans="19:22" x14ac:dyDescent="0.25">
      <c r="S202" s="82"/>
      <c r="T202" s="82"/>
      <c r="U202" s="82"/>
      <c r="V202" s="82"/>
    </row>
    <row r="203" spans="19:22" x14ac:dyDescent="0.25">
      <c r="S203" s="82"/>
      <c r="T203" s="82"/>
      <c r="U203" s="82"/>
      <c r="V203" s="82"/>
    </row>
    <row r="204" spans="19:22" x14ac:dyDescent="0.25">
      <c r="S204" s="82"/>
      <c r="T204" s="82"/>
      <c r="U204" s="82"/>
      <c r="V204" s="82"/>
    </row>
    <row r="205" spans="19:22" x14ac:dyDescent="0.25">
      <c r="S205" s="82"/>
      <c r="T205" s="82"/>
      <c r="U205" s="82"/>
      <c r="V205" s="82"/>
    </row>
    <row r="206" spans="19:22" x14ac:dyDescent="0.25">
      <c r="S206" s="82"/>
      <c r="T206" s="82"/>
      <c r="U206" s="82"/>
      <c r="V206" s="82"/>
    </row>
    <row r="207" spans="19:22" x14ac:dyDescent="0.25">
      <c r="S207" s="82"/>
      <c r="T207" s="82"/>
      <c r="U207" s="82"/>
      <c r="V207" s="82"/>
    </row>
    <row r="208" spans="19:22" x14ac:dyDescent="0.25">
      <c r="S208" s="82"/>
      <c r="T208" s="82"/>
      <c r="U208" s="82"/>
      <c r="V208" s="82"/>
    </row>
    <row r="209" spans="19:22" x14ac:dyDescent="0.25">
      <c r="S209" s="82"/>
      <c r="T209" s="82"/>
      <c r="U209" s="82"/>
      <c r="V209" s="82"/>
    </row>
    <row r="210" spans="19:22" x14ac:dyDescent="0.25">
      <c r="S210" s="82"/>
      <c r="T210" s="82"/>
      <c r="U210" s="82"/>
      <c r="V210" s="82"/>
    </row>
    <row r="211" spans="19:22" x14ac:dyDescent="0.25">
      <c r="S211" s="82"/>
      <c r="T211" s="82"/>
      <c r="U211" s="82"/>
      <c r="V211" s="82"/>
    </row>
    <row r="212" spans="19:22" x14ac:dyDescent="0.25">
      <c r="S212" s="82"/>
      <c r="T212" s="82"/>
      <c r="U212" s="82"/>
      <c r="V212" s="82"/>
    </row>
    <row r="213" spans="19:22" x14ac:dyDescent="0.25">
      <c r="S213" s="82"/>
      <c r="T213" s="82"/>
      <c r="U213" s="82"/>
      <c r="V213" s="82"/>
    </row>
    <row r="214" spans="19:22" x14ac:dyDescent="0.25">
      <c r="S214" s="82"/>
      <c r="T214" s="82"/>
      <c r="U214" s="82"/>
      <c r="V214" s="82"/>
    </row>
    <row r="215" spans="19:22" x14ac:dyDescent="0.25">
      <c r="S215" s="82"/>
      <c r="T215" s="82"/>
      <c r="U215" s="82"/>
      <c r="V215" s="82"/>
    </row>
    <row r="216" spans="19:22" x14ac:dyDescent="0.25">
      <c r="S216" s="82"/>
      <c r="T216" s="82"/>
      <c r="U216" s="82"/>
      <c r="V216" s="82"/>
    </row>
    <row r="217" spans="19:22" x14ac:dyDescent="0.25">
      <c r="S217" s="82"/>
      <c r="T217" s="82"/>
      <c r="U217" s="82"/>
      <c r="V217" s="82"/>
    </row>
    <row r="218" spans="19:22" x14ac:dyDescent="0.25">
      <c r="S218" s="82"/>
      <c r="T218" s="82"/>
      <c r="U218" s="82"/>
      <c r="V218" s="82"/>
    </row>
    <row r="219" spans="19:22" x14ac:dyDescent="0.25">
      <c r="S219" s="82"/>
      <c r="T219" s="82"/>
      <c r="U219" s="82"/>
      <c r="V219" s="82"/>
    </row>
    <row r="220" spans="19:22" x14ac:dyDescent="0.25">
      <c r="S220" s="82"/>
      <c r="T220" s="82"/>
      <c r="U220" s="82"/>
      <c r="V220" s="82"/>
    </row>
    <row r="221" spans="19:22" x14ac:dyDescent="0.25">
      <c r="S221" s="82"/>
      <c r="T221" s="82"/>
      <c r="U221" s="82"/>
      <c r="V221" s="82"/>
    </row>
    <row r="222" spans="19:22" x14ac:dyDescent="0.25">
      <c r="S222" s="82"/>
      <c r="T222" s="82"/>
      <c r="U222" s="82"/>
      <c r="V222" s="82"/>
    </row>
    <row r="223" spans="19:22" x14ac:dyDescent="0.25">
      <c r="S223" s="82"/>
      <c r="T223" s="82"/>
      <c r="U223" s="82"/>
      <c r="V223" s="82"/>
    </row>
    <row r="224" spans="19:22" x14ac:dyDescent="0.25">
      <c r="S224" s="82"/>
      <c r="T224" s="82"/>
      <c r="U224" s="82"/>
      <c r="V224" s="82"/>
    </row>
    <row r="225" spans="19:22" x14ac:dyDescent="0.25">
      <c r="S225" s="82"/>
      <c r="T225" s="82"/>
      <c r="U225" s="82"/>
      <c r="V225" s="82"/>
    </row>
    <row r="226" spans="19:22" x14ac:dyDescent="0.25">
      <c r="S226" s="82"/>
      <c r="T226" s="82"/>
      <c r="U226" s="82"/>
      <c r="V226" s="82"/>
    </row>
    <row r="227" spans="19:22" x14ac:dyDescent="0.25">
      <c r="S227" s="82"/>
      <c r="T227" s="82"/>
      <c r="U227" s="82"/>
      <c r="V227" s="82"/>
    </row>
    <row r="228" spans="19:22" x14ac:dyDescent="0.25">
      <c r="S228" s="82"/>
      <c r="T228" s="82"/>
      <c r="U228" s="82"/>
      <c r="V228" s="82"/>
    </row>
    <row r="229" spans="19:22" x14ac:dyDescent="0.25">
      <c r="S229" s="82"/>
      <c r="T229" s="82"/>
      <c r="U229" s="82"/>
      <c r="V229" s="82"/>
    </row>
    <row r="230" spans="19:22" x14ac:dyDescent="0.25">
      <c r="S230" s="82"/>
      <c r="T230" s="82"/>
      <c r="U230" s="82"/>
      <c r="V230" s="82"/>
    </row>
    <row r="231" spans="19:22" x14ac:dyDescent="0.25">
      <c r="S231" s="82"/>
      <c r="T231" s="82"/>
      <c r="U231" s="82"/>
      <c r="V231" s="82"/>
    </row>
    <row r="232" spans="19:22" x14ac:dyDescent="0.25">
      <c r="S232" s="82"/>
      <c r="T232" s="82"/>
      <c r="U232" s="82"/>
      <c r="V232" s="82"/>
    </row>
    <row r="233" spans="19:22" x14ac:dyDescent="0.25">
      <c r="S233" s="82"/>
      <c r="T233" s="82"/>
      <c r="U233" s="82"/>
      <c r="V233" s="82"/>
    </row>
    <row r="234" spans="19:22" x14ac:dyDescent="0.25">
      <c r="S234" s="82"/>
      <c r="T234" s="82"/>
      <c r="U234" s="82"/>
      <c r="V234" s="82"/>
    </row>
    <row r="235" spans="19:22" x14ac:dyDescent="0.25">
      <c r="S235" s="82"/>
      <c r="T235" s="82"/>
      <c r="U235" s="82"/>
      <c r="V235" s="82"/>
    </row>
    <row r="236" spans="19:22" x14ac:dyDescent="0.25">
      <c r="S236" s="82"/>
      <c r="T236" s="82"/>
      <c r="U236" s="82"/>
      <c r="V236" s="82"/>
    </row>
    <row r="237" spans="19:22" x14ac:dyDescent="0.25">
      <c r="S237" s="82"/>
      <c r="T237" s="82"/>
      <c r="U237" s="82"/>
      <c r="V237" s="82"/>
    </row>
    <row r="238" spans="19:22" x14ac:dyDescent="0.25">
      <c r="S238" s="82"/>
      <c r="T238" s="82"/>
      <c r="U238" s="82"/>
      <c r="V238" s="82"/>
    </row>
    <row r="239" spans="19:22" x14ac:dyDescent="0.25">
      <c r="S239" s="82"/>
      <c r="T239" s="82"/>
      <c r="U239" s="82"/>
      <c r="V239" s="82"/>
    </row>
    <row r="240" spans="19:22" x14ac:dyDescent="0.25">
      <c r="S240" s="82"/>
      <c r="T240" s="82"/>
      <c r="U240" s="82"/>
      <c r="V240" s="82"/>
    </row>
    <row r="241" spans="19:22" x14ac:dyDescent="0.25">
      <c r="S241" s="82"/>
      <c r="T241" s="82"/>
      <c r="U241" s="82"/>
      <c r="V241" s="82"/>
    </row>
    <row r="242" spans="19:22" x14ac:dyDescent="0.25">
      <c r="S242" s="82"/>
      <c r="T242" s="82"/>
      <c r="U242" s="82"/>
      <c r="V242" s="82"/>
    </row>
    <row r="243" spans="19:22" x14ac:dyDescent="0.25">
      <c r="S243" s="82"/>
      <c r="T243" s="82"/>
      <c r="U243" s="82"/>
      <c r="V243" s="82"/>
    </row>
    <row r="244" spans="19:22" x14ac:dyDescent="0.25">
      <c r="S244" s="82"/>
      <c r="T244" s="82"/>
      <c r="U244" s="82"/>
      <c r="V244" s="82"/>
    </row>
    <row r="245" spans="19:22" x14ac:dyDescent="0.25">
      <c r="S245" s="82"/>
      <c r="T245" s="82"/>
      <c r="U245" s="82"/>
      <c r="V245" s="82"/>
    </row>
    <row r="246" spans="19:22" x14ac:dyDescent="0.25">
      <c r="S246" s="82"/>
      <c r="T246" s="82"/>
      <c r="U246" s="82"/>
      <c r="V246" s="82"/>
    </row>
    <row r="247" spans="19:22" x14ac:dyDescent="0.25">
      <c r="S247" s="82"/>
      <c r="T247" s="82"/>
      <c r="U247" s="82"/>
      <c r="V247" s="82"/>
    </row>
    <row r="248" spans="19:22" x14ac:dyDescent="0.25">
      <c r="S248" s="82"/>
      <c r="T248" s="82"/>
      <c r="U248" s="82"/>
      <c r="V248" s="82"/>
    </row>
    <row r="249" spans="19:22" x14ac:dyDescent="0.25">
      <c r="S249" s="82"/>
      <c r="T249" s="82"/>
      <c r="U249" s="82"/>
      <c r="V249" s="82"/>
    </row>
    <row r="250" spans="19:22" x14ac:dyDescent="0.25">
      <c r="S250" s="82"/>
      <c r="T250" s="82"/>
      <c r="U250" s="82"/>
      <c r="V250" s="82"/>
    </row>
    <row r="251" spans="19:22" x14ac:dyDescent="0.25">
      <c r="S251" s="82"/>
      <c r="T251" s="82"/>
      <c r="U251" s="82"/>
      <c r="V251" s="82"/>
    </row>
    <row r="252" spans="19:22" x14ac:dyDescent="0.25">
      <c r="S252" s="82"/>
      <c r="T252" s="82"/>
      <c r="U252" s="82"/>
      <c r="V252" s="82"/>
    </row>
    <row r="253" spans="19:22" x14ac:dyDescent="0.25">
      <c r="S253" s="82"/>
      <c r="T253" s="82"/>
      <c r="U253" s="82"/>
      <c r="V253" s="82"/>
    </row>
    <row r="254" spans="19:22" x14ac:dyDescent="0.25">
      <c r="S254" s="82"/>
      <c r="T254" s="82"/>
      <c r="U254" s="82"/>
      <c r="V254" s="82"/>
    </row>
    <row r="255" spans="19:22" x14ac:dyDescent="0.25">
      <c r="S255" s="82"/>
      <c r="T255" s="82"/>
      <c r="U255" s="82"/>
      <c r="V255" s="82"/>
    </row>
    <row r="256" spans="19:22" x14ac:dyDescent="0.25">
      <c r="S256" s="82"/>
      <c r="T256" s="82"/>
      <c r="U256" s="82"/>
      <c r="V256" s="82"/>
    </row>
    <row r="257" spans="19:22" x14ac:dyDescent="0.25">
      <c r="S257" s="82"/>
      <c r="T257" s="82"/>
      <c r="U257" s="82"/>
      <c r="V257" s="82"/>
    </row>
    <row r="258" spans="19:22" x14ac:dyDescent="0.25">
      <c r="S258" s="82"/>
      <c r="T258" s="82"/>
      <c r="U258" s="82"/>
      <c r="V258" s="82"/>
    </row>
    <row r="259" spans="19:22" x14ac:dyDescent="0.25">
      <c r="S259" s="82"/>
      <c r="T259" s="82"/>
      <c r="U259" s="82"/>
      <c r="V259" s="82"/>
    </row>
    <row r="260" spans="19:22" x14ac:dyDescent="0.25">
      <c r="S260" s="82"/>
      <c r="T260" s="82"/>
      <c r="U260" s="82"/>
      <c r="V260" s="82"/>
    </row>
    <row r="261" spans="19:22" x14ac:dyDescent="0.25">
      <c r="S261" s="82"/>
      <c r="T261" s="82"/>
      <c r="U261" s="82"/>
      <c r="V261" s="82"/>
    </row>
    <row r="262" spans="19:22" x14ac:dyDescent="0.25">
      <c r="S262" s="82"/>
      <c r="T262" s="82"/>
      <c r="U262" s="82"/>
      <c r="V262" s="82"/>
    </row>
    <row r="263" spans="19:22" x14ac:dyDescent="0.25">
      <c r="S263" s="82"/>
      <c r="T263" s="82"/>
      <c r="U263" s="82"/>
      <c r="V263" s="82"/>
    </row>
    <row r="264" spans="19:22" x14ac:dyDescent="0.25">
      <c r="S264" s="82"/>
      <c r="T264" s="82"/>
      <c r="U264" s="82"/>
      <c r="V264" s="82"/>
    </row>
    <row r="265" spans="19:22" x14ac:dyDescent="0.25">
      <c r="S265" s="82"/>
      <c r="T265" s="82"/>
      <c r="U265" s="82"/>
      <c r="V265" s="82"/>
    </row>
    <row r="266" spans="19:22" x14ac:dyDescent="0.25">
      <c r="S266" s="82"/>
      <c r="T266" s="82"/>
      <c r="U266" s="82"/>
      <c r="V266" s="82"/>
    </row>
    <row r="267" spans="19:22" x14ac:dyDescent="0.25">
      <c r="S267" s="82"/>
      <c r="T267" s="82"/>
      <c r="U267" s="82"/>
      <c r="V267" s="82"/>
    </row>
    <row r="268" spans="19:22" x14ac:dyDescent="0.25">
      <c r="S268" s="82"/>
      <c r="T268" s="82"/>
      <c r="U268" s="82"/>
      <c r="V268" s="82"/>
    </row>
    <row r="269" spans="19:22" x14ac:dyDescent="0.25">
      <c r="S269" s="82"/>
      <c r="T269" s="82"/>
      <c r="U269" s="82"/>
      <c r="V269" s="82"/>
    </row>
    <row r="270" spans="19:22" x14ac:dyDescent="0.25">
      <c r="S270" s="82"/>
      <c r="T270" s="82"/>
      <c r="U270" s="82"/>
      <c r="V270" s="82"/>
    </row>
    <row r="271" spans="19:22" x14ac:dyDescent="0.25">
      <c r="S271" s="82"/>
      <c r="T271" s="82"/>
      <c r="U271" s="82"/>
      <c r="V271" s="82"/>
    </row>
    <row r="272" spans="19:22" x14ac:dyDescent="0.25">
      <c r="S272" s="82"/>
      <c r="T272" s="82"/>
      <c r="U272" s="82"/>
      <c r="V272" s="82"/>
    </row>
    <row r="273" spans="19:22" x14ac:dyDescent="0.25">
      <c r="S273" s="82"/>
      <c r="T273" s="82"/>
      <c r="U273" s="82"/>
      <c r="V273" s="82"/>
    </row>
    <row r="274" spans="19:22" x14ac:dyDescent="0.25">
      <c r="S274" s="82"/>
      <c r="T274" s="82"/>
      <c r="U274" s="82"/>
      <c r="V274" s="82"/>
    </row>
    <row r="275" spans="19:22" x14ac:dyDescent="0.25">
      <c r="S275" s="82"/>
      <c r="T275" s="82"/>
      <c r="U275" s="82"/>
      <c r="V275" s="82"/>
    </row>
    <row r="276" spans="19:22" x14ac:dyDescent="0.25">
      <c r="S276" s="82"/>
      <c r="T276" s="82"/>
      <c r="U276" s="82"/>
      <c r="V276" s="82"/>
    </row>
    <row r="277" spans="19:22" x14ac:dyDescent="0.25">
      <c r="S277" s="82"/>
      <c r="T277" s="82"/>
      <c r="U277" s="82"/>
      <c r="V277" s="82"/>
    </row>
    <row r="278" spans="19:22" x14ac:dyDescent="0.25">
      <c r="S278" s="82"/>
      <c r="T278" s="82"/>
      <c r="U278" s="82"/>
      <c r="V278" s="82"/>
    </row>
    <row r="279" spans="19:22" x14ac:dyDescent="0.25">
      <c r="S279" s="82"/>
      <c r="T279" s="82"/>
      <c r="U279" s="82"/>
      <c r="V279" s="82"/>
    </row>
    <row r="280" spans="19:22" x14ac:dyDescent="0.25">
      <c r="S280" s="82"/>
      <c r="T280" s="82"/>
      <c r="U280" s="82"/>
      <c r="V280" s="82"/>
    </row>
    <row r="281" spans="19:22" x14ac:dyDescent="0.25">
      <c r="S281" s="82"/>
      <c r="T281" s="82"/>
      <c r="U281" s="82"/>
      <c r="V281" s="82"/>
    </row>
    <row r="282" spans="19:22" x14ac:dyDescent="0.25">
      <c r="S282" s="82"/>
      <c r="T282" s="82"/>
      <c r="U282" s="82"/>
      <c r="V282" s="82"/>
    </row>
    <row r="283" spans="19:22" x14ac:dyDescent="0.25">
      <c r="S283" s="82"/>
      <c r="T283" s="82"/>
      <c r="U283" s="82"/>
      <c r="V283" s="82"/>
    </row>
    <row r="284" spans="19:22" x14ac:dyDescent="0.25">
      <c r="S284" s="82"/>
      <c r="T284" s="82"/>
      <c r="U284" s="82"/>
      <c r="V284" s="82"/>
    </row>
    <row r="285" spans="19:22" x14ac:dyDescent="0.25">
      <c r="S285" s="82"/>
      <c r="T285" s="82"/>
      <c r="U285" s="82"/>
      <c r="V285" s="82"/>
    </row>
    <row r="286" spans="19:22" x14ac:dyDescent="0.25">
      <c r="S286" s="82"/>
      <c r="T286" s="82"/>
      <c r="U286" s="82"/>
      <c r="V286" s="82"/>
    </row>
    <row r="287" spans="19:22" x14ac:dyDescent="0.25">
      <c r="S287" s="82"/>
      <c r="T287" s="82"/>
      <c r="U287" s="82"/>
      <c r="V287" s="82"/>
    </row>
    <row r="288" spans="19:22" x14ac:dyDescent="0.25">
      <c r="S288" s="82"/>
      <c r="T288" s="82"/>
      <c r="U288" s="82"/>
      <c r="V288" s="82"/>
    </row>
    <row r="289" spans="19:22" x14ac:dyDescent="0.25">
      <c r="S289" s="82"/>
      <c r="T289" s="82"/>
      <c r="U289" s="82"/>
      <c r="V289" s="82"/>
    </row>
    <row r="290" spans="19:22" x14ac:dyDescent="0.25">
      <c r="S290" s="82"/>
      <c r="T290" s="82"/>
      <c r="U290" s="82"/>
      <c r="V290" s="82"/>
    </row>
    <row r="291" spans="19:22" x14ac:dyDescent="0.25">
      <c r="S291" s="82"/>
      <c r="T291" s="82"/>
      <c r="U291" s="82"/>
      <c r="V291" s="82"/>
    </row>
    <row r="292" spans="19:22" x14ac:dyDescent="0.25">
      <c r="S292" s="82"/>
      <c r="T292" s="82"/>
      <c r="U292" s="82"/>
      <c r="V292" s="82"/>
    </row>
    <row r="293" spans="19:22" x14ac:dyDescent="0.25">
      <c r="S293" s="82"/>
      <c r="T293" s="82"/>
      <c r="U293" s="82"/>
      <c r="V293" s="82"/>
    </row>
    <row r="294" spans="19:22" x14ac:dyDescent="0.25">
      <c r="S294" s="82"/>
      <c r="T294" s="82"/>
      <c r="U294" s="82"/>
      <c r="V294" s="82"/>
    </row>
    <row r="295" spans="19:22" x14ac:dyDescent="0.25">
      <c r="S295" s="82"/>
      <c r="T295" s="82"/>
      <c r="U295" s="82"/>
      <c r="V295" s="82"/>
    </row>
    <row r="296" spans="19:22" x14ac:dyDescent="0.25">
      <c r="S296" s="82"/>
      <c r="T296" s="82"/>
      <c r="U296" s="82"/>
      <c r="V296" s="82"/>
    </row>
    <row r="297" spans="19:22" x14ac:dyDescent="0.25">
      <c r="S297" s="82"/>
      <c r="T297" s="82"/>
      <c r="U297" s="82"/>
      <c r="V297" s="82"/>
    </row>
    <row r="298" spans="19:22" x14ac:dyDescent="0.25">
      <c r="S298" s="82"/>
      <c r="T298" s="82"/>
      <c r="U298" s="82"/>
      <c r="V298" s="82"/>
    </row>
    <row r="299" spans="19:22" x14ac:dyDescent="0.25">
      <c r="S299" s="82"/>
      <c r="T299" s="82"/>
      <c r="U299" s="82"/>
      <c r="V299" s="82"/>
    </row>
    <row r="300" spans="19:22" x14ac:dyDescent="0.25">
      <c r="S300" s="82"/>
      <c r="T300" s="82"/>
      <c r="U300" s="82"/>
      <c r="V300" s="82"/>
    </row>
    <row r="301" spans="19:22" x14ac:dyDescent="0.25">
      <c r="S301" s="82"/>
      <c r="T301" s="82"/>
      <c r="U301" s="82"/>
      <c r="V301" s="82"/>
    </row>
    <row r="302" spans="19:22" x14ac:dyDescent="0.25">
      <c r="S302" s="82"/>
      <c r="T302" s="82"/>
      <c r="U302" s="82"/>
      <c r="V302" s="82"/>
    </row>
    <row r="303" spans="19:22" x14ac:dyDescent="0.25">
      <c r="S303" s="82"/>
      <c r="T303" s="82"/>
      <c r="U303" s="82"/>
      <c r="V303" s="82"/>
    </row>
    <row r="304" spans="19:22" x14ac:dyDescent="0.25">
      <c r="S304" s="82"/>
      <c r="T304" s="82"/>
      <c r="U304" s="82"/>
      <c r="V304" s="82"/>
    </row>
    <row r="305" spans="19:22" x14ac:dyDescent="0.25">
      <c r="S305" s="82"/>
      <c r="T305" s="82"/>
      <c r="U305" s="82"/>
      <c r="V305" s="82"/>
    </row>
    <row r="306" spans="19:22" x14ac:dyDescent="0.25">
      <c r="S306" s="82"/>
      <c r="T306" s="82"/>
      <c r="U306" s="82"/>
      <c r="V306" s="82"/>
    </row>
    <row r="307" spans="19:22" x14ac:dyDescent="0.25">
      <c r="S307" s="82"/>
      <c r="T307" s="82"/>
      <c r="U307" s="82"/>
      <c r="V307" s="82"/>
    </row>
    <row r="308" spans="19:22" x14ac:dyDescent="0.25">
      <c r="S308" s="82"/>
      <c r="T308" s="82"/>
      <c r="U308" s="82"/>
      <c r="V308" s="82"/>
    </row>
    <row r="309" spans="19:22" x14ac:dyDescent="0.25">
      <c r="S309" s="82"/>
      <c r="T309" s="82"/>
      <c r="U309" s="82"/>
      <c r="V309" s="82"/>
    </row>
    <row r="310" spans="19:22" x14ac:dyDescent="0.25">
      <c r="S310" s="82"/>
      <c r="T310" s="82"/>
      <c r="U310" s="82"/>
      <c r="V310" s="82"/>
    </row>
    <row r="311" spans="19:22" x14ac:dyDescent="0.25">
      <c r="S311" s="82"/>
      <c r="T311" s="82"/>
      <c r="U311" s="82"/>
      <c r="V311" s="82"/>
    </row>
    <row r="312" spans="19:22" x14ac:dyDescent="0.25">
      <c r="S312" s="82"/>
      <c r="T312" s="82"/>
      <c r="U312" s="82"/>
      <c r="V312" s="82"/>
    </row>
    <row r="313" spans="19:22" x14ac:dyDescent="0.25">
      <c r="S313" s="82"/>
      <c r="T313" s="82"/>
      <c r="U313" s="82"/>
      <c r="V313" s="82"/>
    </row>
    <row r="314" spans="19:22" x14ac:dyDescent="0.25">
      <c r="S314" s="82"/>
      <c r="T314" s="82"/>
      <c r="U314" s="82"/>
      <c r="V314" s="82"/>
    </row>
    <row r="315" spans="19:22" x14ac:dyDescent="0.25">
      <c r="S315" s="82"/>
      <c r="T315" s="82"/>
      <c r="U315" s="82"/>
      <c r="V315" s="82"/>
    </row>
    <row r="316" spans="19:22" x14ac:dyDescent="0.25">
      <c r="S316" s="82"/>
      <c r="T316" s="82"/>
      <c r="U316" s="82"/>
      <c r="V316" s="82"/>
    </row>
    <row r="317" spans="19:22" x14ac:dyDescent="0.25">
      <c r="S317" s="82"/>
      <c r="T317" s="82"/>
      <c r="U317" s="82"/>
      <c r="V317" s="82"/>
    </row>
    <row r="318" spans="19:22" x14ac:dyDescent="0.25">
      <c r="S318" s="82"/>
      <c r="T318" s="82"/>
      <c r="U318" s="82"/>
      <c r="V318" s="82"/>
    </row>
    <row r="319" spans="19:22" x14ac:dyDescent="0.25">
      <c r="S319" s="82"/>
      <c r="T319" s="82"/>
      <c r="U319" s="82"/>
      <c r="V319" s="82"/>
    </row>
    <row r="320" spans="19:22" x14ac:dyDescent="0.25">
      <c r="S320" s="82"/>
      <c r="T320" s="82"/>
      <c r="U320" s="82"/>
      <c r="V320" s="82"/>
    </row>
    <row r="321" spans="19:22" x14ac:dyDescent="0.25">
      <c r="S321" s="82"/>
      <c r="T321" s="82"/>
      <c r="U321" s="82"/>
      <c r="V321" s="82"/>
    </row>
    <row r="322" spans="19:22" x14ac:dyDescent="0.25">
      <c r="S322" s="82"/>
      <c r="T322" s="82"/>
      <c r="U322" s="82"/>
      <c r="V322" s="82"/>
    </row>
    <row r="323" spans="19:22" x14ac:dyDescent="0.25">
      <c r="S323" s="82"/>
      <c r="T323" s="82"/>
      <c r="U323" s="82"/>
      <c r="V323" s="82"/>
    </row>
    <row r="324" spans="19:22" x14ac:dyDescent="0.25">
      <c r="S324" s="82"/>
      <c r="T324" s="82"/>
      <c r="U324" s="82"/>
      <c r="V324" s="82"/>
    </row>
    <row r="325" spans="19:22" x14ac:dyDescent="0.25">
      <c r="S325" s="82"/>
      <c r="T325" s="82"/>
      <c r="U325" s="82"/>
      <c r="V325" s="82"/>
    </row>
    <row r="326" spans="19:22" x14ac:dyDescent="0.25">
      <c r="S326" s="82"/>
      <c r="T326" s="82"/>
      <c r="U326" s="82"/>
      <c r="V326" s="82"/>
    </row>
    <row r="327" spans="19:22" x14ac:dyDescent="0.25">
      <c r="S327" s="82"/>
      <c r="T327" s="82"/>
      <c r="U327" s="82"/>
      <c r="V327" s="82"/>
    </row>
    <row r="328" spans="19:22" x14ac:dyDescent="0.25">
      <c r="S328" s="82"/>
      <c r="T328" s="82"/>
      <c r="U328" s="82"/>
      <c r="V328" s="82"/>
    </row>
    <row r="329" spans="19:22" x14ac:dyDescent="0.25">
      <c r="S329" s="82"/>
      <c r="T329" s="82"/>
      <c r="U329" s="82"/>
      <c r="V329" s="82"/>
    </row>
    <row r="330" spans="19:22" x14ac:dyDescent="0.25">
      <c r="S330" s="82"/>
      <c r="T330" s="82"/>
      <c r="U330" s="82"/>
      <c r="V330" s="82"/>
    </row>
    <row r="331" spans="19:22" x14ac:dyDescent="0.25">
      <c r="S331" s="82"/>
      <c r="T331" s="82"/>
      <c r="U331" s="82"/>
      <c r="V331" s="82"/>
    </row>
    <row r="332" spans="19:22" x14ac:dyDescent="0.25">
      <c r="S332" s="82"/>
      <c r="T332" s="82"/>
      <c r="U332" s="82"/>
      <c r="V332" s="82"/>
    </row>
    <row r="333" spans="19:22" x14ac:dyDescent="0.25">
      <c r="S333" s="82"/>
      <c r="T333" s="82"/>
      <c r="U333" s="82"/>
      <c r="V333" s="82"/>
    </row>
    <row r="334" spans="19:22" x14ac:dyDescent="0.25">
      <c r="S334" s="82"/>
      <c r="T334" s="82"/>
      <c r="U334" s="82"/>
      <c r="V334" s="82"/>
    </row>
    <row r="335" spans="19:22" x14ac:dyDescent="0.25">
      <c r="S335" s="82"/>
      <c r="T335" s="82"/>
      <c r="U335" s="82"/>
      <c r="V335" s="82"/>
    </row>
    <row r="336" spans="19:22" x14ac:dyDescent="0.25">
      <c r="S336" s="82"/>
      <c r="T336" s="82"/>
      <c r="U336" s="82"/>
      <c r="V336" s="82"/>
    </row>
    <row r="337" spans="19:22" x14ac:dyDescent="0.25">
      <c r="S337" s="82"/>
      <c r="T337" s="82"/>
      <c r="U337" s="82"/>
      <c r="V337" s="82"/>
    </row>
    <row r="338" spans="19:22" x14ac:dyDescent="0.25">
      <c r="S338" s="82"/>
      <c r="T338" s="82"/>
      <c r="U338" s="82"/>
      <c r="V338" s="82"/>
    </row>
    <row r="339" spans="19:22" x14ac:dyDescent="0.25">
      <c r="S339" s="82"/>
      <c r="T339" s="82"/>
      <c r="U339" s="82"/>
      <c r="V339" s="82"/>
    </row>
    <row r="340" spans="19:22" x14ac:dyDescent="0.25">
      <c r="S340" s="82"/>
      <c r="T340" s="82"/>
      <c r="U340" s="82"/>
      <c r="V340" s="82"/>
    </row>
    <row r="341" spans="19:22" x14ac:dyDescent="0.25">
      <c r="S341" s="82"/>
      <c r="T341" s="82"/>
      <c r="U341" s="82"/>
      <c r="V341" s="82"/>
    </row>
    <row r="342" spans="19:22" x14ac:dyDescent="0.25">
      <c r="S342" s="82"/>
      <c r="T342" s="82"/>
      <c r="U342" s="82"/>
      <c r="V342" s="82"/>
    </row>
    <row r="343" spans="19:22" x14ac:dyDescent="0.25">
      <c r="S343" s="82"/>
      <c r="T343" s="82"/>
      <c r="U343" s="82"/>
      <c r="V343" s="82"/>
    </row>
    <row r="344" spans="19:22" x14ac:dyDescent="0.25">
      <c r="S344" s="82"/>
      <c r="T344" s="82"/>
      <c r="U344" s="82"/>
      <c r="V344" s="82"/>
    </row>
    <row r="345" spans="19:22" x14ac:dyDescent="0.25">
      <c r="S345" s="82"/>
      <c r="T345" s="82"/>
      <c r="U345" s="82"/>
      <c r="V345" s="82"/>
    </row>
    <row r="346" spans="19:22" x14ac:dyDescent="0.25">
      <c r="S346" s="82"/>
      <c r="T346" s="82"/>
      <c r="U346" s="82"/>
      <c r="V346" s="82"/>
    </row>
    <row r="347" spans="19:22" x14ac:dyDescent="0.25">
      <c r="S347" s="82"/>
      <c r="T347" s="82"/>
      <c r="U347" s="82"/>
      <c r="V347" s="82"/>
    </row>
    <row r="348" spans="19:22" x14ac:dyDescent="0.25">
      <c r="S348" s="82"/>
      <c r="T348" s="82"/>
      <c r="U348" s="82"/>
      <c r="V348" s="82"/>
    </row>
    <row r="349" spans="19:22" x14ac:dyDescent="0.25">
      <c r="S349" s="82"/>
      <c r="T349" s="82"/>
      <c r="U349" s="82"/>
      <c r="V349" s="82"/>
    </row>
    <row r="350" spans="19:22" x14ac:dyDescent="0.25">
      <c r="S350" s="82"/>
      <c r="T350" s="82"/>
      <c r="U350" s="82"/>
      <c r="V350" s="82"/>
    </row>
    <row r="351" spans="19:22" x14ac:dyDescent="0.25">
      <c r="S351" s="82"/>
      <c r="T351" s="82"/>
      <c r="U351" s="82"/>
      <c r="V351" s="82"/>
    </row>
    <row r="352" spans="19:22" x14ac:dyDescent="0.25">
      <c r="S352" s="82"/>
      <c r="T352" s="82"/>
      <c r="U352" s="82"/>
      <c r="V352" s="82"/>
    </row>
    <row r="353" spans="19:22" x14ac:dyDescent="0.25">
      <c r="S353" s="82"/>
      <c r="T353" s="82"/>
      <c r="U353" s="82"/>
      <c r="V353" s="82"/>
    </row>
    <row r="354" spans="19:22" x14ac:dyDescent="0.25">
      <c r="S354" s="82"/>
      <c r="T354" s="82"/>
      <c r="U354" s="82"/>
      <c r="V354" s="82"/>
    </row>
    <row r="355" spans="19:22" x14ac:dyDescent="0.25">
      <c r="S355" s="82"/>
      <c r="T355" s="82"/>
      <c r="U355" s="82"/>
      <c r="V355" s="82"/>
    </row>
    <row r="356" spans="19:22" x14ac:dyDescent="0.25">
      <c r="S356" s="82"/>
      <c r="T356" s="82"/>
      <c r="U356" s="82"/>
      <c r="V356" s="82"/>
    </row>
    <row r="357" spans="19:22" x14ac:dyDescent="0.25">
      <c r="S357" s="82"/>
      <c r="T357" s="82"/>
      <c r="U357" s="82"/>
      <c r="V357" s="82"/>
    </row>
    <row r="358" spans="19:22" x14ac:dyDescent="0.25">
      <c r="S358" s="82"/>
      <c r="T358" s="82"/>
      <c r="U358" s="82"/>
      <c r="V358" s="82"/>
    </row>
    <row r="359" spans="19:22" x14ac:dyDescent="0.25">
      <c r="S359" s="82"/>
      <c r="T359" s="82"/>
      <c r="U359" s="82"/>
      <c r="V359" s="82"/>
    </row>
    <row r="360" spans="19:22" x14ac:dyDescent="0.25">
      <c r="S360" s="82"/>
      <c r="T360" s="82"/>
      <c r="U360" s="82"/>
      <c r="V360" s="82"/>
    </row>
    <row r="361" spans="19:22" x14ac:dyDescent="0.25">
      <c r="S361" s="82"/>
      <c r="T361" s="82"/>
      <c r="U361" s="82"/>
      <c r="V361" s="82"/>
    </row>
    <row r="362" spans="19:22" x14ac:dyDescent="0.25">
      <c r="S362" s="82"/>
      <c r="T362" s="82"/>
      <c r="U362" s="82"/>
      <c r="V362" s="82"/>
    </row>
    <row r="363" spans="19:22" x14ac:dyDescent="0.25">
      <c r="S363" s="82"/>
      <c r="T363" s="82"/>
      <c r="U363" s="82"/>
      <c r="V363" s="82"/>
    </row>
    <row r="364" spans="19:22" x14ac:dyDescent="0.25">
      <c r="S364" s="82"/>
      <c r="T364" s="82"/>
      <c r="U364" s="82"/>
      <c r="V364" s="82"/>
    </row>
    <row r="365" spans="19:22" x14ac:dyDescent="0.25">
      <c r="S365" s="82"/>
      <c r="T365" s="82"/>
      <c r="U365" s="82"/>
      <c r="V365" s="82"/>
    </row>
    <row r="366" spans="19:22" x14ac:dyDescent="0.25">
      <c r="S366" s="82"/>
      <c r="T366" s="82"/>
      <c r="U366" s="82"/>
      <c r="V366" s="82"/>
    </row>
    <row r="367" spans="19:22" x14ac:dyDescent="0.25">
      <c r="S367" s="82"/>
      <c r="T367" s="82"/>
      <c r="U367" s="82"/>
      <c r="V367" s="82"/>
    </row>
    <row r="368" spans="19:22" x14ac:dyDescent="0.25">
      <c r="S368" s="82"/>
      <c r="T368" s="82"/>
      <c r="U368" s="82"/>
      <c r="V368" s="82"/>
    </row>
    <row r="369" spans="19:22" x14ac:dyDescent="0.25">
      <c r="S369" s="82"/>
      <c r="T369" s="82"/>
      <c r="U369" s="82"/>
      <c r="V369" s="82"/>
    </row>
    <row r="370" spans="19:22" x14ac:dyDescent="0.25">
      <c r="S370" s="82"/>
      <c r="T370" s="82"/>
      <c r="U370" s="82"/>
      <c r="V370" s="82"/>
    </row>
    <row r="371" spans="19:22" x14ac:dyDescent="0.25">
      <c r="S371" s="82"/>
      <c r="T371" s="82"/>
      <c r="U371" s="82"/>
      <c r="V371" s="82"/>
    </row>
    <row r="372" spans="19:22" x14ac:dyDescent="0.25">
      <c r="S372" s="82"/>
      <c r="T372" s="82"/>
      <c r="U372" s="82"/>
      <c r="V372" s="82"/>
    </row>
    <row r="373" spans="19:22" x14ac:dyDescent="0.25">
      <c r="S373" s="82"/>
      <c r="T373" s="82"/>
      <c r="U373" s="82"/>
      <c r="V373" s="82"/>
    </row>
    <row r="374" spans="19:22" x14ac:dyDescent="0.25">
      <c r="S374" s="82"/>
      <c r="T374" s="82"/>
      <c r="U374" s="82"/>
      <c r="V374" s="82"/>
    </row>
    <row r="375" spans="19:22" x14ac:dyDescent="0.25">
      <c r="S375" s="82"/>
      <c r="T375" s="82"/>
      <c r="U375" s="82"/>
      <c r="V375" s="82"/>
    </row>
    <row r="376" spans="19:22" x14ac:dyDescent="0.25">
      <c r="S376" s="82"/>
      <c r="T376" s="82"/>
      <c r="U376" s="82"/>
      <c r="V376" s="82"/>
    </row>
    <row r="377" spans="19:22" x14ac:dyDescent="0.25">
      <c r="S377" s="82"/>
      <c r="T377" s="82"/>
      <c r="U377" s="82"/>
      <c r="V377" s="82"/>
    </row>
    <row r="378" spans="19:22" x14ac:dyDescent="0.25">
      <c r="S378" s="82"/>
      <c r="T378" s="82"/>
      <c r="U378" s="82"/>
      <c r="V378" s="82"/>
    </row>
    <row r="379" spans="19:22" x14ac:dyDescent="0.25">
      <c r="S379" s="82"/>
      <c r="T379" s="82"/>
      <c r="U379" s="82"/>
      <c r="V379" s="82"/>
    </row>
    <row r="380" spans="19:22" x14ac:dyDescent="0.25">
      <c r="S380" s="82"/>
      <c r="T380" s="82"/>
      <c r="U380" s="82"/>
      <c r="V380" s="82"/>
    </row>
    <row r="381" spans="19:22" x14ac:dyDescent="0.25">
      <c r="S381" s="82"/>
      <c r="T381" s="82"/>
      <c r="U381" s="82"/>
      <c r="V381" s="82"/>
    </row>
    <row r="382" spans="19:22" x14ac:dyDescent="0.25">
      <c r="S382" s="82"/>
      <c r="T382" s="82"/>
      <c r="U382" s="82"/>
      <c r="V382" s="82"/>
    </row>
    <row r="383" spans="19:22" x14ac:dyDescent="0.25">
      <c r="S383" s="82"/>
      <c r="T383" s="82"/>
      <c r="U383" s="82"/>
      <c r="V383" s="82"/>
    </row>
    <row r="384" spans="19:22" x14ac:dyDescent="0.25">
      <c r="S384" s="82"/>
      <c r="T384" s="82"/>
      <c r="U384" s="82"/>
      <c r="V384" s="82"/>
    </row>
    <row r="385" spans="19:22" x14ac:dyDescent="0.25">
      <c r="S385" s="82"/>
      <c r="T385" s="82"/>
      <c r="U385" s="82"/>
      <c r="V385" s="82"/>
    </row>
    <row r="386" spans="19:22" x14ac:dyDescent="0.25">
      <c r="S386" s="82"/>
      <c r="T386" s="82"/>
      <c r="U386" s="82"/>
      <c r="V386" s="82"/>
    </row>
    <row r="387" spans="19:22" x14ac:dyDescent="0.25">
      <c r="S387" s="82"/>
      <c r="T387" s="82"/>
      <c r="U387" s="82"/>
      <c r="V387" s="82"/>
    </row>
    <row r="388" spans="19:22" x14ac:dyDescent="0.25">
      <c r="S388" s="82"/>
      <c r="T388" s="82"/>
      <c r="U388" s="82"/>
      <c r="V388" s="82"/>
    </row>
    <row r="389" spans="19:22" x14ac:dyDescent="0.25">
      <c r="S389" s="82"/>
      <c r="T389" s="82"/>
      <c r="U389" s="82"/>
      <c r="V389" s="82"/>
    </row>
    <row r="390" spans="19:22" x14ac:dyDescent="0.25">
      <c r="S390" s="82"/>
      <c r="T390" s="82"/>
      <c r="U390" s="82"/>
      <c r="V390" s="82"/>
    </row>
    <row r="391" spans="19:22" x14ac:dyDescent="0.25">
      <c r="S391" s="82"/>
      <c r="T391" s="82"/>
      <c r="U391" s="82"/>
      <c r="V391" s="82"/>
    </row>
    <row r="392" spans="19:22" x14ac:dyDescent="0.25">
      <c r="S392" s="82"/>
      <c r="T392" s="82"/>
      <c r="U392" s="82"/>
      <c r="V392" s="82"/>
    </row>
    <row r="393" spans="19:22" x14ac:dyDescent="0.25">
      <c r="S393" s="82"/>
      <c r="T393" s="82"/>
      <c r="U393" s="82"/>
      <c r="V393" s="82"/>
    </row>
    <row r="394" spans="19:22" x14ac:dyDescent="0.25">
      <c r="S394" s="82"/>
      <c r="T394" s="82"/>
      <c r="U394" s="82"/>
      <c r="V394" s="82"/>
    </row>
    <row r="395" spans="19:22" x14ac:dyDescent="0.25">
      <c r="S395" s="82"/>
      <c r="T395" s="82"/>
      <c r="U395" s="82"/>
      <c r="V395" s="82"/>
    </row>
    <row r="396" spans="19:22" x14ac:dyDescent="0.25">
      <c r="S396" s="82"/>
      <c r="T396" s="82"/>
      <c r="U396" s="82"/>
      <c r="V396" s="82"/>
    </row>
    <row r="397" spans="19:22" x14ac:dyDescent="0.25">
      <c r="S397" s="82"/>
      <c r="T397" s="82"/>
      <c r="U397" s="82"/>
      <c r="V397" s="82"/>
    </row>
    <row r="398" spans="19:22" x14ac:dyDescent="0.25">
      <c r="S398" s="82"/>
      <c r="T398" s="82"/>
      <c r="U398" s="82"/>
      <c r="V398" s="82"/>
    </row>
    <row r="399" spans="19:22" x14ac:dyDescent="0.25">
      <c r="S399" s="82"/>
      <c r="T399" s="82"/>
      <c r="U399" s="82"/>
      <c r="V399" s="82"/>
    </row>
    <row r="400" spans="19:22" x14ac:dyDescent="0.25">
      <c r="S400" s="82"/>
      <c r="T400" s="82"/>
      <c r="U400" s="82"/>
      <c r="V400" s="82"/>
    </row>
    <row r="401" spans="19:22" x14ac:dyDescent="0.25">
      <c r="S401" s="82"/>
      <c r="T401" s="82"/>
      <c r="U401" s="82"/>
      <c r="V401" s="82"/>
    </row>
    <row r="402" spans="19:22" x14ac:dyDescent="0.25">
      <c r="S402" s="82"/>
      <c r="T402" s="82"/>
      <c r="U402" s="82"/>
      <c r="V402" s="82"/>
    </row>
    <row r="403" spans="19:22" x14ac:dyDescent="0.25">
      <c r="S403" s="82"/>
      <c r="T403" s="82"/>
      <c r="U403" s="82"/>
      <c r="V403" s="82"/>
    </row>
    <row r="404" spans="19:22" x14ac:dyDescent="0.25">
      <c r="S404" s="82"/>
      <c r="T404" s="82"/>
      <c r="U404" s="82"/>
      <c r="V404" s="82"/>
    </row>
    <row r="405" spans="19:22" x14ac:dyDescent="0.25">
      <c r="S405" s="82"/>
      <c r="T405" s="82"/>
      <c r="U405" s="82"/>
      <c r="V405" s="82"/>
    </row>
    <row r="406" spans="19:22" x14ac:dyDescent="0.25">
      <c r="S406" s="82"/>
      <c r="T406" s="82"/>
      <c r="U406" s="82"/>
      <c r="V406" s="82"/>
    </row>
    <row r="407" spans="19:22" x14ac:dyDescent="0.25">
      <c r="S407" s="82"/>
      <c r="T407" s="82"/>
      <c r="U407" s="82"/>
      <c r="V407" s="82"/>
    </row>
    <row r="408" spans="19:22" x14ac:dyDescent="0.25">
      <c r="S408" s="82"/>
      <c r="T408" s="82"/>
      <c r="U408" s="82"/>
      <c r="V408" s="82"/>
    </row>
    <row r="409" spans="19:22" x14ac:dyDescent="0.25">
      <c r="S409" s="82"/>
      <c r="T409" s="82"/>
      <c r="U409" s="82"/>
      <c r="V409" s="82"/>
    </row>
    <row r="410" spans="19:22" x14ac:dyDescent="0.25">
      <c r="S410" s="82"/>
      <c r="T410" s="82"/>
      <c r="U410" s="82"/>
      <c r="V410" s="82"/>
    </row>
    <row r="411" spans="19:22" x14ac:dyDescent="0.25">
      <c r="S411" s="82"/>
      <c r="T411" s="82"/>
      <c r="U411" s="82"/>
      <c r="V411" s="82"/>
    </row>
    <row r="412" spans="19:22" x14ac:dyDescent="0.25">
      <c r="S412" s="82"/>
      <c r="T412" s="82"/>
      <c r="U412" s="82"/>
      <c r="V412" s="82"/>
    </row>
    <row r="413" spans="19:22" x14ac:dyDescent="0.25">
      <c r="S413" s="82"/>
      <c r="T413" s="82"/>
      <c r="U413" s="82"/>
      <c r="V413" s="82"/>
    </row>
    <row r="414" spans="19:22" x14ac:dyDescent="0.25">
      <c r="S414" s="82"/>
      <c r="T414" s="82"/>
      <c r="U414" s="82"/>
      <c r="V414" s="82"/>
    </row>
    <row r="415" spans="19:22" x14ac:dyDescent="0.25">
      <c r="S415" s="82"/>
      <c r="T415" s="82"/>
      <c r="U415" s="82"/>
      <c r="V415" s="82"/>
    </row>
    <row r="416" spans="19:22" x14ac:dyDescent="0.25">
      <c r="S416" s="82"/>
      <c r="T416" s="82"/>
      <c r="U416" s="82"/>
      <c r="V416" s="82"/>
    </row>
    <row r="417" spans="19:22" x14ac:dyDescent="0.25">
      <c r="S417" s="82"/>
      <c r="T417" s="82"/>
      <c r="U417" s="82"/>
      <c r="V417" s="82"/>
    </row>
    <row r="418" spans="19:22" x14ac:dyDescent="0.25">
      <c r="S418" s="82"/>
      <c r="T418" s="82"/>
      <c r="U418" s="82"/>
      <c r="V418" s="82"/>
    </row>
    <row r="419" spans="19:22" x14ac:dyDescent="0.25">
      <c r="S419" s="82"/>
      <c r="T419" s="82"/>
      <c r="U419" s="82"/>
      <c r="V419" s="82"/>
    </row>
    <row r="420" spans="19:22" x14ac:dyDescent="0.25">
      <c r="S420" s="82"/>
      <c r="T420" s="82"/>
      <c r="U420" s="82"/>
      <c r="V420" s="82"/>
    </row>
    <row r="421" spans="19:22" x14ac:dyDescent="0.25">
      <c r="S421" s="82"/>
      <c r="T421" s="82"/>
      <c r="U421" s="82"/>
      <c r="V421" s="82"/>
    </row>
    <row r="422" spans="19:22" x14ac:dyDescent="0.25">
      <c r="S422" s="82"/>
      <c r="T422" s="82"/>
      <c r="U422" s="82"/>
      <c r="V422" s="82"/>
    </row>
    <row r="423" spans="19:22" x14ac:dyDescent="0.25">
      <c r="S423" s="82"/>
      <c r="T423" s="82"/>
      <c r="U423" s="82"/>
      <c r="V423" s="82"/>
    </row>
    <row r="424" spans="19:22" x14ac:dyDescent="0.25">
      <c r="S424" s="82"/>
      <c r="T424" s="82"/>
      <c r="U424" s="82"/>
      <c r="V424" s="82"/>
    </row>
    <row r="425" spans="19:22" x14ac:dyDescent="0.25">
      <c r="S425" s="82"/>
      <c r="T425" s="82"/>
      <c r="U425" s="82"/>
      <c r="V425" s="82"/>
    </row>
    <row r="426" spans="19:22" x14ac:dyDescent="0.25">
      <c r="S426" s="82"/>
      <c r="T426" s="82"/>
      <c r="U426" s="82"/>
      <c r="V426" s="82"/>
    </row>
    <row r="427" spans="19:22" x14ac:dyDescent="0.25">
      <c r="S427" s="82"/>
      <c r="T427" s="82"/>
      <c r="U427" s="82"/>
      <c r="V427" s="82"/>
    </row>
    <row r="428" spans="19:22" x14ac:dyDescent="0.25">
      <c r="S428" s="82"/>
      <c r="T428" s="82"/>
      <c r="U428" s="82"/>
      <c r="V428" s="82"/>
    </row>
    <row r="429" spans="19:22" x14ac:dyDescent="0.25">
      <c r="S429" s="82"/>
      <c r="T429" s="82"/>
      <c r="U429" s="82"/>
      <c r="V429" s="82"/>
    </row>
    <row r="430" spans="19:22" x14ac:dyDescent="0.25">
      <c r="S430" s="82"/>
      <c r="T430" s="82"/>
      <c r="U430" s="82"/>
      <c r="V430" s="82"/>
    </row>
    <row r="431" spans="19:22" x14ac:dyDescent="0.25">
      <c r="S431" s="82"/>
      <c r="T431" s="82"/>
      <c r="U431" s="82"/>
      <c r="V431" s="82"/>
    </row>
    <row r="432" spans="19:22" x14ac:dyDescent="0.25">
      <c r="S432" s="82"/>
      <c r="T432" s="82"/>
      <c r="U432" s="82"/>
      <c r="V432" s="82"/>
    </row>
    <row r="433" spans="19:22" x14ac:dyDescent="0.25">
      <c r="S433" s="82"/>
      <c r="T433" s="82"/>
      <c r="U433" s="82"/>
      <c r="V433" s="82"/>
    </row>
    <row r="434" spans="19:22" x14ac:dyDescent="0.25">
      <c r="S434" s="82"/>
      <c r="T434" s="82"/>
      <c r="U434" s="82"/>
      <c r="V434" s="82"/>
    </row>
    <row r="435" spans="19:22" x14ac:dyDescent="0.25">
      <c r="S435" s="82"/>
      <c r="T435" s="82"/>
      <c r="U435" s="82"/>
      <c r="V435" s="82"/>
    </row>
    <row r="436" spans="19:22" x14ac:dyDescent="0.25">
      <c r="S436" s="82"/>
      <c r="T436" s="82"/>
      <c r="U436" s="82"/>
      <c r="V436" s="82"/>
    </row>
    <row r="437" spans="19:22" x14ac:dyDescent="0.25">
      <c r="S437" s="82"/>
      <c r="T437" s="82"/>
      <c r="U437" s="82"/>
      <c r="V437" s="82"/>
    </row>
    <row r="438" spans="19:22" x14ac:dyDescent="0.25">
      <c r="S438" s="82"/>
      <c r="T438" s="82"/>
      <c r="U438" s="82"/>
      <c r="V438" s="82"/>
    </row>
    <row r="439" spans="19:22" x14ac:dyDescent="0.25">
      <c r="S439" s="82"/>
      <c r="T439" s="82"/>
      <c r="U439" s="82"/>
      <c r="V439" s="82"/>
    </row>
    <row r="440" spans="19:22" x14ac:dyDescent="0.25">
      <c r="S440" s="82"/>
      <c r="T440" s="82"/>
      <c r="U440" s="82"/>
      <c r="V440" s="82"/>
    </row>
    <row r="441" spans="19:22" x14ac:dyDescent="0.25">
      <c r="S441" s="82"/>
      <c r="T441" s="82"/>
      <c r="U441" s="82"/>
      <c r="V441" s="82"/>
    </row>
    <row r="442" spans="19:22" x14ac:dyDescent="0.25">
      <c r="S442" s="82"/>
      <c r="T442" s="82"/>
      <c r="U442" s="82"/>
      <c r="V442" s="82"/>
    </row>
    <row r="443" spans="19:22" x14ac:dyDescent="0.25">
      <c r="S443" s="82"/>
      <c r="T443" s="82"/>
      <c r="U443" s="82"/>
      <c r="V443" s="82"/>
    </row>
    <row r="444" spans="19:22" x14ac:dyDescent="0.25">
      <c r="S444" s="82"/>
      <c r="T444" s="82"/>
      <c r="U444" s="82"/>
      <c r="V444" s="82"/>
    </row>
    <row r="445" spans="19:22" x14ac:dyDescent="0.25">
      <c r="S445" s="82"/>
      <c r="T445" s="82"/>
      <c r="U445" s="82"/>
      <c r="V445" s="82"/>
    </row>
    <row r="446" spans="19:22" x14ac:dyDescent="0.25">
      <c r="S446" s="82"/>
      <c r="T446" s="82"/>
      <c r="U446" s="82"/>
      <c r="V446" s="82"/>
    </row>
    <row r="447" spans="19:22" x14ac:dyDescent="0.25">
      <c r="S447" s="82"/>
      <c r="T447" s="82"/>
      <c r="U447" s="82"/>
      <c r="V447" s="82"/>
    </row>
    <row r="448" spans="19:22" x14ac:dyDescent="0.25">
      <c r="S448" s="82"/>
      <c r="T448" s="82"/>
      <c r="U448" s="82"/>
      <c r="V448" s="82"/>
    </row>
    <row r="449" spans="19:22" x14ac:dyDescent="0.25">
      <c r="S449" s="82"/>
      <c r="T449" s="82"/>
      <c r="U449" s="82"/>
      <c r="V449" s="82"/>
    </row>
    <row r="450" spans="19:22" x14ac:dyDescent="0.25">
      <c r="S450" s="82"/>
      <c r="T450" s="82"/>
      <c r="U450" s="82"/>
      <c r="V450" s="82"/>
    </row>
    <row r="451" spans="19:22" x14ac:dyDescent="0.25">
      <c r="S451" s="82"/>
      <c r="T451" s="82"/>
      <c r="U451" s="82"/>
      <c r="V451" s="82"/>
    </row>
    <row r="452" spans="19:22" x14ac:dyDescent="0.25">
      <c r="S452" s="82"/>
      <c r="T452" s="82"/>
      <c r="U452" s="82"/>
      <c r="V452" s="82"/>
    </row>
    <row r="453" spans="19:22" x14ac:dyDescent="0.25">
      <c r="S453" s="82"/>
      <c r="T453" s="82"/>
      <c r="U453" s="82"/>
      <c r="V453" s="82"/>
    </row>
    <row r="454" spans="19:22" x14ac:dyDescent="0.25">
      <c r="S454" s="82"/>
      <c r="T454" s="82"/>
      <c r="U454" s="82"/>
      <c r="V454" s="82"/>
    </row>
    <row r="455" spans="19:22" x14ac:dyDescent="0.25">
      <c r="S455" s="82"/>
      <c r="T455" s="82"/>
      <c r="U455" s="82"/>
      <c r="V455" s="82"/>
    </row>
    <row r="456" spans="19:22" x14ac:dyDescent="0.25">
      <c r="S456" s="82"/>
      <c r="T456" s="82"/>
      <c r="U456" s="82"/>
      <c r="V456" s="82"/>
    </row>
    <row r="457" spans="19:22" x14ac:dyDescent="0.25">
      <c r="S457" s="82"/>
      <c r="T457" s="82"/>
      <c r="U457" s="82"/>
      <c r="V457" s="82"/>
    </row>
    <row r="458" spans="19:22" x14ac:dyDescent="0.25">
      <c r="S458" s="82"/>
      <c r="T458" s="82"/>
      <c r="U458" s="82"/>
      <c r="V458" s="82"/>
    </row>
    <row r="459" spans="19:22" x14ac:dyDescent="0.25">
      <c r="S459" s="82"/>
      <c r="T459" s="82"/>
      <c r="U459" s="82"/>
      <c r="V459" s="82"/>
    </row>
    <row r="460" spans="19:22" x14ac:dyDescent="0.25">
      <c r="S460" s="82"/>
      <c r="T460" s="82"/>
      <c r="U460" s="82"/>
      <c r="V460" s="82"/>
    </row>
    <row r="461" spans="19:22" x14ac:dyDescent="0.25">
      <c r="S461" s="82"/>
      <c r="T461" s="82"/>
      <c r="U461" s="82"/>
      <c r="V461" s="82"/>
    </row>
    <row r="462" spans="19:22" x14ac:dyDescent="0.25">
      <c r="S462" s="82"/>
      <c r="T462" s="82"/>
      <c r="U462" s="82"/>
      <c r="V462" s="82"/>
    </row>
    <row r="463" spans="19:22" x14ac:dyDescent="0.25">
      <c r="S463" s="82"/>
      <c r="T463" s="82"/>
      <c r="U463" s="82"/>
      <c r="V463" s="82"/>
    </row>
    <row r="464" spans="19:22" x14ac:dyDescent="0.25">
      <c r="S464" s="82"/>
      <c r="T464" s="82"/>
      <c r="U464" s="82"/>
      <c r="V464" s="82"/>
    </row>
    <row r="465" spans="19:22" x14ac:dyDescent="0.25">
      <c r="S465" s="82"/>
      <c r="T465" s="82"/>
      <c r="U465" s="82"/>
      <c r="V465" s="82"/>
    </row>
    <row r="466" spans="19:22" x14ac:dyDescent="0.25">
      <c r="S466" s="82"/>
      <c r="T466" s="82"/>
      <c r="U466" s="82"/>
      <c r="V466" s="82"/>
    </row>
    <row r="467" spans="19:22" x14ac:dyDescent="0.25">
      <c r="S467" s="82"/>
      <c r="T467" s="82"/>
      <c r="U467" s="82"/>
      <c r="V467" s="82"/>
    </row>
    <row r="468" spans="19:22" x14ac:dyDescent="0.25">
      <c r="S468" s="82"/>
      <c r="T468" s="82"/>
      <c r="U468" s="82"/>
      <c r="V468" s="82"/>
    </row>
    <row r="469" spans="19:22" x14ac:dyDescent="0.25">
      <c r="S469" s="82"/>
      <c r="T469" s="82"/>
      <c r="U469" s="82"/>
      <c r="V469" s="82"/>
    </row>
    <row r="470" spans="19:22" x14ac:dyDescent="0.25">
      <c r="S470" s="82"/>
      <c r="T470" s="82"/>
      <c r="U470" s="82"/>
      <c r="V470" s="82"/>
    </row>
    <row r="471" spans="19:22" x14ac:dyDescent="0.25">
      <c r="S471" s="82"/>
      <c r="T471" s="82"/>
      <c r="U471" s="82"/>
      <c r="V471" s="82"/>
    </row>
    <row r="472" spans="19:22" x14ac:dyDescent="0.25">
      <c r="S472" s="82"/>
      <c r="T472" s="82"/>
      <c r="U472" s="82"/>
      <c r="V472" s="82"/>
    </row>
    <row r="473" spans="19:22" x14ac:dyDescent="0.25">
      <c r="S473" s="82"/>
      <c r="T473" s="82"/>
      <c r="U473" s="82"/>
      <c r="V473" s="82"/>
    </row>
    <row r="474" spans="19:22" x14ac:dyDescent="0.25">
      <c r="S474" s="82"/>
      <c r="T474" s="82"/>
      <c r="U474" s="82"/>
      <c r="V474" s="82"/>
    </row>
    <row r="475" spans="19:22" x14ac:dyDescent="0.25">
      <c r="S475" s="82"/>
      <c r="T475" s="82"/>
      <c r="U475" s="82"/>
      <c r="V475" s="82"/>
    </row>
    <row r="476" spans="19:22" x14ac:dyDescent="0.25">
      <c r="S476" s="82"/>
      <c r="T476" s="82"/>
      <c r="U476" s="82"/>
      <c r="V476" s="82"/>
    </row>
    <row r="477" spans="19:22" x14ac:dyDescent="0.25">
      <c r="S477" s="82"/>
      <c r="T477" s="82"/>
      <c r="U477" s="82"/>
      <c r="V477" s="82"/>
    </row>
    <row r="478" spans="19:22" x14ac:dyDescent="0.25">
      <c r="S478" s="82"/>
      <c r="T478" s="82"/>
      <c r="U478" s="82"/>
      <c r="V478" s="82"/>
    </row>
    <row r="479" spans="19:22" x14ac:dyDescent="0.25">
      <c r="S479" s="82"/>
      <c r="T479" s="82"/>
      <c r="U479" s="82"/>
      <c r="V479" s="82"/>
    </row>
    <row r="480" spans="19:22" x14ac:dyDescent="0.25">
      <c r="S480" s="82"/>
      <c r="T480" s="82"/>
      <c r="U480" s="82"/>
      <c r="V480" s="82"/>
    </row>
    <row r="481" spans="19:22" x14ac:dyDescent="0.25">
      <c r="S481" s="82"/>
      <c r="T481" s="82"/>
      <c r="U481" s="82"/>
      <c r="V481" s="82"/>
    </row>
    <row r="482" spans="19:22" x14ac:dyDescent="0.25">
      <c r="S482" s="82"/>
      <c r="T482" s="82"/>
      <c r="U482" s="82"/>
      <c r="V482" s="82"/>
    </row>
    <row r="483" spans="19:22" x14ac:dyDescent="0.25">
      <c r="S483" s="82"/>
      <c r="T483" s="82"/>
      <c r="U483" s="82"/>
      <c r="V483" s="82"/>
    </row>
    <row r="484" spans="19:22" x14ac:dyDescent="0.25">
      <c r="S484" s="82"/>
      <c r="T484" s="82"/>
      <c r="U484" s="82"/>
      <c r="V484" s="82"/>
    </row>
    <row r="485" spans="19:22" x14ac:dyDescent="0.25">
      <c r="S485" s="82"/>
      <c r="T485" s="82"/>
      <c r="U485" s="82"/>
      <c r="V485" s="82"/>
    </row>
    <row r="486" spans="19:22" x14ac:dyDescent="0.25">
      <c r="S486" s="82"/>
      <c r="T486" s="82"/>
      <c r="U486" s="82"/>
      <c r="V486" s="82"/>
    </row>
    <row r="487" spans="19:22" x14ac:dyDescent="0.25">
      <c r="S487" s="82"/>
      <c r="T487" s="82"/>
      <c r="U487" s="82"/>
      <c r="V487" s="82"/>
    </row>
    <row r="488" spans="19:22" x14ac:dyDescent="0.25">
      <c r="S488" s="82"/>
      <c r="T488" s="82"/>
      <c r="U488" s="82"/>
      <c r="V488" s="82"/>
    </row>
    <row r="489" spans="19:22" x14ac:dyDescent="0.25">
      <c r="S489" s="82"/>
      <c r="T489" s="82"/>
      <c r="U489" s="82"/>
      <c r="V489" s="82"/>
    </row>
    <row r="490" spans="19:22" x14ac:dyDescent="0.25">
      <c r="S490" s="82"/>
      <c r="T490" s="82"/>
      <c r="U490" s="82"/>
      <c r="V490" s="82"/>
    </row>
    <row r="491" spans="19:22" x14ac:dyDescent="0.25">
      <c r="S491" s="82"/>
      <c r="T491" s="82"/>
      <c r="U491" s="82"/>
      <c r="V491" s="82"/>
    </row>
    <row r="492" spans="19:22" x14ac:dyDescent="0.25">
      <c r="S492" s="82"/>
      <c r="T492" s="82"/>
      <c r="U492" s="82"/>
      <c r="V492" s="82"/>
    </row>
    <row r="493" spans="19:22" x14ac:dyDescent="0.25">
      <c r="S493" s="82"/>
      <c r="T493" s="82"/>
      <c r="U493" s="82"/>
      <c r="V493" s="82"/>
    </row>
    <row r="494" spans="19:22" x14ac:dyDescent="0.25">
      <c r="S494" s="82"/>
      <c r="T494" s="82"/>
      <c r="U494" s="82"/>
      <c r="V494" s="82"/>
    </row>
    <row r="495" spans="19:22" x14ac:dyDescent="0.25">
      <c r="S495" s="82"/>
      <c r="T495" s="82"/>
      <c r="U495" s="82"/>
      <c r="V495" s="82"/>
    </row>
    <row r="496" spans="19:22" x14ac:dyDescent="0.25">
      <c r="S496" s="82"/>
      <c r="T496" s="82"/>
      <c r="U496" s="82"/>
      <c r="V496" s="82"/>
    </row>
    <row r="497" spans="19:22" x14ac:dyDescent="0.25">
      <c r="S497" s="82"/>
      <c r="T497" s="82"/>
      <c r="U497" s="82"/>
      <c r="V497" s="82"/>
    </row>
    <row r="498" spans="19:22" x14ac:dyDescent="0.25">
      <c r="S498" s="82"/>
      <c r="T498" s="82"/>
      <c r="U498" s="82"/>
      <c r="V498" s="82"/>
    </row>
    <row r="499" spans="19:22" x14ac:dyDescent="0.25">
      <c r="S499" s="82"/>
      <c r="T499" s="82"/>
      <c r="U499" s="82"/>
      <c r="V499" s="82"/>
    </row>
    <row r="500" spans="19:22" x14ac:dyDescent="0.25">
      <c r="S500" s="82"/>
      <c r="T500" s="82"/>
      <c r="U500" s="82"/>
      <c r="V500" s="82"/>
    </row>
    <row r="501" spans="19:22" x14ac:dyDescent="0.25">
      <c r="S501" s="82"/>
      <c r="T501" s="82"/>
      <c r="U501" s="82"/>
      <c r="V501" s="82"/>
    </row>
    <row r="502" spans="19:22" x14ac:dyDescent="0.25">
      <c r="S502" s="82"/>
      <c r="T502" s="82"/>
      <c r="U502" s="82"/>
      <c r="V502" s="82"/>
    </row>
    <row r="503" spans="19:22" x14ac:dyDescent="0.25">
      <c r="S503" s="82"/>
      <c r="T503" s="82"/>
      <c r="U503" s="82"/>
      <c r="V503" s="82"/>
    </row>
    <row r="504" spans="19:22" x14ac:dyDescent="0.25">
      <c r="S504" s="82"/>
      <c r="T504" s="82"/>
      <c r="U504" s="82"/>
      <c r="V504" s="82"/>
    </row>
    <row r="505" spans="19:22" x14ac:dyDescent="0.25">
      <c r="S505" s="82"/>
      <c r="T505" s="82"/>
      <c r="U505" s="82"/>
      <c r="V505" s="82"/>
    </row>
    <row r="506" spans="19:22" x14ac:dyDescent="0.25">
      <c r="S506" s="82"/>
      <c r="T506" s="82"/>
      <c r="U506" s="82"/>
      <c r="V506" s="82"/>
    </row>
    <row r="507" spans="19:22" x14ac:dyDescent="0.25">
      <c r="S507" s="82"/>
      <c r="T507" s="82"/>
      <c r="U507" s="82"/>
      <c r="V507" s="82"/>
    </row>
    <row r="508" spans="19:22" x14ac:dyDescent="0.25">
      <c r="S508" s="82"/>
      <c r="T508" s="82"/>
      <c r="U508" s="82"/>
      <c r="V508" s="82"/>
    </row>
    <row r="509" spans="19:22" x14ac:dyDescent="0.25">
      <c r="S509" s="82"/>
      <c r="T509" s="82"/>
      <c r="U509" s="82"/>
      <c r="V509" s="82"/>
    </row>
    <row r="510" spans="19:22" x14ac:dyDescent="0.25">
      <c r="S510" s="82"/>
      <c r="T510" s="82"/>
      <c r="U510" s="82"/>
      <c r="V510" s="82"/>
    </row>
    <row r="511" spans="19:22" x14ac:dyDescent="0.25">
      <c r="S511" s="82"/>
      <c r="T511" s="82"/>
      <c r="U511" s="82"/>
      <c r="V511" s="82"/>
    </row>
    <row r="512" spans="19:22" x14ac:dyDescent="0.25">
      <c r="S512" s="82"/>
      <c r="T512" s="82"/>
      <c r="U512" s="82"/>
      <c r="V512" s="82"/>
    </row>
    <row r="513" spans="19:22" x14ac:dyDescent="0.25">
      <c r="S513" s="82"/>
      <c r="T513" s="82"/>
      <c r="U513" s="82"/>
      <c r="V513" s="82"/>
    </row>
    <row r="514" spans="19:22" x14ac:dyDescent="0.25">
      <c r="S514" s="82"/>
      <c r="T514" s="82"/>
      <c r="U514" s="82"/>
      <c r="V514" s="82"/>
    </row>
    <row r="515" spans="19:22" x14ac:dyDescent="0.25">
      <c r="S515" s="82"/>
      <c r="T515" s="82"/>
      <c r="U515" s="82"/>
      <c r="V515" s="82"/>
    </row>
    <row r="516" spans="19:22" x14ac:dyDescent="0.25">
      <c r="S516" s="82"/>
      <c r="T516" s="82"/>
      <c r="U516" s="82"/>
      <c r="V516" s="82"/>
    </row>
    <row r="517" spans="19:22" x14ac:dyDescent="0.25">
      <c r="S517" s="82"/>
      <c r="T517" s="82"/>
      <c r="U517" s="82"/>
      <c r="V517" s="82"/>
    </row>
    <row r="518" spans="19:22" x14ac:dyDescent="0.25">
      <c r="S518" s="82"/>
      <c r="T518" s="82"/>
      <c r="U518" s="82"/>
      <c r="V518" s="82"/>
    </row>
    <row r="519" spans="19:22" x14ac:dyDescent="0.25">
      <c r="S519" s="82"/>
      <c r="T519" s="82"/>
      <c r="U519" s="82"/>
      <c r="V519" s="82"/>
    </row>
    <row r="520" spans="19:22" x14ac:dyDescent="0.25">
      <c r="S520" s="82"/>
      <c r="T520" s="82"/>
      <c r="U520" s="82"/>
      <c r="V520" s="82"/>
    </row>
    <row r="521" spans="19:22" x14ac:dyDescent="0.25">
      <c r="S521" s="82"/>
      <c r="T521" s="82"/>
      <c r="U521" s="82"/>
      <c r="V521" s="82"/>
    </row>
    <row r="522" spans="19:22" x14ac:dyDescent="0.25">
      <c r="S522" s="82"/>
      <c r="T522" s="82"/>
      <c r="U522" s="82"/>
      <c r="V522" s="82"/>
    </row>
    <row r="523" spans="19:22" x14ac:dyDescent="0.25">
      <c r="S523" s="82"/>
      <c r="T523" s="82"/>
      <c r="U523" s="82"/>
      <c r="V523" s="82"/>
    </row>
    <row r="524" spans="19:22" x14ac:dyDescent="0.25">
      <c r="S524" s="82"/>
      <c r="T524" s="82"/>
      <c r="U524" s="82"/>
      <c r="V524" s="82"/>
    </row>
    <row r="525" spans="19:22" x14ac:dyDescent="0.25">
      <c r="S525" s="82"/>
      <c r="T525" s="82"/>
      <c r="U525" s="82"/>
      <c r="V525" s="82"/>
    </row>
    <row r="526" spans="19:22" x14ac:dyDescent="0.25">
      <c r="S526" s="82"/>
      <c r="T526" s="82"/>
      <c r="U526" s="82"/>
      <c r="V526" s="82"/>
    </row>
    <row r="527" spans="19:22" x14ac:dyDescent="0.25">
      <c r="S527" s="82"/>
      <c r="T527" s="82"/>
      <c r="U527" s="82"/>
      <c r="V527" s="82"/>
    </row>
    <row r="528" spans="19:22" x14ac:dyDescent="0.25">
      <c r="S528" s="82"/>
      <c r="T528" s="82"/>
      <c r="U528" s="82"/>
      <c r="V528" s="82"/>
    </row>
    <row r="529" spans="19:22" x14ac:dyDescent="0.25">
      <c r="S529" s="82"/>
      <c r="T529" s="82"/>
      <c r="U529" s="82"/>
      <c r="V529" s="82"/>
    </row>
    <row r="530" spans="19:22" x14ac:dyDescent="0.25">
      <c r="S530" s="82"/>
      <c r="T530" s="82"/>
      <c r="U530" s="82"/>
      <c r="V530" s="82"/>
    </row>
    <row r="531" spans="19:22" x14ac:dyDescent="0.25">
      <c r="S531" s="82"/>
      <c r="T531" s="82"/>
      <c r="U531" s="82"/>
      <c r="V531" s="82"/>
    </row>
    <row r="532" spans="19:22" x14ac:dyDescent="0.25">
      <c r="S532" s="82"/>
      <c r="T532" s="82"/>
      <c r="U532" s="82"/>
      <c r="V532" s="82"/>
    </row>
    <row r="533" spans="19:22" x14ac:dyDescent="0.25">
      <c r="S533" s="82"/>
      <c r="T533" s="82"/>
      <c r="U533" s="82"/>
      <c r="V533" s="82"/>
    </row>
    <row r="534" spans="19:22" x14ac:dyDescent="0.25">
      <c r="S534" s="82"/>
      <c r="T534" s="82"/>
      <c r="U534" s="82"/>
      <c r="V534" s="82"/>
    </row>
    <row r="535" spans="19:22" x14ac:dyDescent="0.25">
      <c r="S535" s="82"/>
      <c r="T535" s="82"/>
      <c r="U535" s="82"/>
      <c r="V535" s="82"/>
    </row>
    <row r="536" spans="19:22" x14ac:dyDescent="0.25">
      <c r="S536" s="82"/>
      <c r="T536" s="82"/>
      <c r="U536" s="82"/>
      <c r="V536" s="82"/>
    </row>
    <row r="537" spans="19:22" x14ac:dyDescent="0.25">
      <c r="S537" s="82"/>
      <c r="T537" s="82"/>
      <c r="U537" s="82"/>
      <c r="V537" s="82"/>
    </row>
    <row r="538" spans="19:22" x14ac:dyDescent="0.25">
      <c r="S538" s="82"/>
      <c r="T538" s="82"/>
      <c r="U538" s="82"/>
      <c r="V538" s="82"/>
    </row>
    <row r="539" spans="19:22" x14ac:dyDescent="0.25">
      <c r="S539" s="82"/>
      <c r="T539" s="82"/>
      <c r="U539" s="82"/>
      <c r="V539" s="82"/>
    </row>
    <row r="540" spans="19:22" x14ac:dyDescent="0.25">
      <c r="S540" s="82"/>
      <c r="T540" s="82"/>
      <c r="U540" s="82"/>
      <c r="V540" s="82"/>
    </row>
    <row r="541" spans="19:22" x14ac:dyDescent="0.25">
      <c r="S541" s="82"/>
      <c r="T541" s="82"/>
      <c r="U541" s="82"/>
      <c r="V541" s="82"/>
    </row>
    <row r="542" spans="19:22" x14ac:dyDescent="0.25">
      <c r="S542" s="82"/>
      <c r="T542" s="82"/>
      <c r="U542" s="82"/>
      <c r="V542" s="82"/>
    </row>
    <row r="543" spans="19:22" x14ac:dyDescent="0.25">
      <c r="S543" s="82"/>
      <c r="T543" s="82"/>
      <c r="U543" s="82"/>
      <c r="V543" s="82"/>
    </row>
    <row r="544" spans="19:22" x14ac:dyDescent="0.25">
      <c r="S544" s="82"/>
      <c r="T544" s="82"/>
      <c r="U544" s="82"/>
      <c r="V544" s="82"/>
    </row>
    <row r="545" spans="19:22" x14ac:dyDescent="0.25">
      <c r="S545" s="82"/>
      <c r="T545" s="82"/>
      <c r="U545" s="82"/>
      <c r="V545" s="82"/>
    </row>
    <row r="546" spans="19:22" x14ac:dyDescent="0.25">
      <c r="S546" s="82"/>
      <c r="T546" s="82"/>
      <c r="U546" s="82"/>
      <c r="V546" s="82"/>
    </row>
    <row r="547" spans="19:22" x14ac:dyDescent="0.25">
      <c r="S547" s="82"/>
      <c r="T547" s="82"/>
      <c r="U547" s="82"/>
      <c r="V547" s="82"/>
    </row>
    <row r="548" spans="19:22" x14ac:dyDescent="0.25">
      <c r="S548" s="82"/>
      <c r="T548" s="82"/>
      <c r="U548" s="82"/>
      <c r="V548" s="82"/>
    </row>
    <row r="549" spans="19:22" x14ac:dyDescent="0.25">
      <c r="S549" s="82"/>
      <c r="T549" s="82"/>
      <c r="U549" s="82"/>
      <c r="V549" s="82"/>
    </row>
    <row r="550" spans="19:22" x14ac:dyDescent="0.25">
      <c r="S550" s="82"/>
      <c r="T550" s="82"/>
      <c r="U550" s="82"/>
      <c r="V550" s="82"/>
    </row>
    <row r="551" spans="19:22" x14ac:dyDescent="0.25">
      <c r="S551" s="82"/>
      <c r="T551" s="82"/>
      <c r="U551" s="82"/>
      <c r="V551" s="82"/>
    </row>
    <row r="552" spans="19:22" x14ac:dyDescent="0.25">
      <c r="S552" s="82"/>
      <c r="T552" s="82"/>
      <c r="U552" s="82"/>
      <c r="V552" s="82"/>
    </row>
    <row r="553" spans="19:22" x14ac:dyDescent="0.25">
      <c r="S553" s="82"/>
      <c r="T553" s="82"/>
      <c r="U553" s="82"/>
      <c r="V553" s="82"/>
    </row>
    <row r="554" spans="19:22" x14ac:dyDescent="0.25">
      <c r="S554" s="82"/>
      <c r="T554" s="82"/>
      <c r="U554" s="82"/>
      <c r="V554" s="82"/>
    </row>
    <row r="555" spans="19:22" x14ac:dyDescent="0.25">
      <c r="S555" s="82"/>
      <c r="T555" s="82"/>
      <c r="U555" s="82"/>
      <c r="V555" s="82"/>
    </row>
    <row r="556" spans="19:22" x14ac:dyDescent="0.25">
      <c r="S556" s="82"/>
      <c r="T556" s="82"/>
      <c r="U556" s="82"/>
      <c r="V556" s="82"/>
    </row>
    <row r="557" spans="19:22" x14ac:dyDescent="0.25">
      <c r="S557" s="82"/>
      <c r="T557" s="82"/>
      <c r="U557" s="82"/>
      <c r="V557" s="82"/>
    </row>
    <row r="558" spans="19:22" x14ac:dyDescent="0.25">
      <c r="S558" s="82"/>
      <c r="T558" s="82"/>
      <c r="U558" s="82"/>
      <c r="V558" s="82"/>
    </row>
    <row r="559" spans="19:22" x14ac:dyDescent="0.25">
      <c r="S559" s="82"/>
      <c r="T559" s="82"/>
      <c r="U559" s="82"/>
      <c r="V559" s="82"/>
    </row>
    <row r="560" spans="19:22" x14ac:dyDescent="0.25">
      <c r="S560" s="82"/>
      <c r="T560" s="82"/>
      <c r="U560" s="82"/>
      <c r="V560" s="82"/>
    </row>
    <row r="561" spans="19:22" x14ac:dyDescent="0.25">
      <c r="S561" s="82"/>
      <c r="T561" s="82"/>
      <c r="U561" s="82"/>
      <c r="V561" s="82"/>
    </row>
    <row r="562" spans="19:22" x14ac:dyDescent="0.25">
      <c r="S562" s="82"/>
      <c r="T562" s="82"/>
      <c r="U562" s="82"/>
      <c r="V562" s="82"/>
    </row>
    <row r="563" spans="19:22" x14ac:dyDescent="0.25">
      <c r="S563" s="82"/>
      <c r="T563" s="82"/>
      <c r="U563" s="82"/>
      <c r="V563" s="82"/>
    </row>
    <row r="564" spans="19:22" x14ac:dyDescent="0.25">
      <c r="S564" s="82"/>
      <c r="T564" s="82"/>
      <c r="U564" s="82"/>
      <c r="V564" s="82"/>
    </row>
    <row r="565" spans="19:22" x14ac:dyDescent="0.25">
      <c r="S565" s="82"/>
      <c r="T565" s="82"/>
      <c r="U565" s="82"/>
      <c r="V565" s="82"/>
    </row>
    <row r="566" spans="19:22" x14ac:dyDescent="0.25">
      <c r="S566" s="82"/>
      <c r="T566" s="82"/>
      <c r="U566" s="82"/>
      <c r="V566" s="82"/>
    </row>
    <row r="567" spans="19:22" x14ac:dyDescent="0.25">
      <c r="S567" s="82"/>
      <c r="T567" s="82"/>
      <c r="U567" s="82"/>
      <c r="V567" s="82"/>
    </row>
    <row r="568" spans="19:22" x14ac:dyDescent="0.25">
      <c r="S568" s="82"/>
      <c r="T568" s="82"/>
      <c r="U568" s="82"/>
      <c r="V568" s="82"/>
    </row>
    <row r="569" spans="19:22" x14ac:dyDescent="0.25">
      <c r="S569" s="82"/>
      <c r="T569" s="82"/>
      <c r="U569" s="82"/>
      <c r="V569" s="82"/>
    </row>
    <row r="570" spans="19:22" x14ac:dyDescent="0.25">
      <c r="S570" s="82"/>
      <c r="T570" s="82"/>
      <c r="U570" s="82"/>
      <c r="V570" s="82"/>
    </row>
    <row r="571" spans="19:22" x14ac:dyDescent="0.25">
      <c r="S571" s="82"/>
      <c r="T571" s="82"/>
      <c r="U571" s="82"/>
      <c r="V571" s="82"/>
    </row>
    <row r="572" spans="19:22" x14ac:dyDescent="0.25">
      <c r="S572" s="82"/>
      <c r="T572" s="82"/>
      <c r="U572" s="82"/>
      <c r="V572" s="82"/>
    </row>
    <row r="573" spans="19:22" x14ac:dyDescent="0.25">
      <c r="S573" s="82"/>
      <c r="T573" s="82"/>
      <c r="U573" s="82"/>
      <c r="V573" s="82"/>
    </row>
    <row r="574" spans="19:22" x14ac:dyDescent="0.25">
      <c r="S574" s="82"/>
      <c r="T574" s="82"/>
      <c r="U574" s="82"/>
      <c r="V574" s="82"/>
    </row>
    <row r="575" spans="19:22" x14ac:dyDescent="0.25">
      <c r="S575" s="82"/>
      <c r="T575" s="82"/>
      <c r="U575" s="82"/>
      <c r="V575" s="82"/>
    </row>
    <row r="576" spans="19:22" x14ac:dyDescent="0.25">
      <c r="S576" s="82"/>
      <c r="T576" s="82"/>
      <c r="U576" s="82"/>
      <c r="V576" s="82"/>
    </row>
    <row r="577" spans="19:22" x14ac:dyDescent="0.25">
      <c r="S577" s="82"/>
      <c r="T577" s="82"/>
      <c r="U577" s="82"/>
      <c r="V577" s="82"/>
    </row>
    <row r="578" spans="19:22" x14ac:dyDescent="0.25">
      <c r="S578" s="82"/>
      <c r="T578" s="82"/>
      <c r="U578" s="82"/>
      <c r="V578" s="82"/>
    </row>
    <row r="579" spans="19:22" x14ac:dyDescent="0.25">
      <c r="S579" s="82"/>
      <c r="T579" s="82"/>
      <c r="U579" s="82"/>
      <c r="V579" s="82"/>
    </row>
    <row r="580" spans="19:22" x14ac:dyDescent="0.25">
      <c r="S580" s="82"/>
      <c r="T580" s="82"/>
      <c r="U580" s="82"/>
      <c r="V580" s="82"/>
    </row>
    <row r="581" spans="19:22" x14ac:dyDescent="0.25">
      <c r="S581" s="82"/>
      <c r="T581" s="82"/>
      <c r="U581" s="82"/>
      <c r="V581" s="82"/>
    </row>
    <row r="582" spans="19:22" x14ac:dyDescent="0.25">
      <c r="S582" s="82"/>
      <c r="T582" s="82"/>
      <c r="U582" s="82"/>
      <c r="V582" s="82"/>
    </row>
    <row r="583" spans="19:22" x14ac:dyDescent="0.25">
      <c r="S583" s="82"/>
      <c r="T583" s="82"/>
      <c r="U583" s="82"/>
      <c r="V583" s="82"/>
    </row>
    <row r="584" spans="19:22" x14ac:dyDescent="0.25">
      <c r="S584" s="82"/>
      <c r="T584" s="82"/>
      <c r="U584" s="82"/>
      <c r="V584" s="82"/>
    </row>
    <row r="585" spans="19:22" x14ac:dyDescent="0.25">
      <c r="S585" s="82"/>
      <c r="T585" s="82"/>
      <c r="U585" s="82"/>
      <c r="V585" s="82"/>
    </row>
    <row r="586" spans="19:22" x14ac:dyDescent="0.25">
      <c r="S586" s="82"/>
      <c r="T586" s="82"/>
      <c r="U586" s="82"/>
      <c r="V586" s="82"/>
    </row>
    <row r="587" spans="19:22" x14ac:dyDescent="0.25">
      <c r="S587" s="82"/>
      <c r="T587" s="82"/>
      <c r="U587" s="82"/>
      <c r="V587" s="82"/>
    </row>
    <row r="588" spans="19:22" x14ac:dyDescent="0.25">
      <c r="S588" s="82"/>
      <c r="T588" s="82"/>
      <c r="U588" s="82"/>
      <c r="V588" s="82"/>
    </row>
    <row r="589" spans="19:22" x14ac:dyDescent="0.25">
      <c r="S589" s="82"/>
      <c r="T589" s="82"/>
      <c r="U589" s="82"/>
      <c r="V589" s="82"/>
    </row>
    <row r="590" spans="19:22" x14ac:dyDescent="0.25">
      <c r="S590" s="82"/>
      <c r="T590" s="82"/>
      <c r="U590" s="82"/>
      <c r="V590" s="82"/>
    </row>
    <row r="591" spans="19:22" x14ac:dyDescent="0.25">
      <c r="S591" s="82"/>
      <c r="T591" s="82"/>
      <c r="U591" s="82"/>
      <c r="V591" s="82"/>
    </row>
    <row r="592" spans="19:22" x14ac:dyDescent="0.25">
      <c r="S592" s="82"/>
      <c r="T592" s="82"/>
      <c r="U592" s="82"/>
      <c r="V592" s="82"/>
    </row>
    <row r="593" spans="19:22" x14ac:dyDescent="0.25">
      <c r="S593" s="82"/>
      <c r="T593" s="82"/>
      <c r="U593" s="82"/>
      <c r="V593" s="82"/>
    </row>
    <row r="594" spans="19:22" x14ac:dyDescent="0.25">
      <c r="S594" s="82"/>
      <c r="T594" s="82"/>
      <c r="U594" s="82"/>
      <c r="V594" s="82"/>
    </row>
    <row r="595" spans="19:22" x14ac:dyDescent="0.25">
      <c r="S595" s="82"/>
      <c r="T595" s="82"/>
      <c r="U595" s="82"/>
      <c r="V595" s="82"/>
    </row>
    <row r="596" spans="19:22" x14ac:dyDescent="0.25">
      <c r="S596" s="82"/>
      <c r="T596" s="82"/>
      <c r="U596" s="82"/>
      <c r="V596" s="82"/>
    </row>
    <row r="597" spans="19:22" x14ac:dyDescent="0.25">
      <c r="S597" s="82"/>
      <c r="T597" s="82"/>
      <c r="U597" s="82"/>
      <c r="V597" s="82"/>
    </row>
    <row r="598" spans="19:22" x14ac:dyDescent="0.25">
      <c r="S598" s="82"/>
      <c r="T598" s="82"/>
      <c r="U598" s="82"/>
      <c r="V598" s="82"/>
    </row>
    <row r="599" spans="19:22" x14ac:dyDescent="0.25">
      <c r="S599" s="82"/>
      <c r="T599" s="82"/>
      <c r="U599" s="82"/>
      <c r="V599" s="82"/>
    </row>
    <row r="600" spans="19:22" x14ac:dyDescent="0.25">
      <c r="S600" s="82"/>
      <c r="T600" s="82"/>
      <c r="U600" s="82"/>
      <c r="V600" s="82"/>
    </row>
    <row r="601" spans="19:22" x14ac:dyDescent="0.25">
      <c r="S601" s="82"/>
      <c r="T601" s="82"/>
      <c r="U601" s="82"/>
      <c r="V601" s="82"/>
    </row>
    <row r="602" spans="19:22" x14ac:dyDescent="0.25">
      <c r="S602" s="82"/>
      <c r="T602" s="82"/>
      <c r="U602" s="82"/>
      <c r="V602" s="82"/>
    </row>
    <row r="603" spans="19:22" x14ac:dyDescent="0.25">
      <c r="S603" s="82"/>
      <c r="T603" s="82"/>
      <c r="U603" s="82"/>
      <c r="V603" s="82"/>
    </row>
    <row r="604" spans="19:22" x14ac:dyDescent="0.25">
      <c r="S604" s="82"/>
      <c r="T604" s="82"/>
      <c r="U604" s="82"/>
      <c r="V604" s="82"/>
    </row>
    <row r="605" spans="19:22" x14ac:dyDescent="0.25">
      <c r="S605" s="82"/>
      <c r="T605" s="82"/>
      <c r="U605" s="82"/>
      <c r="V605" s="82"/>
    </row>
    <row r="606" spans="19:22" x14ac:dyDescent="0.25">
      <c r="S606" s="82"/>
      <c r="T606" s="82"/>
      <c r="U606" s="82"/>
      <c r="V606" s="82"/>
    </row>
    <row r="607" spans="19:22" x14ac:dyDescent="0.25">
      <c r="S607" s="82"/>
      <c r="T607" s="82"/>
      <c r="U607" s="82"/>
      <c r="V607" s="82"/>
    </row>
    <row r="608" spans="19:22" x14ac:dyDescent="0.25">
      <c r="S608" s="82"/>
      <c r="T608" s="82"/>
      <c r="U608" s="82"/>
      <c r="V608" s="82"/>
    </row>
    <row r="609" spans="19:22" x14ac:dyDescent="0.25">
      <c r="S609" s="82"/>
      <c r="T609" s="82"/>
      <c r="U609" s="82"/>
      <c r="V609" s="82"/>
    </row>
    <row r="610" spans="19:22" x14ac:dyDescent="0.25">
      <c r="S610" s="82"/>
      <c r="T610" s="82"/>
      <c r="U610" s="82"/>
      <c r="V610" s="82"/>
    </row>
    <row r="611" spans="19:22" x14ac:dyDescent="0.25">
      <c r="S611" s="82"/>
      <c r="T611" s="82"/>
      <c r="U611" s="82"/>
      <c r="V611" s="82"/>
    </row>
    <row r="612" spans="19:22" x14ac:dyDescent="0.25">
      <c r="S612" s="82"/>
      <c r="T612" s="82"/>
      <c r="U612" s="82"/>
      <c r="V612" s="82"/>
    </row>
    <row r="613" spans="19:22" x14ac:dyDescent="0.25">
      <c r="S613" s="82"/>
      <c r="T613" s="82"/>
      <c r="U613" s="82"/>
      <c r="V613" s="82"/>
    </row>
    <row r="614" spans="19:22" x14ac:dyDescent="0.25">
      <c r="S614" s="82"/>
      <c r="T614" s="82"/>
      <c r="U614" s="82"/>
      <c r="V614" s="82"/>
    </row>
    <row r="615" spans="19:22" x14ac:dyDescent="0.25">
      <c r="S615" s="82"/>
      <c r="T615" s="82"/>
      <c r="U615" s="82"/>
      <c r="V615" s="82"/>
    </row>
    <row r="616" spans="19:22" x14ac:dyDescent="0.25">
      <c r="S616" s="82"/>
      <c r="T616" s="82"/>
      <c r="U616" s="82"/>
      <c r="V616" s="82"/>
    </row>
    <row r="617" spans="19:22" x14ac:dyDescent="0.25">
      <c r="S617" s="82"/>
      <c r="T617" s="82"/>
      <c r="U617" s="82"/>
      <c r="V617" s="82"/>
    </row>
    <row r="618" spans="19:22" x14ac:dyDescent="0.25">
      <c r="S618" s="82"/>
      <c r="T618" s="82"/>
      <c r="U618" s="82"/>
      <c r="V618" s="82"/>
    </row>
    <row r="619" spans="19:22" x14ac:dyDescent="0.25">
      <c r="S619" s="82"/>
      <c r="T619" s="82"/>
      <c r="U619" s="82"/>
      <c r="V619" s="82"/>
    </row>
    <row r="620" spans="19:22" x14ac:dyDescent="0.25">
      <c r="S620" s="82"/>
      <c r="T620" s="82"/>
      <c r="U620" s="82"/>
      <c r="V620" s="82"/>
    </row>
    <row r="621" spans="19:22" x14ac:dyDescent="0.25">
      <c r="S621" s="82"/>
      <c r="T621" s="82"/>
      <c r="U621" s="82"/>
      <c r="V621" s="82"/>
    </row>
    <row r="622" spans="19:22" x14ac:dyDescent="0.25">
      <c r="S622" s="82"/>
      <c r="T622" s="82"/>
      <c r="U622" s="82"/>
      <c r="V622" s="82"/>
    </row>
    <row r="623" spans="19:22" x14ac:dyDescent="0.25">
      <c r="S623" s="82"/>
      <c r="T623" s="82"/>
      <c r="U623" s="82"/>
      <c r="V623" s="82"/>
    </row>
    <row r="624" spans="19:22" x14ac:dyDescent="0.25">
      <c r="S624" s="82"/>
      <c r="T624" s="82"/>
      <c r="U624" s="82"/>
      <c r="V624" s="82"/>
    </row>
    <row r="625" spans="19:22" x14ac:dyDescent="0.25">
      <c r="S625" s="82"/>
      <c r="T625" s="82"/>
      <c r="U625" s="82"/>
      <c r="V625" s="82"/>
    </row>
    <row r="626" spans="19:22" x14ac:dyDescent="0.25">
      <c r="S626" s="82"/>
      <c r="T626" s="82"/>
      <c r="U626" s="82"/>
      <c r="V626" s="82"/>
    </row>
    <row r="627" spans="19:22" x14ac:dyDescent="0.25">
      <c r="S627" s="82"/>
      <c r="T627" s="82"/>
      <c r="U627" s="82"/>
      <c r="V627" s="82"/>
    </row>
    <row r="628" spans="19:22" x14ac:dyDescent="0.25">
      <c r="S628" s="82"/>
      <c r="T628" s="82"/>
      <c r="U628" s="82"/>
      <c r="V628" s="82"/>
    </row>
    <row r="629" spans="19:22" x14ac:dyDescent="0.25">
      <c r="S629" s="82"/>
      <c r="T629" s="82"/>
      <c r="U629" s="82"/>
      <c r="V629" s="82"/>
    </row>
    <row r="630" spans="19:22" x14ac:dyDescent="0.25">
      <c r="S630" s="82"/>
      <c r="T630" s="82"/>
      <c r="U630" s="82"/>
      <c r="V630" s="82"/>
    </row>
    <row r="631" spans="19:22" x14ac:dyDescent="0.25">
      <c r="S631" s="82"/>
      <c r="T631" s="82"/>
      <c r="U631" s="82"/>
      <c r="V631" s="82"/>
    </row>
    <row r="632" spans="19:22" x14ac:dyDescent="0.25">
      <c r="S632" s="82"/>
      <c r="T632" s="82"/>
      <c r="U632" s="82"/>
      <c r="V632" s="82"/>
    </row>
    <row r="633" spans="19:22" x14ac:dyDescent="0.25">
      <c r="S633" s="82"/>
      <c r="T633" s="82"/>
      <c r="U633" s="82"/>
      <c r="V633" s="82"/>
    </row>
    <row r="634" spans="19:22" x14ac:dyDescent="0.25">
      <c r="S634" s="82"/>
      <c r="T634" s="82"/>
      <c r="U634" s="82"/>
      <c r="V634" s="82"/>
    </row>
    <row r="635" spans="19:22" x14ac:dyDescent="0.25">
      <c r="S635" s="82"/>
      <c r="T635" s="82"/>
      <c r="U635" s="82"/>
      <c r="V635" s="82"/>
    </row>
    <row r="636" spans="19:22" x14ac:dyDescent="0.25">
      <c r="S636" s="82"/>
      <c r="T636" s="82"/>
      <c r="U636" s="82"/>
      <c r="V636" s="82"/>
    </row>
    <row r="637" spans="19:22" x14ac:dyDescent="0.25">
      <c r="S637" s="82"/>
      <c r="T637" s="82"/>
      <c r="U637" s="82"/>
      <c r="V637" s="82"/>
    </row>
    <row r="638" spans="19:22" x14ac:dyDescent="0.25">
      <c r="S638" s="82"/>
      <c r="T638" s="82"/>
      <c r="U638" s="82"/>
      <c r="V638" s="82"/>
    </row>
    <row r="639" spans="19:22" x14ac:dyDescent="0.25">
      <c r="S639" s="82"/>
      <c r="T639" s="82"/>
      <c r="U639" s="82"/>
      <c r="V639" s="82"/>
    </row>
    <row r="640" spans="19:22" x14ac:dyDescent="0.25">
      <c r="S640" s="82"/>
      <c r="T640" s="82"/>
      <c r="U640" s="82"/>
      <c r="V640" s="82"/>
    </row>
    <row r="641" spans="19:22" x14ac:dyDescent="0.25">
      <c r="S641" s="82"/>
      <c r="T641" s="82"/>
      <c r="U641" s="82"/>
      <c r="V641" s="82"/>
    </row>
    <row r="642" spans="19:22" x14ac:dyDescent="0.25">
      <c r="S642" s="82"/>
      <c r="T642" s="82"/>
      <c r="U642" s="82"/>
      <c r="V642" s="82"/>
    </row>
    <row r="643" spans="19:22" x14ac:dyDescent="0.25">
      <c r="S643" s="82"/>
      <c r="T643" s="82"/>
      <c r="U643" s="82"/>
      <c r="V643" s="82"/>
    </row>
    <row r="644" spans="19:22" x14ac:dyDescent="0.25">
      <c r="S644" s="82"/>
      <c r="T644" s="82"/>
      <c r="U644" s="82"/>
      <c r="V644" s="82"/>
    </row>
    <row r="645" spans="19:22" x14ac:dyDescent="0.25">
      <c r="S645" s="82"/>
      <c r="T645" s="82"/>
      <c r="U645" s="82"/>
      <c r="V645" s="82"/>
    </row>
    <row r="646" spans="19:22" x14ac:dyDescent="0.25">
      <c r="S646" s="82"/>
      <c r="T646" s="82"/>
      <c r="U646" s="82"/>
      <c r="V646" s="82"/>
    </row>
    <row r="647" spans="19:22" x14ac:dyDescent="0.25">
      <c r="S647" s="82"/>
      <c r="T647" s="82"/>
      <c r="U647" s="82"/>
      <c r="V647" s="82"/>
    </row>
    <row r="648" spans="19:22" x14ac:dyDescent="0.25">
      <c r="S648" s="82"/>
      <c r="T648" s="82"/>
      <c r="U648" s="82"/>
      <c r="V648" s="82"/>
    </row>
    <row r="649" spans="19:22" x14ac:dyDescent="0.25">
      <c r="S649" s="82"/>
      <c r="T649" s="82"/>
      <c r="U649" s="82"/>
      <c r="V649" s="82"/>
    </row>
    <row r="650" spans="19:22" x14ac:dyDescent="0.25">
      <c r="S650" s="82"/>
      <c r="T650" s="82"/>
      <c r="U650" s="82"/>
      <c r="V650" s="82"/>
    </row>
    <row r="651" spans="19:22" x14ac:dyDescent="0.25">
      <c r="S651" s="82"/>
      <c r="T651" s="82"/>
      <c r="U651" s="82"/>
      <c r="V651" s="82"/>
    </row>
    <row r="652" spans="19:22" x14ac:dyDescent="0.25">
      <c r="S652" s="82"/>
      <c r="T652" s="82"/>
      <c r="U652" s="82"/>
      <c r="V652" s="82"/>
    </row>
    <row r="653" spans="19:22" x14ac:dyDescent="0.25">
      <c r="S653" s="82"/>
      <c r="T653" s="82"/>
      <c r="U653" s="82"/>
      <c r="V653" s="82"/>
    </row>
    <row r="654" spans="19:22" x14ac:dyDescent="0.25">
      <c r="S654" s="82"/>
      <c r="T654" s="82"/>
      <c r="U654" s="82"/>
      <c r="V654" s="82"/>
    </row>
    <row r="655" spans="19:22" x14ac:dyDescent="0.25">
      <c r="S655" s="82"/>
      <c r="T655" s="82"/>
      <c r="U655" s="82"/>
      <c r="V655" s="82"/>
    </row>
    <row r="656" spans="19:22" x14ac:dyDescent="0.25">
      <c r="S656" s="82"/>
      <c r="T656" s="82"/>
      <c r="U656" s="82"/>
      <c r="V656" s="82"/>
    </row>
    <row r="657" spans="19:22" x14ac:dyDescent="0.25">
      <c r="S657" s="82"/>
      <c r="T657" s="82"/>
      <c r="U657" s="82"/>
      <c r="V657" s="82"/>
    </row>
    <row r="658" spans="19:22" x14ac:dyDescent="0.25">
      <c r="S658" s="82"/>
      <c r="T658" s="82"/>
      <c r="U658" s="82"/>
      <c r="V658" s="82"/>
    </row>
    <row r="659" spans="19:22" x14ac:dyDescent="0.25">
      <c r="S659" s="82"/>
      <c r="T659" s="82"/>
      <c r="U659" s="82"/>
      <c r="V659" s="82"/>
    </row>
    <row r="660" spans="19:22" x14ac:dyDescent="0.25">
      <c r="S660" s="82"/>
      <c r="T660" s="82"/>
      <c r="U660" s="82"/>
      <c r="V660" s="82"/>
    </row>
    <row r="661" spans="19:22" x14ac:dyDescent="0.25">
      <c r="S661" s="82"/>
      <c r="T661" s="82"/>
      <c r="U661" s="82"/>
      <c r="V661" s="82"/>
    </row>
    <row r="662" spans="19:22" x14ac:dyDescent="0.25">
      <c r="S662" s="82"/>
      <c r="T662" s="82"/>
      <c r="U662" s="82"/>
      <c r="V662" s="82"/>
    </row>
    <row r="663" spans="19:22" x14ac:dyDescent="0.25">
      <c r="S663" s="82"/>
      <c r="T663" s="82"/>
      <c r="U663" s="82"/>
      <c r="V663" s="82"/>
    </row>
    <row r="664" spans="19:22" x14ac:dyDescent="0.25">
      <c r="S664" s="82"/>
      <c r="T664" s="82"/>
      <c r="U664" s="82"/>
      <c r="V664" s="82"/>
    </row>
    <row r="665" spans="19:22" x14ac:dyDescent="0.25">
      <c r="S665" s="82"/>
      <c r="T665" s="82"/>
      <c r="U665" s="82"/>
      <c r="V665" s="82"/>
    </row>
    <row r="666" spans="19:22" x14ac:dyDescent="0.25">
      <c r="S666" s="82"/>
      <c r="T666" s="82"/>
      <c r="U666" s="82"/>
      <c r="V666" s="82"/>
    </row>
    <row r="667" spans="19:22" x14ac:dyDescent="0.25">
      <c r="S667" s="82"/>
      <c r="T667" s="82"/>
      <c r="U667" s="82"/>
      <c r="V667" s="82"/>
    </row>
    <row r="668" spans="19:22" x14ac:dyDescent="0.25">
      <c r="S668" s="82"/>
      <c r="T668" s="82"/>
      <c r="U668" s="82"/>
      <c r="V668" s="82"/>
    </row>
    <row r="669" spans="19:22" x14ac:dyDescent="0.25">
      <c r="S669" s="82"/>
      <c r="T669" s="82"/>
      <c r="U669" s="82"/>
      <c r="V669" s="82"/>
    </row>
    <row r="670" spans="19:22" x14ac:dyDescent="0.25">
      <c r="S670" s="82"/>
      <c r="T670" s="82"/>
      <c r="U670" s="82"/>
      <c r="V670" s="82"/>
    </row>
    <row r="671" spans="19:22" x14ac:dyDescent="0.25">
      <c r="S671" s="82"/>
      <c r="T671" s="82"/>
      <c r="U671" s="82"/>
      <c r="V671" s="82"/>
    </row>
    <row r="672" spans="19:22" x14ac:dyDescent="0.25">
      <c r="S672" s="82"/>
      <c r="T672" s="82"/>
      <c r="U672" s="82"/>
      <c r="V672" s="82"/>
    </row>
    <row r="673" spans="19:22" x14ac:dyDescent="0.25">
      <c r="S673" s="82"/>
      <c r="T673" s="82"/>
      <c r="U673" s="82"/>
      <c r="V673" s="82"/>
    </row>
    <row r="674" spans="19:22" x14ac:dyDescent="0.25">
      <c r="S674" s="82"/>
      <c r="T674" s="82"/>
      <c r="U674" s="82"/>
      <c r="V674" s="82"/>
    </row>
    <row r="675" spans="19:22" x14ac:dyDescent="0.25">
      <c r="S675" s="82"/>
      <c r="T675" s="82"/>
      <c r="U675" s="82"/>
      <c r="V675" s="82"/>
    </row>
    <row r="676" spans="19:22" x14ac:dyDescent="0.25">
      <c r="S676" s="82"/>
      <c r="T676" s="82"/>
      <c r="U676" s="82"/>
      <c r="V676" s="82"/>
    </row>
    <row r="677" spans="19:22" x14ac:dyDescent="0.25">
      <c r="S677" s="82"/>
      <c r="T677" s="82"/>
      <c r="U677" s="82"/>
      <c r="V677" s="82"/>
    </row>
    <row r="678" spans="19:22" x14ac:dyDescent="0.25">
      <c r="S678" s="82"/>
      <c r="T678" s="82"/>
      <c r="U678" s="82"/>
      <c r="V678" s="82"/>
    </row>
    <row r="679" spans="19:22" x14ac:dyDescent="0.25">
      <c r="S679" s="82"/>
      <c r="T679" s="82"/>
      <c r="U679" s="82"/>
      <c r="V679" s="82"/>
    </row>
    <row r="680" spans="19:22" x14ac:dyDescent="0.25">
      <c r="S680" s="82"/>
      <c r="T680" s="82"/>
      <c r="U680" s="82"/>
      <c r="V680" s="82"/>
    </row>
    <row r="681" spans="19:22" x14ac:dyDescent="0.25">
      <c r="S681" s="82"/>
      <c r="T681" s="82"/>
      <c r="U681" s="82"/>
      <c r="V681" s="82"/>
    </row>
    <row r="682" spans="19:22" x14ac:dyDescent="0.25">
      <c r="S682" s="82"/>
      <c r="T682" s="82"/>
      <c r="U682" s="82"/>
      <c r="V682" s="82"/>
    </row>
    <row r="683" spans="19:22" x14ac:dyDescent="0.25">
      <c r="S683" s="82"/>
      <c r="T683" s="82"/>
      <c r="U683" s="82"/>
      <c r="V683" s="82"/>
    </row>
    <row r="684" spans="19:22" x14ac:dyDescent="0.25">
      <c r="S684" s="82"/>
      <c r="T684" s="82"/>
      <c r="U684" s="82"/>
      <c r="V684" s="82"/>
    </row>
    <row r="685" spans="19:22" x14ac:dyDescent="0.25">
      <c r="S685" s="82"/>
      <c r="T685" s="82"/>
      <c r="U685" s="82"/>
      <c r="V685" s="82"/>
    </row>
    <row r="686" spans="19:22" x14ac:dyDescent="0.25">
      <c r="S686" s="82"/>
      <c r="T686" s="82"/>
      <c r="U686" s="82"/>
      <c r="V686" s="82"/>
    </row>
    <row r="687" spans="19:22" x14ac:dyDescent="0.25">
      <c r="S687" s="82"/>
      <c r="T687" s="82"/>
      <c r="U687" s="82"/>
      <c r="V687" s="82"/>
    </row>
    <row r="688" spans="19:22" x14ac:dyDescent="0.25">
      <c r="S688" s="82"/>
      <c r="T688" s="82"/>
      <c r="U688" s="82"/>
      <c r="V688" s="82"/>
    </row>
    <row r="689" spans="19:22" x14ac:dyDescent="0.25">
      <c r="S689" s="82"/>
      <c r="T689" s="82"/>
      <c r="U689" s="82"/>
      <c r="V689" s="82"/>
    </row>
    <row r="690" spans="19:22" x14ac:dyDescent="0.25">
      <c r="S690" s="82"/>
      <c r="T690" s="82"/>
      <c r="U690" s="82"/>
      <c r="V690" s="82"/>
    </row>
    <row r="691" spans="19:22" x14ac:dyDescent="0.25">
      <c r="S691" s="82"/>
      <c r="T691" s="82"/>
      <c r="U691" s="82"/>
      <c r="V691" s="82"/>
    </row>
    <row r="692" spans="19:22" x14ac:dyDescent="0.25">
      <c r="S692" s="82"/>
      <c r="T692" s="82"/>
      <c r="U692" s="82"/>
      <c r="V692" s="82"/>
    </row>
    <row r="693" spans="19:22" x14ac:dyDescent="0.25">
      <c r="S693" s="82"/>
      <c r="T693" s="82"/>
      <c r="U693" s="82"/>
      <c r="V693" s="82"/>
    </row>
    <row r="694" spans="19:22" x14ac:dyDescent="0.25">
      <c r="S694" s="82"/>
      <c r="T694" s="82"/>
      <c r="U694" s="82"/>
      <c r="V694" s="82"/>
    </row>
    <row r="695" spans="19:22" x14ac:dyDescent="0.25">
      <c r="S695" s="82"/>
      <c r="T695" s="82"/>
      <c r="U695" s="82"/>
      <c r="V695" s="82"/>
    </row>
    <row r="696" spans="19:22" x14ac:dyDescent="0.25">
      <c r="S696" s="82"/>
      <c r="T696" s="82"/>
      <c r="U696" s="82"/>
      <c r="V696" s="82"/>
    </row>
    <row r="697" spans="19:22" x14ac:dyDescent="0.25">
      <c r="S697" s="82"/>
      <c r="T697" s="82"/>
      <c r="U697" s="82"/>
      <c r="V697" s="82"/>
    </row>
    <row r="698" spans="19:22" x14ac:dyDescent="0.25">
      <c r="S698" s="82"/>
      <c r="T698" s="82"/>
      <c r="U698" s="82"/>
      <c r="V698" s="82"/>
    </row>
    <row r="699" spans="19:22" x14ac:dyDescent="0.25">
      <c r="S699" s="82"/>
      <c r="T699" s="82"/>
      <c r="U699" s="82"/>
      <c r="V699" s="82"/>
    </row>
    <row r="700" spans="19:22" x14ac:dyDescent="0.25">
      <c r="S700" s="82"/>
      <c r="T700" s="82"/>
      <c r="U700" s="82"/>
      <c r="V700" s="82"/>
    </row>
    <row r="701" spans="19:22" x14ac:dyDescent="0.25">
      <c r="S701" s="82"/>
      <c r="T701" s="82"/>
      <c r="U701" s="82"/>
      <c r="V701" s="82"/>
    </row>
    <row r="702" spans="19:22" x14ac:dyDescent="0.25">
      <c r="S702" s="82"/>
      <c r="T702" s="82"/>
      <c r="U702" s="82"/>
      <c r="V702" s="82"/>
    </row>
    <row r="703" spans="19:22" x14ac:dyDescent="0.25">
      <c r="S703" s="82"/>
      <c r="T703" s="82"/>
      <c r="U703" s="82"/>
      <c r="V703" s="82"/>
    </row>
    <row r="704" spans="19:22" x14ac:dyDescent="0.25">
      <c r="S704" s="82"/>
      <c r="T704" s="82"/>
      <c r="U704" s="82"/>
      <c r="V704" s="82"/>
    </row>
    <row r="705" spans="19:22" x14ac:dyDescent="0.25">
      <c r="S705" s="82"/>
      <c r="T705" s="82"/>
      <c r="U705" s="82"/>
      <c r="V705" s="82"/>
    </row>
    <row r="706" spans="19:22" x14ac:dyDescent="0.25">
      <c r="S706" s="82"/>
      <c r="T706" s="82"/>
      <c r="U706" s="82"/>
      <c r="V706" s="82"/>
    </row>
    <row r="707" spans="19:22" x14ac:dyDescent="0.25">
      <c r="S707" s="82"/>
      <c r="T707" s="82"/>
      <c r="U707" s="82"/>
      <c r="V707" s="82"/>
    </row>
    <row r="708" spans="19:22" x14ac:dyDescent="0.25">
      <c r="S708" s="82"/>
      <c r="T708" s="82"/>
      <c r="U708" s="82"/>
      <c r="V708" s="82"/>
    </row>
    <row r="709" spans="19:22" x14ac:dyDescent="0.25">
      <c r="S709" s="82"/>
      <c r="T709" s="82"/>
      <c r="U709" s="82"/>
      <c r="V709" s="82"/>
    </row>
    <row r="710" spans="19:22" x14ac:dyDescent="0.25">
      <c r="S710" s="82"/>
      <c r="T710" s="82"/>
      <c r="U710" s="82"/>
      <c r="V710" s="82"/>
    </row>
    <row r="711" spans="19:22" x14ac:dyDescent="0.25">
      <c r="S711" s="82"/>
      <c r="T711" s="82"/>
      <c r="U711" s="82"/>
      <c r="V711" s="82"/>
    </row>
    <row r="712" spans="19:22" x14ac:dyDescent="0.25">
      <c r="S712" s="82"/>
      <c r="T712" s="82"/>
      <c r="U712" s="82"/>
      <c r="V712" s="82"/>
    </row>
    <row r="713" spans="19:22" x14ac:dyDescent="0.25">
      <c r="S713" s="82"/>
      <c r="T713" s="82"/>
      <c r="U713" s="82"/>
      <c r="V713" s="82"/>
    </row>
    <row r="714" spans="19:22" x14ac:dyDescent="0.25">
      <c r="S714" s="82"/>
      <c r="T714" s="82"/>
      <c r="U714" s="82"/>
      <c r="V714" s="82"/>
    </row>
    <row r="715" spans="19:22" x14ac:dyDescent="0.25">
      <c r="S715" s="82"/>
      <c r="T715" s="82"/>
      <c r="U715" s="82"/>
      <c r="V715" s="82"/>
    </row>
    <row r="716" spans="19:22" x14ac:dyDescent="0.25">
      <c r="S716" s="82"/>
      <c r="T716" s="82"/>
      <c r="U716" s="82"/>
      <c r="V716" s="82"/>
    </row>
    <row r="717" spans="19:22" x14ac:dyDescent="0.25">
      <c r="S717" s="82"/>
      <c r="T717" s="82"/>
      <c r="U717" s="82"/>
      <c r="V717" s="82"/>
    </row>
    <row r="718" spans="19:22" x14ac:dyDescent="0.25">
      <c r="S718" s="82"/>
      <c r="T718" s="82"/>
      <c r="U718" s="82"/>
      <c r="V718" s="82"/>
    </row>
    <row r="719" spans="19:22" x14ac:dyDescent="0.25">
      <c r="S719" s="82"/>
      <c r="T719" s="82"/>
      <c r="U719" s="82"/>
      <c r="V719" s="82"/>
    </row>
    <row r="720" spans="19:22" x14ac:dyDescent="0.25">
      <c r="S720" s="82"/>
      <c r="T720" s="82"/>
      <c r="U720" s="82"/>
      <c r="V720" s="82"/>
    </row>
    <row r="721" spans="19:22" x14ac:dyDescent="0.25">
      <c r="S721" s="82"/>
      <c r="T721" s="82"/>
      <c r="U721" s="82"/>
      <c r="V721" s="82"/>
    </row>
    <row r="722" spans="19:22" x14ac:dyDescent="0.25">
      <c r="S722" s="82"/>
      <c r="T722" s="82"/>
      <c r="U722" s="82"/>
      <c r="V722" s="82"/>
    </row>
    <row r="723" spans="19:22" x14ac:dyDescent="0.25">
      <c r="S723" s="82"/>
      <c r="T723" s="82"/>
      <c r="U723" s="82"/>
      <c r="V723" s="82"/>
    </row>
    <row r="724" spans="19:22" x14ac:dyDescent="0.25">
      <c r="S724" s="82"/>
      <c r="T724" s="82"/>
      <c r="U724" s="82"/>
      <c r="V724" s="82"/>
    </row>
    <row r="725" spans="19:22" x14ac:dyDescent="0.25">
      <c r="S725" s="82"/>
      <c r="T725" s="82"/>
      <c r="U725" s="82"/>
      <c r="V725" s="82"/>
    </row>
    <row r="726" spans="19:22" x14ac:dyDescent="0.25">
      <c r="S726" s="82"/>
      <c r="T726" s="82"/>
      <c r="U726" s="82"/>
      <c r="V726" s="82"/>
    </row>
    <row r="727" spans="19:22" x14ac:dyDescent="0.25">
      <c r="S727" s="82"/>
      <c r="T727" s="82"/>
      <c r="U727" s="82"/>
      <c r="V727" s="82"/>
    </row>
    <row r="728" spans="19:22" x14ac:dyDescent="0.25">
      <c r="S728" s="82"/>
      <c r="T728" s="82"/>
      <c r="U728" s="82"/>
      <c r="V728" s="82"/>
    </row>
    <row r="729" spans="19:22" x14ac:dyDescent="0.25">
      <c r="S729" s="82"/>
      <c r="T729" s="82"/>
      <c r="U729" s="82"/>
      <c r="V729" s="82"/>
    </row>
    <row r="730" spans="19:22" x14ac:dyDescent="0.25">
      <c r="S730" s="82"/>
      <c r="T730" s="82"/>
      <c r="U730" s="82"/>
      <c r="V730" s="82"/>
    </row>
    <row r="731" spans="19:22" x14ac:dyDescent="0.25">
      <c r="S731" s="82"/>
      <c r="T731" s="82"/>
      <c r="U731" s="82"/>
      <c r="V731" s="82"/>
    </row>
    <row r="732" spans="19:22" x14ac:dyDescent="0.25">
      <c r="S732" s="82"/>
      <c r="T732" s="82"/>
      <c r="U732" s="82"/>
      <c r="V732" s="82"/>
    </row>
    <row r="733" spans="19:22" x14ac:dyDescent="0.25">
      <c r="S733" s="82"/>
      <c r="T733" s="82"/>
      <c r="U733" s="82"/>
      <c r="V733" s="82"/>
    </row>
    <row r="734" spans="19:22" x14ac:dyDescent="0.25">
      <c r="S734" s="82"/>
      <c r="T734" s="82"/>
      <c r="U734" s="82"/>
      <c r="V734" s="82"/>
    </row>
    <row r="735" spans="19:22" x14ac:dyDescent="0.25">
      <c r="S735" s="82"/>
      <c r="T735" s="82"/>
      <c r="U735" s="82"/>
      <c r="V735" s="82"/>
    </row>
    <row r="736" spans="19:22" x14ac:dyDescent="0.25">
      <c r="S736" s="82"/>
      <c r="T736" s="82"/>
      <c r="U736" s="82"/>
      <c r="V736" s="82"/>
    </row>
    <row r="737" spans="19:22" x14ac:dyDescent="0.25">
      <c r="S737" s="82"/>
      <c r="T737" s="82"/>
      <c r="U737" s="82"/>
      <c r="V737" s="82"/>
    </row>
    <row r="738" spans="19:22" x14ac:dyDescent="0.25">
      <c r="S738" s="82"/>
      <c r="T738" s="82"/>
      <c r="U738" s="82"/>
      <c r="V738" s="82"/>
    </row>
    <row r="739" spans="19:22" x14ac:dyDescent="0.25">
      <c r="S739" s="82"/>
      <c r="T739" s="82"/>
      <c r="U739" s="82"/>
      <c r="V739" s="82"/>
    </row>
    <row r="740" spans="19:22" x14ac:dyDescent="0.25">
      <c r="S740" s="82"/>
      <c r="T740" s="82"/>
      <c r="U740" s="82"/>
      <c r="V740" s="82"/>
    </row>
    <row r="741" spans="19:22" x14ac:dyDescent="0.25">
      <c r="S741" s="82"/>
      <c r="T741" s="82"/>
      <c r="U741" s="82"/>
      <c r="V741" s="82"/>
    </row>
    <row r="742" spans="19:22" x14ac:dyDescent="0.25">
      <c r="S742" s="82"/>
      <c r="T742" s="82"/>
      <c r="U742" s="82"/>
      <c r="V742" s="82"/>
    </row>
    <row r="743" spans="19:22" x14ac:dyDescent="0.25">
      <c r="S743" s="82"/>
      <c r="T743" s="82"/>
      <c r="U743" s="82"/>
      <c r="V743" s="82"/>
    </row>
    <row r="744" spans="19:22" x14ac:dyDescent="0.25">
      <c r="S744" s="82"/>
      <c r="T744" s="82"/>
      <c r="U744" s="82"/>
      <c r="V744" s="82"/>
    </row>
    <row r="745" spans="19:22" x14ac:dyDescent="0.25">
      <c r="S745" s="82"/>
      <c r="T745" s="82"/>
      <c r="U745" s="82"/>
      <c r="V745" s="82"/>
    </row>
    <row r="746" spans="19:22" x14ac:dyDescent="0.25">
      <c r="S746" s="82"/>
      <c r="T746" s="82"/>
      <c r="U746" s="82"/>
      <c r="V746" s="82"/>
    </row>
    <row r="747" spans="19:22" x14ac:dyDescent="0.25">
      <c r="S747" s="82"/>
      <c r="T747" s="82"/>
      <c r="U747" s="82"/>
      <c r="V747" s="82"/>
    </row>
    <row r="748" spans="19:22" x14ac:dyDescent="0.25">
      <c r="S748" s="82"/>
      <c r="T748" s="82"/>
      <c r="U748" s="82"/>
      <c r="V748" s="82"/>
    </row>
    <row r="749" spans="19:22" x14ac:dyDescent="0.25">
      <c r="S749" s="82"/>
      <c r="T749" s="82"/>
      <c r="U749" s="82"/>
      <c r="V749" s="82"/>
    </row>
    <row r="750" spans="19:22" x14ac:dyDescent="0.25">
      <c r="S750" s="82"/>
      <c r="T750" s="82"/>
      <c r="U750" s="82"/>
      <c r="V750" s="82"/>
    </row>
    <row r="751" spans="19:22" x14ac:dyDescent="0.25">
      <c r="S751" s="82"/>
      <c r="T751" s="82"/>
      <c r="U751" s="82"/>
      <c r="V751" s="82"/>
    </row>
    <row r="752" spans="19:22" x14ac:dyDescent="0.25">
      <c r="S752" s="82"/>
      <c r="T752" s="82"/>
      <c r="U752" s="82"/>
      <c r="V752" s="82"/>
    </row>
    <row r="753" spans="19:22" x14ac:dyDescent="0.25">
      <c r="S753" s="82"/>
      <c r="T753" s="82"/>
      <c r="U753" s="82"/>
      <c r="V753" s="82"/>
    </row>
    <row r="754" spans="19:22" x14ac:dyDescent="0.25">
      <c r="S754" s="82"/>
      <c r="T754" s="82"/>
      <c r="U754" s="82"/>
      <c r="V754" s="82"/>
    </row>
    <row r="755" spans="19:22" x14ac:dyDescent="0.25">
      <c r="S755" s="82"/>
      <c r="T755" s="82"/>
      <c r="U755" s="82"/>
      <c r="V755" s="82"/>
    </row>
    <row r="756" spans="19:22" x14ac:dyDescent="0.25">
      <c r="S756" s="82"/>
      <c r="T756" s="82"/>
      <c r="U756" s="82"/>
      <c r="V756" s="82"/>
    </row>
    <row r="757" spans="19:22" x14ac:dyDescent="0.25">
      <c r="S757" s="82"/>
      <c r="T757" s="82"/>
      <c r="U757" s="82"/>
      <c r="V757" s="82"/>
    </row>
    <row r="758" spans="19:22" x14ac:dyDescent="0.25">
      <c r="S758" s="82"/>
      <c r="T758" s="82"/>
      <c r="U758" s="82"/>
      <c r="V758" s="82"/>
    </row>
    <row r="759" spans="19:22" x14ac:dyDescent="0.25">
      <c r="S759" s="82"/>
      <c r="T759" s="82"/>
      <c r="U759" s="82"/>
      <c r="V759" s="82"/>
    </row>
    <row r="760" spans="19:22" x14ac:dyDescent="0.25">
      <c r="S760" s="82"/>
      <c r="T760" s="82"/>
      <c r="U760" s="82"/>
      <c r="V760" s="82"/>
    </row>
    <row r="761" spans="19:22" x14ac:dyDescent="0.25">
      <c r="S761" s="82"/>
      <c r="T761" s="82"/>
      <c r="U761" s="82"/>
      <c r="V761" s="82"/>
    </row>
    <row r="762" spans="19:22" x14ac:dyDescent="0.25">
      <c r="S762" s="82"/>
      <c r="T762" s="82"/>
      <c r="U762" s="82"/>
      <c r="V762" s="82"/>
    </row>
    <row r="763" spans="19:22" x14ac:dyDescent="0.25">
      <c r="S763" s="82"/>
      <c r="T763" s="82"/>
      <c r="U763" s="82"/>
      <c r="V763" s="82"/>
    </row>
    <row r="764" spans="19:22" x14ac:dyDescent="0.25">
      <c r="S764" s="82"/>
      <c r="T764" s="82"/>
      <c r="U764" s="82"/>
      <c r="V764" s="82"/>
    </row>
    <row r="765" spans="19:22" x14ac:dyDescent="0.25">
      <c r="S765" s="82"/>
      <c r="T765" s="82"/>
      <c r="U765" s="82"/>
      <c r="V765" s="82"/>
    </row>
    <row r="766" spans="19:22" x14ac:dyDescent="0.25">
      <c r="S766" s="82"/>
      <c r="T766" s="82"/>
      <c r="U766" s="82"/>
      <c r="V766" s="82"/>
    </row>
    <row r="767" spans="19:22" x14ac:dyDescent="0.25">
      <c r="S767" s="82"/>
      <c r="T767" s="82"/>
      <c r="U767" s="82"/>
      <c r="V767" s="82"/>
    </row>
    <row r="768" spans="19:22" x14ac:dyDescent="0.25">
      <c r="S768" s="82"/>
      <c r="T768" s="82"/>
      <c r="U768" s="82"/>
      <c r="V768" s="82"/>
    </row>
    <row r="769" spans="19:22" x14ac:dyDescent="0.25">
      <c r="S769" s="82"/>
      <c r="T769" s="82"/>
      <c r="U769" s="82"/>
      <c r="V769" s="82"/>
    </row>
    <row r="770" spans="19:22" x14ac:dyDescent="0.25">
      <c r="S770" s="82"/>
      <c r="T770" s="82"/>
      <c r="U770" s="82"/>
      <c r="V770" s="82"/>
    </row>
    <row r="771" spans="19:22" x14ac:dyDescent="0.25">
      <c r="S771" s="82"/>
      <c r="T771" s="82"/>
      <c r="U771" s="82"/>
      <c r="V771" s="82"/>
    </row>
    <row r="772" spans="19:22" x14ac:dyDescent="0.25">
      <c r="S772" s="82"/>
      <c r="T772" s="82"/>
      <c r="U772" s="82"/>
      <c r="V772" s="82"/>
    </row>
    <row r="773" spans="19:22" x14ac:dyDescent="0.25">
      <c r="S773" s="82"/>
      <c r="T773" s="82"/>
      <c r="U773" s="82"/>
      <c r="V773" s="82"/>
    </row>
    <row r="774" spans="19:22" x14ac:dyDescent="0.25">
      <c r="S774" s="82"/>
      <c r="T774" s="82"/>
      <c r="U774" s="82"/>
      <c r="V774" s="82"/>
    </row>
    <row r="775" spans="19:22" x14ac:dyDescent="0.25">
      <c r="S775" s="82"/>
      <c r="T775" s="82"/>
      <c r="U775" s="82"/>
      <c r="V775" s="82"/>
    </row>
    <row r="776" spans="19:22" x14ac:dyDescent="0.25">
      <c r="S776" s="82"/>
      <c r="T776" s="82"/>
      <c r="U776" s="82"/>
      <c r="V776" s="82"/>
    </row>
    <row r="777" spans="19:22" x14ac:dyDescent="0.25">
      <c r="S777" s="82"/>
      <c r="T777" s="82"/>
      <c r="U777" s="82"/>
      <c r="V777" s="82"/>
    </row>
    <row r="778" spans="19:22" x14ac:dyDescent="0.25">
      <c r="S778" s="82"/>
      <c r="T778" s="82"/>
      <c r="U778" s="82"/>
      <c r="V778" s="82"/>
    </row>
    <row r="779" spans="19:22" x14ac:dyDescent="0.25">
      <c r="S779" s="82"/>
      <c r="T779" s="82"/>
      <c r="U779" s="82"/>
      <c r="V779" s="82"/>
    </row>
    <row r="780" spans="19:22" x14ac:dyDescent="0.25">
      <c r="S780" s="82"/>
      <c r="T780" s="82"/>
      <c r="U780" s="82"/>
      <c r="V780" s="82"/>
    </row>
    <row r="781" spans="19:22" x14ac:dyDescent="0.25">
      <c r="S781" s="82"/>
      <c r="T781" s="82"/>
      <c r="U781" s="82"/>
      <c r="V781" s="82"/>
    </row>
    <row r="782" spans="19:22" x14ac:dyDescent="0.25">
      <c r="S782" s="82"/>
      <c r="T782" s="82"/>
      <c r="U782" s="82"/>
      <c r="V782" s="82"/>
    </row>
    <row r="783" spans="19:22" x14ac:dyDescent="0.25">
      <c r="S783" s="82"/>
      <c r="T783" s="82"/>
      <c r="U783" s="82"/>
      <c r="V783" s="82"/>
    </row>
    <row r="784" spans="19:22" x14ac:dyDescent="0.25">
      <c r="S784" s="82"/>
      <c r="T784" s="82"/>
      <c r="U784" s="82"/>
      <c r="V784" s="82"/>
    </row>
    <row r="785" spans="19:22" x14ac:dyDescent="0.25">
      <c r="S785" s="82"/>
      <c r="T785" s="82"/>
      <c r="U785" s="82"/>
      <c r="V785" s="82"/>
    </row>
    <row r="786" spans="19:22" x14ac:dyDescent="0.25">
      <c r="S786" s="82"/>
      <c r="T786" s="82"/>
      <c r="U786" s="82"/>
      <c r="V786" s="82"/>
    </row>
    <row r="787" spans="19:22" x14ac:dyDescent="0.25">
      <c r="S787" s="82"/>
      <c r="T787" s="82"/>
      <c r="U787" s="82"/>
      <c r="V787" s="82"/>
    </row>
    <row r="788" spans="19:22" x14ac:dyDescent="0.25">
      <c r="S788" s="82"/>
      <c r="T788" s="82"/>
      <c r="U788" s="82"/>
      <c r="V788" s="82"/>
    </row>
    <row r="789" spans="19:22" x14ac:dyDescent="0.25">
      <c r="S789" s="82"/>
      <c r="T789" s="82"/>
      <c r="U789" s="82"/>
      <c r="V789" s="82"/>
    </row>
    <row r="790" spans="19:22" x14ac:dyDescent="0.25">
      <c r="S790" s="82"/>
      <c r="T790" s="82"/>
      <c r="U790" s="82"/>
      <c r="V790" s="82"/>
    </row>
    <row r="791" spans="19:22" x14ac:dyDescent="0.25">
      <c r="S791" s="82"/>
      <c r="T791" s="82"/>
      <c r="U791" s="82"/>
      <c r="V791" s="82"/>
    </row>
    <row r="792" spans="19:22" x14ac:dyDescent="0.25">
      <c r="S792" s="82"/>
      <c r="T792" s="82"/>
      <c r="U792" s="82"/>
      <c r="V792" s="82"/>
    </row>
    <row r="793" spans="19:22" x14ac:dyDescent="0.25">
      <c r="S793" s="82"/>
      <c r="T793" s="82"/>
      <c r="U793" s="82"/>
      <c r="V793" s="82"/>
    </row>
    <row r="794" spans="19:22" x14ac:dyDescent="0.25">
      <c r="S794" s="82"/>
      <c r="T794" s="82"/>
      <c r="U794" s="82"/>
      <c r="V794" s="82"/>
    </row>
    <row r="795" spans="19:22" x14ac:dyDescent="0.25">
      <c r="S795" s="82"/>
      <c r="T795" s="82"/>
      <c r="U795" s="82"/>
      <c r="V795" s="82"/>
    </row>
    <row r="796" spans="19:22" x14ac:dyDescent="0.25">
      <c r="S796" s="82"/>
      <c r="T796" s="82"/>
      <c r="U796" s="82"/>
      <c r="V796" s="82"/>
    </row>
    <row r="797" spans="19:22" x14ac:dyDescent="0.25">
      <c r="S797" s="82"/>
      <c r="T797" s="82"/>
      <c r="U797" s="82"/>
      <c r="V797" s="82"/>
    </row>
    <row r="798" spans="19:22" x14ac:dyDescent="0.25">
      <c r="S798" s="82"/>
      <c r="T798" s="82"/>
      <c r="U798" s="82"/>
      <c r="V798" s="82"/>
    </row>
    <row r="799" spans="19:22" x14ac:dyDescent="0.25">
      <c r="S799" s="82"/>
      <c r="T799" s="82"/>
      <c r="U799" s="82"/>
      <c r="V799" s="82"/>
    </row>
    <row r="800" spans="19:22" x14ac:dyDescent="0.25">
      <c r="S800" s="82"/>
      <c r="T800" s="82"/>
      <c r="U800" s="82"/>
      <c r="V800" s="82"/>
    </row>
    <row r="801" spans="19:22" x14ac:dyDescent="0.25">
      <c r="S801" s="82"/>
      <c r="T801" s="82"/>
      <c r="U801" s="82"/>
      <c r="V801" s="82"/>
    </row>
    <row r="802" spans="19:22" x14ac:dyDescent="0.25">
      <c r="S802" s="82"/>
      <c r="T802" s="82"/>
      <c r="U802" s="82"/>
      <c r="V802" s="82"/>
    </row>
    <row r="803" spans="19:22" x14ac:dyDescent="0.25">
      <c r="S803" s="82"/>
      <c r="T803" s="82"/>
      <c r="U803" s="82"/>
      <c r="V803" s="82"/>
    </row>
    <row r="804" spans="19:22" x14ac:dyDescent="0.25">
      <c r="S804" s="82"/>
      <c r="T804" s="82"/>
      <c r="U804" s="82"/>
      <c r="V804" s="82"/>
    </row>
    <row r="805" spans="19:22" x14ac:dyDescent="0.25">
      <c r="S805" s="82"/>
      <c r="T805" s="82"/>
      <c r="U805" s="82"/>
      <c r="V805" s="82"/>
    </row>
    <row r="806" spans="19:22" x14ac:dyDescent="0.25">
      <c r="S806" s="82"/>
      <c r="T806" s="82"/>
      <c r="U806" s="82"/>
      <c r="V806" s="82"/>
    </row>
    <row r="807" spans="19:22" x14ac:dyDescent="0.25">
      <c r="S807" s="82"/>
      <c r="T807" s="82"/>
      <c r="U807" s="82"/>
      <c r="V807" s="82"/>
    </row>
    <row r="808" spans="19:22" x14ac:dyDescent="0.25">
      <c r="S808" s="82"/>
      <c r="T808" s="82"/>
      <c r="U808" s="82"/>
      <c r="V808" s="82"/>
    </row>
    <row r="809" spans="19:22" x14ac:dyDescent="0.25">
      <c r="S809" s="82"/>
      <c r="T809" s="82"/>
      <c r="U809" s="82"/>
      <c r="V809" s="82"/>
    </row>
    <row r="810" spans="19:22" x14ac:dyDescent="0.25">
      <c r="S810" s="82"/>
      <c r="T810" s="82"/>
      <c r="U810" s="82"/>
      <c r="V810" s="82"/>
    </row>
    <row r="811" spans="19:22" x14ac:dyDescent="0.25">
      <c r="S811" s="82"/>
      <c r="T811" s="82"/>
      <c r="U811" s="82"/>
      <c r="V811" s="82"/>
    </row>
    <row r="812" spans="19:22" x14ac:dyDescent="0.25">
      <c r="S812" s="82"/>
      <c r="T812" s="82"/>
      <c r="U812" s="82"/>
      <c r="V812" s="82"/>
    </row>
    <row r="813" spans="19:22" x14ac:dyDescent="0.25">
      <c r="S813" s="82"/>
      <c r="T813" s="82"/>
      <c r="U813" s="82"/>
      <c r="V813" s="82"/>
    </row>
    <row r="814" spans="19:22" x14ac:dyDescent="0.25">
      <c r="S814" s="82"/>
      <c r="T814" s="82"/>
      <c r="U814" s="82"/>
      <c r="V814" s="82"/>
    </row>
    <row r="815" spans="19:22" x14ac:dyDescent="0.25">
      <c r="S815" s="82"/>
      <c r="T815" s="82"/>
      <c r="U815" s="82"/>
      <c r="V815" s="82"/>
    </row>
    <row r="816" spans="19:22" x14ac:dyDescent="0.25">
      <c r="S816" s="82"/>
      <c r="T816" s="82"/>
      <c r="U816" s="82"/>
      <c r="V816" s="82"/>
    </row>
    <row r="817" spans="19:22" x14ac:dyDescent="0.25">
      <c r="S817" s="82"/>
      <c r="T817" s="82"/>
      <c r="U817" s="82"/>
      <c r="V817" s="82"/>
    </row>
    <row r="818" spans="19:22" x14ac:dyDescent="0.25">
      <c r="S818" s="82"/>
      <c r="T818" s="82"/>
      <c r="U818" s="82"/>
      <c r="V818" s="82"/>
    </row>
    <row r="819" spans="19:22" x14ac:dyDescent="0.25">
      <c r="S819" s="82"/>
      <c r="T819" s="82"/>
      <c r="U819" s="82"/>
      <c r="V819" s="82"/>
    </row>
    <row r="820" spans="19:22" x14ac:dyDescent="0.25">
      <c r="S820" s="82"/>
      <c r="T820" s="82"/>
      <c r="U820" s="82"/>
      <c r="V820" s="82"/>
    </row>
    <row r="821" spans="19:22" x14ac:dyDescent="0.25">
      <c r="S821" s="82"/>
      <c r="T821" s="82"/>
      <c r="U821" s="82"/>
      <c r="V821" s="82"/>
    </row>
    <row r="822" spans="19:22" x14ac:dyDescent="0.25">
      <c r="S822" s="82"/>
      <c r="T822" s="82"/>
      <c r="U822" s="82"/>
      <c r="V822" s="82"/>
    </row>
    <row r="823" spans="19:22" x14ac:dyDescent="0.25">
      <c r="S823" s="82"/>
      <c r="T823" s="82"/>
      <c r="U823" s="82"/>
      <c r="V823" s="82"/>
    </row>
    <row r="824" spans="19:22" x14ac:dyDescent="0.25">
      <c r="S824" s="82"/>
      <c r="T824" s="82"/>
      <c r="U824" s="82"/>
      <c r="V824" s="82"/>
    </row>
    <row r="825" spans="19:22" x14ac:dyDescent="0.25">
      <c r="S825" s="82"/>
      <c r="T825" s="82"/>
      <c r="U825" s="82"/>
      <c r="V825" s="82"/>
    </row>
    <row r="826" spans="19:22" x14ac:dyDescent="0.25">
      <c r="S826" s="82"/>
      <c r="T826" s="82"/>
      <c r="U826" s="82"/>
      <c r="V826" s="82"/>
    </row>
    <row r="827" spans="19:22" x14ac:dyDescent="0.25">
      <c r="S827" s="82"/>
      <c r="T827" s="82"/>
      <c r="U827" s="82"/>
      <c r="V827" s="82"/>
    </row>
    <row r="828" spans="19:22" x14ac:dyDescent="0.25">
      <c r="S828" s="82"/>
      <c r="T828" s="82"/>
      <c r="U828" s="82"/>
      <c r="V828" s="82"/>
    </row>
    <row r="829" spans="19:22" x14ac:dyDescent="0.25">
      <c r="S829" s="82"/>
      <c r="T829" s="82"/>
      <c r="U829" s="82"/>
      <c r="V829" s="82"/>
    </row>
    <row r="830" spans="19:22" x14ac:dyDescent="0.25">
      <c r="S830" s="82"/>
      <c r="T830" s="82"/>
      <c r="U830" s="82"/>
      <c r="V830" s="82"/>
    </row>
    <row r="831" spans="19:22" x14ac:dyDescent="0.25">
      <c r="S831" s="82"/>
      <c r="T831" s="82"/>
      <c r="U831" s="82"/>
      <c r="V831" s="82"/>
    </row>
    <row r="832" spans="19:22" x14ac:dyDescent="0.25">
      <c r="S832" s="82"/>
      <c r="T832" s="82"/>
      <c r="U832" s="82"/>
      <c r="V832" s="82"/>
    </row>
    <row r="833" spans="19:22" x14ac:dyDescent="0.25">
      <c r="S833" s="82"/>
      <c r="T833" s="82"/>
      <c r="U833" s="82"/>
      <c r="V833" s="82"/>
    </row>
    <row r="834" spans="19:22" x14ac:dyDescent="0.25">
      <c r="S834" s="82"/>
      <c r="T834" s="82"/>
      <c r="U834" s="82"/>
      <c r="V834" s="82"/>
    </row>
    <row r="835" spans="19:22" x14ac:dyDescent="0.25">
      <c r="S835" s="82"/>
      <c r="T835" s="82"/>
      <c r="U835" s="82"/>
      <c r="V835" s="82"/>
    </row>
    <row r="836" spans="19:22" x14ac:dyDescent="0.25">
      <c r="S836" s="82"/>
      <c r="T836" s="82"/>
      <c r="U836" s="82"/>
      <c r="V836" s="82"/>
    </row>
    <row r="837" spans="19:22" x14ac:dyDescent="0.25">
      <c r="S837" s="82"/>
      <c r="T837" s="82"/>
      <c r="U837" s="82"/>
      <c r="V837" s="82"/>
    </row>
    <row r="838" spans="19:22" x14ac:dyDescent="0.25">
      <c r="S838" s="82"/>
      <c r="T838" s="82"/>
      <c r="U838" s="82"/>
      <c r="V838" s="82"/>
    </row>
    <row r="839" spans="19:22" x14ac:dyDescent="0.25">
      <c r="S839" s="82"/>
      <c r="T839" s="82"/>
      <c r="U839" s="82"/>
      <c r="V839" s="82"/>
    </row>
    <row r="840" spans="19:22" x14ac:dyDescent="0.25">
      <c r="S840" s="82"/>
      <c r="T840" s="82"/>
      <c r="U840" s="82"/>
      <c r="V840" s="82"/>
    </row>
    <row r="841" spans="19:22" x14ac:dyDescent="0.25">
      <c r="S841" s="82"/>
      <c r="T841" s="82"/>
      <c r="U841" s="82"/>
      <c r="V841" s="82"/>
    </row>
    <row r="842" spans="19:22" x14ac:dyDescent="0.25">
      <c r="S842" s="82"/>
      <c r="T842" s="82"/>
      <c r="U842" s="82"/>
      <c r="V842" s="82"/>
    </row>
    <row r="843" spans="19:22" x14ac:dyDescent="0.25">
      <c r="S843" s="82"/>
      <c r="T843" s="82"/>
      <c r="U843" s="82"/>
      <c r="V843" s="82"/>
    </row>
    <row r="844" spans="19:22" x14ac:dyDescent="0.25">
      <c r="S844" s="82"/>
      <c r="T844" s="82"/>
      <c r="U844" s="82"/>
      <c r="V844" s="82"/>
    </row>
    <row r="845" spans="19:22" x14ac:dyDescent="0.25">
      <c r="S845" s="82"/>
      <c r="T845" s="82"/>
      <c r="U845" s="82"/>
      <c r="V845" s="82"/>
    </row>
    <row r="846" spans="19:22" x14ac:dyDescent="0.25">
      <c r="S846" s="82"/>
      <c r="T846" s="82"/>
      <c r="U846" s="82"/>
      <c r="V846" s="82"/>
    </row>
    <row r="847" spans="19:22" x14ac:dyDescent="0.25">
      <c r="S847" s="82"/>
      <c r="T847" s="82"/>
      <c r="U847" s="82"/>
      <c r="V847" s="82"/>
    </row>
    <row r="848" spans="19:22" x14ac:dyDescent="0.25">
      <c r="S848" s="82"/>
      <c r="T848" s="82"/>
      <c r="U848" s="82"/>
      <c r="V848" s="82"/>
    </row>
    <row r="849" spans="19:22" x14ac:dyDescent="0.25">
      <c r="S849" s="82"/>
      <c r="T849" s="82"/>
      <c r="U849" s="82"/>
      <c r="V849" s="82"/>
    </row>
    <row r="850" spans="19:22" x14ac:dyDescent="0.25">
      <c r="S850" s="82"/>
      <c r="T850" s="82"/>
      <c r="U850" s="82"/>
      <c r="V850" s="82"/>
    </row>
    <row r="851" spans="19:22" x14ac:dyDescent="0.25">
      <c r="S851" s="82"/>
      <c r="T851" s="82"/>
      <c r="U851" s="82"/>
      <c r="V851" s="82"/>
    </row>
    <row r="852" spans="19:22" x14ac:dyDescent="0.25">
      <c r="S852" s="82"/>
      <c r="T852" s="82"/>
      <c r="U852" s="82"/>
      <c r="V852" s="82"/>
    </row>
    <row r="853" spans="19:22" x14ac:dyDescent="0.25">
      <c r="S853" s="82"/>
      <c r="T853" s="82"/>
      <c r="U853" s="82"/>
      <c r="V853" s="82"/>
    </row>
    <row r="854" spans="19:22" x14ac:dyDescent="0.25">
      <c r="S854" s="82"/>
      <c r="T854" s="82"/>
      <c r="U854" s="82"/>
      <c r="V854" s="82"/>
    </row>
    <row r="855" spans="19:22" x14ac:dyDescent="0.25">
      <c r="S855" s="82"/>
      <c r="T855" s="82"/>
      <c r="U855" s="82"/>
      <c r="V855" s="82"/>
    </row>
    <row r="856" spans="19:22" x14ac:dyDescent="0.25">
      <c r="S856" s="82"/>
      <c r="T856" s="82"/>
      <c r="U856" s="82"/>
      <c r="V856" s="82"/>
    </row>
    <row r="857" spans="19:22" x14ac:dyDescent="0.25">
      <c r="S857" s="82"/>
      <c r="T857" s="82"/>
      <c r="U857" s="82"/>
      <c r="V857" s="82"/>
    </row>
    <row r="858" spans="19:22" x14ac:dyDescent="0.25">
      <c r="S858" s="82"/>
      <c r="T858" s="82"/>
      <c r="U858" s="82"/>
      <c r="V858" s="82"/>
    </row>
    <row r="859" spans="19:22" x14ac:dyDescent="0.25">
      <c r="S859" s="82"/>
      <c r="T859" s="82"/>
      <c r="U859" s="82"/>
      <c r="V859" s="82"/>
    </row>
    <row r="860" spans="19:22" x14ac:dyDescent="0.25">
      <c r="S860" s="82"/>
      <c r="T860" s="82"/>
      <c r="U860" s="82"/>
      <c r="V860" s="82"/>
    </row>
    <row r="861" spans="19:22" x14ac:dyDescent="0.25">
      <c r="S861" s="82"/>
      <c r="T861" s="82"/>
      <c r="U861" s="82"/>
      <c r="V861" s="82"/>
    </row>
    <row r="862" spans="19:22" x14ac:dyDescent="0.25">
      <c r="S862" s="82"/>
      <c r="T862" s="82"/>
      <c r="U862" s="82"/>
      <c r="V862" s="82"/>
    </row>
    <row r="863" spans="19:22" x14ac:dyDescent="0.25">
      <c r="S863" s="82"/>
      <c r="T863" s="82"/>
      <c r="U863" s="82"/>
      <c r="V863" s="82"/>
    </row>
    <row r="864" spans="19:22" x14ac:dyDescent="0.25">
      <c r="S864" s="82"/>
      <c r="T864" s="82"/>
      <c r="U864" s="82"/>
      <c r="V864" s="82"/>
    </row>
    <row r="865" spans="19:22" x14ac:dyDescent="0.25">
      <c r="S865" s="82"/>
      <c r="T865" s="82"/>
      <c r="U865" s="82"/>
      <c r="V865" s="82"/>
    </row>
    <row r="866" spans="19:22" x14ac:dyDescent="0.25">
      <c r="S866" s="82"/>
      <c r="T866" s="82"/>
      <c r="U866" s="82"/>
      <c r="V866" s="82"/>
    </row>
    <row r="867" spans="19:22" x14ac:dyDescent="0.25">
      <c r="S867" s="82"/>
      <c r="T867" s="82"/>
      <c r="U867" s="82"/>
      <c r="V867" s="82"/>
    </row>
    <row r="868" spans="19:22" x14ac:dyDescent="0.25">
      <c r="S868" s="82"/>
      <c r="T868" s="82"/>
      <c r="U868" s="82"/>
      <c r="V868" s="82"/>
    </row>
    <row r="869" spans="19:22" x14ac:dyDescent="0.25">
      <c r="S869" s="82"/>
      <c r="T869" s="82"/>
      <c r="U869" s="82"/>
      <c r="V869" s="82"/>
    </row>
    <row r="870" spans="19:22" x14ac:dyDescent="0.25">
      <c r="S870" s="82"/>
      <c r="T870" s="82"/>
      <c r="U870" s="82"/>
      <c r="V870" s="82"/>
    </row>
    <row r="871" spans="19:22" x14ac:dyDescent="0.25">
      <c r="S871" s="82"/>
      <c r="T871" s="82"/>
      <c r="U871" s="82"/>
      <c r="V871" s="82"/>
    </row>
    <row r="872" spans="19:22" x14ac:dyDescent="0.25">
      <c r="S872" s="82"/>
      <c r="T872" s="82"/>
      <c r="U872" s="82"/>
      <c r="V872" s="82"/>
    </row>
    <row r="873" spans="19:22" x14ac:dyDescent="0.25">
      <c r="S873" s="82"/>
      <c r="T873" s="82"/>
      <c r="U873" s="82"/>
      <c r="V873" s="82"/>
    </row>
    <row r="874" spans="19:22" x14ac:dyDescent="0.25">
      <c r="S874" s="82"/>
      <c r="T874" s="82"/>
      <c r="U874" s="82"/>
      <c r="V874" s="82"/>
    </row>
    <row r="875" spans="19:22" x14ac:dyDescent="0.25">
      <c r="S875" s="82"/>
      <c r="T875" s="82"/>
      <c r="U875" s="82"/>
      <c r="V875" s="82"/>
    </row>
    <row r="876" spans="19:22" x14ac:dyDescent="0.25">
      <c r="S876" s="82"/>
      <c r="T876" s="82"/>
      <c r="U876" s="82"/>
      <c r="V876" s="82"/>
    </row>
    <row r="877" spans="19:22" x14ac:dyDescent="0.25">
      <c r="S877" s="82"/>
      <c r="T877" s="82"/>
      <c r="U877" s="82"/>
      <c r="V877" s="82"/>
    </row>
    <row r="878" spans="19:22" x14ac:dyDescent="0.25">
      <c r="S878" s="82"/>
      <c r="T878" s="82"/>
      <c r="U878" s="82"/>
      <c r="V878" s="82"/>
    </row>
    <row r="879" spans="19:22" x14ac:dyDescent="0.25">
      <c r="S879" s="82"/>
      <c r="T879" s="82"/>
      <c r="U879" s="82"/>
      <c r="V879" s="82"/>
    </row>
    <row r="880" spans="19:22" x14ac:dyDescent="0.25">
      <c r="S880" s="82"/>
      <c r="T880" s="82"/>
      <c r="U880" s="82"/>
      <c r="V880" s="82"/>
    </row>
    <row r="881" spans="19:22" x14ac:dyDescent="0.25">
      <c r="S881" s="82"/>
      <c r="T881" s="82"/>
      <c r="U881" s="82"/>
      <c r="V881" s="82"/>
    </row>
    <row r="882" spans="19:22" x14ac:dyDescent="0.25">
      <c r="S882" s="82"/>
      <c r="T882" s="82"/>
      <c r="U882" s="82"/>
      <c r="V882" s="82"/>
    </row>
    <row r="883" spans="19:22" x14ac:dyDescent="0.25">
      <c r="S883" s="82"/>
      <c r="T883" s="82"/>
      <c r="U883" s="82"/>
      <c r="V883" s="82"/>
    </row>
    <row r="884" spans="19:22" x14ac:dyDescent="0.25">
      <c r="S884" s="82"/>
      <c r="T884" s="82"/>
      <c r="U884" s="82"/>
      <c r="V884" s="82"/>
    </row>
    <row r="885" spans="19:22" x14ac:dyDescent="0.25">
      <c r="S885" s="82"/>
      <c r="T885" s="82"/>
      <c r="U885" s="82"/>
      <c r="V885" s="82"/>
    </row>
    <row r="886" spans="19:22" x14ac:dyDescent="0.25">
      <c r="S886" s="82"/>
      <c r="T886" s="82"/>
      <c r="U886" s="82"/>
      <c r="V886" s="82"/>
    </row>
    <row r="887" spans="19:22" x14ac:dyDescent="0.25">
      <c r="S887" s="82"/>
      <c r="T887" s="82"/>
      <c r="U887" s="82"/>
      <c r="V887" s="82"/>
    </row>
    <row r="888" spans="19:22" x14ac:dyDescent="0.25">
      <c r="S888" s="82"/>
      <c r="T888" s="82"/>
      <c r="U888" s="82"/>
      <c r="V888" s="82"/>
    </row>
    <row r="889" spans="19:22" x14ac:dyDescent="0.25">
      <c r="S889" s="82"/>
      <c r="T889" s="82"/>
      <c r="U889" s="82"/>
      <c r="V889" s="82"/>
    </row>
    <row r="890" spans="19:22" x14ac:dyDescent="0.25">
      <c r="S890" s="82"/>
      <c r="T890" s="82"/>
      <c r="U890" s="82"/>
      <c r="V890" s="82"/>
    </row>
    <row r="891" spans="19:22" x14ac:dyDescent="0.25">
      <c r="S891" s="82"/>
      <c r="T891" s="82"/>
      <c r="U891" s="82"/>
      <c r="V891" s="82"/>
    </row>
    <row r="892" spans="19:22" x14ac:dyDescent="0.25">
      <c r="S892" s="82"/>
      <c r="T892" s="82"/>
      <c r="U892" s="82"/>
      <c r="V892" s="82"/>
    </row>
    <row r="893" spans="19:22" x14ac:dyDescent="0.25">
      <c r="S893" s="82"/>
      <c r="T893" s="82"/>
      <c r="U893" s="82"/>
      <c r="V893" s="82"/>
    </row>
    <row r="894" spans="19:22" x14ac:dyDescent="0.25">
      <c r="S894" s="82"/>
      <c r="T894" s="82"/>
      <c r="U894" s="82"/>
      <c r="V894" s="82"/>
    </row>
    <row r="895" spans="19:22" x14ac:dyDescent="0.25">
      <c r="S895" s="82"/>
      <c r="T895" s="82"/>
      <c r="U895" s="82"/>
      <c r="V895" s="82"/>
    </row>
    <row r="896" spans="19:22" x14ac:dyDescent="0.25">
      <c r="S896" s="82"/>
      <c r="T896" s="82"/>
      <c r="U896" s="82"/>
      <c r="V896" s="82"/>
    </row>
    <row r="897" spans="19:22" x14ac:dyDescent="0.25">
      <c r="S897" s="82"/>
      <c r="T897" s="82"/>
      <c r="U897" s="82"/>
      <c r="V897" s="82"/>
    </row>
    <row r="898" spans="19:22" x14ac:dyDescent="0.25">
      <c r="S898" s="82"/>
      <c r="T898" s="82"/>
      <c r="U898" s="82"/>
      <c r="V898" s="82"/>
    </row>
    <row r="899" spans="19:22" x14ac:dyDescent="0.25">
      <c r="S899" s="82"/>
      <c r="T899" s="82"/>
      <c r="U899" s="82"/>
      <c r="V899" s="82"/>
    </row>
    <row r="900" spans="19:22" x14ac:dyDescent="0.25">
      <c r="S900" s="82"/>
      <c r="T900" s="82"/>
      <c r="U900" s="82"/>
      <c r="V900" s="82"/>
    </row>
    <row r="901" spans="19:22" x14ac:dyDescent="0.25">
      <c r="S901" s="82"/>
      <c r="T901" s="82"/>
      <c r="U901" s="82"/>
      <c r="V901" s="82"/>
    </row>
    <row r="902" spans="19:22" x14ac:dyDescent="0.25">
      <c r="S902" s="82"/>
      <c r="T902" s="82"/>
      <c r="U902" s="82"/>
      <c r="V902" s="82"/>
    </row>
    <row r="903" spans="19:22" x14ac:dyDescent="0.25">
      <c r="S903" s="82"/>
      <c r="T903" s="82"/>
      <c r="U903" s="82"/>
      <c r="V903" s="82"/>
    </row>
    <row r="904" spans="19:22" x14ac:dyDescent="0.25">
      <c r="S904" s="82"/>
      <c r="T904" s="82"/>
      <c r="U904" s="82"/>
      <c r="V904" s="82"/>
    </row>
    <row r="905" spans="19:22" x14ac:dyDescent="0.25">
      <c r="S905" s="82"/>
      <c r="T905" s="82"/>
      <c r="U905" s="82"/>
      <c r="V905" s="82"/>
    </row>
    <row r="906" spans="19:22" x14ac:dyDescent="0.25">
      <c r="S906" s="82"/>
      <c r="T906" s="82"/>
      <c r="U906" s="82"/>
      <c r="V906" s="82"/>
    </row>
    <row r="907" spans="19:22" x14ac:dyDescent="0.25">
      <c r="S907" s="82"/>
      <c r="T907" s="82"/>
      <c r="U907" s="82"/>
      <c r="V907" s="82"/>
    </row>
    <row r="908" spans="19:22" x14ac:dyDescent="0.25">
      <c r="S908" s="82"/>
      <c r="T908" s="82"/>
      <c r="U908" s="82"/>
      <c r="V908" s="82"/>
    </row>
    <row r="909" spans="19:22" x14ac:dyDescent="0.25">
      <c r="S909" s="82"/>
      <c r="T909" s="82"/>
      <c r="U909" s="82"/>
      <c r="V909" s="82"/>
    </row>
    <row r="910" spans="19:22" x14ac:dyDescent="0.25">
      <c r="S910" s="82"/>
      <c r="T910" s="82"/>
      <c r="U910" s="82"/>
      <c r="V910" s="82"/>
    </row>
    <row r="911" spans="19:22" x14ac:dyDescent="0.25">
      <c r="S911" s="82"/>
      <c r="T911" s="82"/>
      <c r="U911" s="82"/>
      <c r="V911" s="82"/>
    </row>
    <row r="912" spans="19:22" x14ac:dyDescent="0.25">
      <c r="S912" s="82"/>
      <c r="T912" s="82"/>
      <c r="U912" s="82"/>
      <c r="V912" s="82"/>
    </row>
    <row r="913" spans="19:22" x14ac:dyDescent="0.25">
      <c r="S913" s="82"/>
      <c r="T913" s="82"/>
      <c r="U913" s="82"/>
      <c r="V913" s="82"/>
    </row>
    <row r="914" spans="19:22" x14ac:dyDescent="0.25">
      <c r="S914" s="82"/>
      <c r="T914" s="82"/>
      <c r="U914" s="82"/>
      <c r="V914" s="82"/>
    </row>
    <row r="915" spans="19:22" x14ac:dyDescent="0.25">
      <c r="S915" s="82"/>
      <c r="T915" s="82"/>
      <c r="U915" s="82"/>
      <c r="V915" s="82"/>
    </row>
    <row r="916" spans="19:22" x14ac:dyDescent="0.25">
      <c r="S916" s="82"/>
      <c r="T916" s="82"/>
      <c r="U916" s="82"/>
      <c r="V916" s="82"/>
    </row>
    <row r="917" spans="19:22" x14ac:dyDescent="0.25">
      <c r="S917" s="82"/>
      <c r="T917" s="82"/>
      <c r="U917" s="82"/>
      <c r="V917" s="82"/>
    </row>
    <row r="918" spans="19:22" x14ac:dyDescent="0.25">
      <c r="S918" s="82"/>
      <c r="T918" s="82"/>
      <c r="U918" s="82"/>
      <c r="V918" s="82"/>
    </row>
    <row r="919" spans="19:22" x14ac:dyDescent="0.25">
      <c r="S919" s="82"/>
      <c r="T919" s="82"/>
      <c r="U919" s="82"/>
      <c r="V919" s="82"/>
    </row>
    <row r="920" spans="19:22" x14ac:dyDescent="0.25">
      <c r="S920" s="82"/>
      <c r="T920" s="82"/>
      <c r="U920" s="82"/>
      <c r="V920" s="82"/>
    </row>
    <row r="921" spans="19:22" x14ac:dyDescent="0.25">
      <c r="S921" s="82"/>
      <c r="T921" s="82"/>
      <c r="U921" s="82"/>
      <c r="V921" s="82"/>
    </row>
    <row r="922" spans="19:22" x14ac:dyDescent="0.25">
      <c r="S922" s="82"/>
      <c r="T922" s="82"/>
      <c r="U922" s="82"/>
      <c r="V922" s="82"/>
    </row>
    <row r="923" spans="19:22" x14ac:dyDescent="0.25">
      <c r="S923" s="82"/>
      <c r="T923" s="82"/>
      <c r="U923" s="82"/>
      <c r="V923" s="82"/>
    </row>
    <row r="924" spans="19:22" x14ac:dyDescent="0.25">
      <c r="S924" s="82"/>
      <c r="T924" s="82"/>
      <c r="U924" s="82"/>
      <c r="V924" s="82"/>
    </row>
    <row r="925" spans="19:22" x14ac:dyDescent="0.25">
      <c r="S925" s="82"/>
      <c r="T925" s="82"/>
      <c r="U925" s="82"/>
      <c r="V925" s="82"/>
    </row>
    <row r="926" spans="19:22" x14ac:dyDescent="0.25">
      <c r="S926" s="82"/>
      <c r="T926" s="82"/>
      <c r="U926" s="82"/>
      <c r="V926" s="82"/>
    </row>
    <row r="927" spans="19:22" x14ac:dyDescent="0.25">
      <c r="S927" s="82"/>
      <c r="T927" s="82"/>
      <c r="U927" s="82"/>
      <c r="V927" s="82"/>
    </row>
    <row r="928" spans="19:22" x14ac:dyDescent="0.25">
      <c r="S928" s="82"/>
      <c r="T928" s="82"/>
      <c r="U928" s="82"/>
      <c r="V928" s="82"/>
    </row>
    <row r="929" spans="19:22" x14ac:dyDescent="0.25">
      <c r="S929" s="82"/>
      <c r="T929" s="82"/>
      <c r="U929" s="82"/>
      <c r="V929" s="82"/>
    </row>
    <row r="930" spans="19:22" x14ac:dyDescent="0.25">
      <c r="S930" s="82"/>
      <c r="T930" s="82"/>
      <c r="U930" s="82"/>
      <c r="V930" s="82"/>
    </row>
    <row r="931" spans="19:22" x14ac:dyDescent="0.25">
      <c r="S931" s="82"/>
      <c r="T931" s="82"/>
      <c r="U931" s="82"/>
      <c r="V931" s="82"/>
    </row>
    <row r="932" spans="19:22" x14ac:dyDescent="0.25">
      <c r="S932" s="82"/>
      <c r="T932" s="82"/>
      <c r="U932" s="82"/>
      <c r="V932" s="82"/>
    </row>
    <row r="933" spans="19:22" x14ac:dyDescent="0.25">
      <c r="S933" s="82"/>
      <c r="T933" s="82"/>
      <c r="U933" s="82"/>
      <c r="V933" s="82"/>
    </row>
    <row r="934" spans="19:22" x14ac:dyDescent="0.25">
      <c r="S934" s="82"/>
      <c r="T934" s="82"/>
      <c r="U934" s="82"/>
      <c r="V934" s="82"/>
    </row>
    <row r="935" spans="19:22" x14ac:dyDescent="0.25">
      <c r="S935" s="82"/>
      <c r="T935" s="82"/>
      <c r="U935" s="82"/>
      <c r="V935" s="82"/>
    </row>
    <row r="936" spans="19:22" x14ac:dyDescent="0.25">
      <c r="S936" s="82"/>
      <c r="T936" s="82"/>
      <c r="U936" s="82"/>
      <c r="V936" s="82"/>
    </row>
    <row r="937" spans="19:22" x14ac:dyDescent="0.25">
      <c r="S937" s="82"/>
      <c r="T937" s="82"/>
      <c r="U937" s="82"/>
      <c r="V937" s="82"/>
    </row>
    <row r="938" spans="19:22" x14ac:dyDescent="0.25">
      <c r="S938" s="82"/>
      <c r="T938" s="82"/>
      <c r="U938" s="82"/>
      <c r="V938" s="82"/>
    </row>
    <row r="939" spans="19:22" x14ac:dyDescent="0.25">
      <c r="S939" s="82"/>
      <c r="T939" s="82"/>
      <c r="U939" s="82"/>
      <c r="V939" s="82"/>
    </row>
    <row r="940" spans="19:22" x14ac:dyDescent="0.25">
      <c r="S940" s="82"/>
      <c r="T940" s="82"/>
      <c r="U940" s="82"/>
      <c r="V940" s="82"/>
    </row>
    <row r="941" spans="19:22" x14ac:dyDescent="0.25">
      <c r="S941" s="82"/>
      <c r="T941" s="82"/>
      <c r="U941" s="82"/>
      <c r="V941" s="82"/>
    </row>
    <row r="942" spans="19:22" x14ac:dyDescent="0.25">
      <c r="S942" s="82"/>
      <c r="T942" s="82"/>
      <c r="U942" s="82"/>
      <c r="V942" s="82"/>
    </row>
    <row r="943" spans="19:22" x14ac:dyDescent="0.25">
      <c r="S943" s="82"/>
      <c r="T943" s="82"/>
      <c r="U943" s="82"/>
      <c r="V943" s="82"/>
    </row>
    <row r="944" spans="19:22" x14ac:dyDescent="0.25">
      <c r="S944" s="82"/>
      <c r="T944" s="82"/>
      <c r="U944" s="82"/>
      <c r="V944" s="82"/>
    </row>
    <row r="945" spans="19:22" x14ac:dyDescent="0.25">
      <c r="S945" s="82"/>
      <c r="T945" s="82"/>
      <c r="U945" s="82"/>
      <c r="V945" s="82"/>
    </row>
    <row r="946" spans="19:22" x14ac:dyDescent="0.25">
      <c r="S946" s="82"/>
      <c r="T946" s="82"/>
      <c r="U946" s="82"/>
      <c r="V946" s="82"/>
    </row>
    <row r="947" spans="19:22" x14ac:dyDescent="0.25">
      <c r="S947" s="82"/>
      <c r="T947" s="82"/>
      <c r="U947" s="82"/>
      <c r="V947" s="82"/>
    </row>
    <row r="948" spans="19:22" x14ac:dyDescent="0.25">
      <c r="S948" s="82"/>
      <c r="T948" s="82"/>
      <c r="U948" s="82"/>
      <c r="V948" s="82"/>
    </row>
    <row r="949" spans="19:22" x14ac:dyDescent="0.25">
      <c r="S949" s="82"/>
      <c r="T949" s="82"/>
      <c r="U949" s="82"/>
      <c r="V949" s="82"/>
    </row>
    <row r="950" spans="19:22" x14ac:dyDescent="0.25">
      <c r="S950" s="82"/>
      <c r="T950" s="82"/>
      <c r="U950" s="82"/>
      <c r="V950" s="82"/>
    </row>
    <row r="951" spans="19:22" x14ac:dyDescent="0.25">
      <c r="S951" s="82"/>
      <c r="T951" s="82"/>
      <c r="U951" s="82"/>
      <c r="V951" s="82"/>
    </row>
    <row r="952" spans="19:22" x14ac:dyDescent="0.25">
      <c r="S952" s="82"/>
      <c r="T952" s="82"/>
      <c r="U952" s="82"/>
      <c r="V952" s="82"/>
    </row>
    <row r="953" spans="19:22" x14ac:dyDescent="0.25">
      <c r="S953" s="82"/>
      <c r="T953" s="82"/>
      <c r="U953" s="82"/>
      <c r="V953" s="82"/>
    </row>
    <row r="954" spans="19:22" x14ac:dyDescent="0.25">
      <c r="S954" s="82"/>
      <c r="T954" s="82"/>
      <c r="U954" s="82"/>
      <c r="V954" s="82"/>
    </row>
    <row r="955" spans="19:22" x14ac:dyDescent="0.25">
      <c r="S955" s="82"/>
      <c r="T955" s="82"/>
      <c r="U955" s="82"/>
      <c r="V955" s="82"/>
    </row>
    <row r="956" spans="19:22" x14ac:dyDescent="0.25">
      <c r="S956" s="82"/>
      <c r="T956" s="82"/>
      <c r="U956" s="82"/>
      <c r="V956" s="82"/>
    </row>
    <row r="957" spans="19:22" x14ac:dyDescent="0.25">
      <c r="S957" s="82"/>
      <c r="T957" s="82"/>
      <c r="U957" s="82"/>
      <c r="V957" s="82"/>
    </row>
    <row r="958" spans="19:22" x14ac:dyDescent="0.25">
      <c r="S958" s="82"/>
      <c r="T958" s="82"/>
      <c r="U958" s="82"/>
      <c r="V958" s="82"/>
    </row>
    <row r="959" spans="19:22" x14ac:dyDescent="0.25">
      <c r="S959" s="82"/>
      <c r="T959" s="82"/>
      <c r="U959" s="82"/>
      <c r="V959" s="82"/>
    </row>
    <row r="960" spans="19:22" x14ac:dyDescent="0.25">
      <c r="S960" s="82"/>
      <c r="T960" s="82"/>
      <c r="U960" s="82"/>
      <c r="V960" s="82"/>
    </row>
    <row r="961" spans="19:22" x14ac:dyDescent="0.25">
      <c r="S961" s="82"/>
      <c r="T961" s="82"/>
      <c r="U961" s="82"/>
      <c r="V961" s="82"/>
    </row>
    <row r="962" spans="19:22" x14ac:dyDescent="0.25">
      <c r="S962" s="82"/>
      <c r="T962" s="82"/>
      <c r="U962" s="82"/>
      <c r="V962" s="82"/>
    </row>
    <row r="963" spans="19:22" x14ac:dyDescent="0.25">
      <c r="S963" s="82"/>
      <c r="T963" s="82"/>
      <c r="U963" s="82"/>
      <c r="V963" s="82"/>
    </row>
    <row r="964" spans="19:22" x14ac:dyDescent="0.25">
      <c r="S964" s="82"/>
      <c r="T964" s="82"/>
      <c r="U964" s="82"/>
      <c r="V964" s="82"/>
    </row>
    <row r="965" spans="19:22" x14ac:dyDescent="0.25">
      <c r="S965" s="82"/>
      <c r="T965" s="82"/>
      <c r="U965" s="82"/>
      <c r="V965" s="82"/>
    </row>
    <row r="966" spans="19:22" x14ac:dyDescent="0.25">
      <c r="S966" s="82"/>
      <c r="T966" s="82"/>
      <c r="U966" s="82"/>
      <c r="V966" s="82"/>
    </row>
    <row r="967" spans="19:22" x14ac:dyDescent="0.25">
      <c r="S967" s="82"/>
      <c r="T967" s="82"/>
      <c r="U967" s="82"/>
      <c r="V967" s="82"/>
    </row>
    <row r="968" spans="19:22" x14ac:dyDescent="0.25">
      <c r="S968" s="82"/>
      <c r="T968" s="82"/>
      <c r="U968" s="82"/>
      <c r="V968" s="82"/>
    </row>
    <row r="969" spans="19:22" x14ac:dyDescent="0.25">
      <c r="S969" s="82"/>
      <c r="T969" s="82"/>
      <c r="U969" s="82"/>
      <c r="V969" s="82"/>
    </row>
    <row r="970" spans="19:22" x14ac:dyDescent="0.25">
      <c r="S970" s="82"/>
      <c r="T970" s="82"/>
      <c r="U970" s="82"/>
      <c r="V970" s="82"/>
    </row>
    <row r="971" spans="19:22" x14ac:dyDescent="0.25">
      <c r="S971" s="82"/>
      <c r="T971" s="82"/>
      <c r="U971" s="82"/>
      <c r="V971" s="82"/>
    </row>
    <row r="972" spans="19:22" x14ac:dyDescent="0.25">
      <c r="S972" s="82"/>
      <c r="T972" s="82"/>
      <c r="U972" s="82"/>
      <c r="V972" s="82"/>
    </row>
    <row r="973" spans="19:22" x14ac:dyDescent="0.25">
      <c r="S973" s="82"/>
      <c r="T973" s="82"/>
      <c r="U973" s="82"/>
      <c r="V973" s="82"/>
    </row>
    <row r="974" spans="19:22" x14ac:dyDescent="0.25">
      <c r="S974" s="82"/>
      <c r="T974" s="82"/>
      <c r="U974" s="82"/>
      <c r="V974" s="82"/>
    </row>
    <row r="975" spans="19:22" x14ac:dyDescent="0.25">
      <c r="S975" s="82"/>
      <c r="T975" s="82"/>
      <c r="U975" s="82"/>
      <c r="V975" s="82"/>
    </row>
    <row r="976" spans="19:22" x14ac:dyDescent="0.25">
      <c r="S976" s="82"/>
      <c r="T976" s="82"/>
      <c r="U976" s="82"/>
      <c r="V976" s="82"/>
    </row>
    <row r="977" spans="19:22" x14ac:dyDescent="0.25">
      <c r="S977" s="82"/>
      <c r="T977" s="82"/>
      <c r="U977" s="82"/>
      <c r="V977" s="82"/>
    </row>
    <row r="978" spans="19:22" x14ac:dyDescent="0.25">
      <c r="S978" s="82"/>
      <c r="T978" s="82"/>
      <c r="U978" s="82"/>
      <c r="V978" s="82"/>
    </row>
    <row r="979" spans="19:22" x14ac:dyDescent="0.25">
      <c r="S979" s="82"/>
      <c r="T979" s="82"/>
      <c r="U979" s="82"/>
      <c r="V979" s="82"/>
    </row>
    <row r="980" spans="19:22" x14ac:dyDescent="0.25">
      <c r="S980" s="82"/>
      <c r="T980" s="82"/>
      <c r="U980" s="82"/>
      <c r="V980" s="82"/>
    </row>
    <row r="981" spans="19:22" x14ac:dyDescent="0.25">
      <c r="S981" s="82"/>
      <c r="T981" s="82"/>
      <c r="U981" s="82"/>
      <c r="V981" s="82"/>
    </row>
    <row r="982" spans="19:22" x14ac:dyDescent="0.25">
      <c r="S982" s="82"/>
      <c r="T982" s="82"/>
      <c r="U982" s="82"/>
      <c r="V982" s="82"/>
    </row>
    <row r="983" spans="19:22" x14ac:dyDescent="0.25">
      <c r="S983" s="82"/>
      <c r="T983" s="82"/>
      <c r="U983" s="82"/>
      <c r="V983" s="82"/>
    </row>
    <row r="984" spans="19:22" x14ac:dyDescent="0.25">
      <c r="S984" s="82"/>
      <c r="T984" s="82"/>
      <c r="U984" s="82"/>
      <c r="V984" s="82"/>
    </row>
    <row r="985" spans="19:22" x14ac:dyDescent="0.25">
      <c r="S985" s="82"/>
      <c r="T985" s="82"/>
      <c r="U985" s="82"/>
      <c r="V985" s="82"/>
    </row>
    <row r="986" spans="19:22" x14ac:dyDescent="0.25">
      <c r="S986" s="82"/>
      <c r="T986" s="82"/>
      <c r="U986" s="82"/>
      <c r="V986" s="82"/>
    </row>
    <row r="987" spans="19:22" x14ac:dyDescent="0.25">
      <c r="S987" s="82"/>
      <c r="T987" s="82"/>
      <c r="U987" s="82"/>
      <c r="V987" s="82"/>
    </row>
    <row r="988" spans="19:22" x14ac:dyDescent="0.25">
      <c r="S988" s="82"/>
      <c r="T988" s="82"/>
      <c r="U988" s="82"/>
      <c r="V988" s="82"/>
    </row>
    <row r="989" spans="19:22" x14ac:dyDescent="0.25">
      <c r="S989" s="82"/>
      <c r="T989" s="82"/>
      <c r="U989" s="82"/>
      <c r="V989" s="82"/>
    </row>
    <row r="990" spans="19:22" x14ac:dyDescent="0.25">
      <c r="S990" s="82"/>
      <c r="T990" s="82"/>
      <c r="U990" s="82"/>
      <c r="V990" s="82"/>
    </row>
    <row r="991" spans="19:22" x14ac:dyDescent="0.25">
      <c r="S991" s="82"/>
      <c r="T991" s="82"/>
      <c r="U991" s="82"/>
      <c r="V991" s="82"/>
    </row>
    <row r="992" spans="19:22" x14ac:dyDescent="0.25">
      <c r="S992" s="82"/>
      <c r="T992" s="82"/>
      <c r="U992" s="82"/>
      <c r="V992" s="82"/>
    </row>
    <row r="993" spans="19:22" x14ac:dyDescent="0.25">
      <c r="S993" s="82"/>
      <c r="T993" s="82"/>
      <c r="U993" s="82"/>
      <c r="V993" s="82"/>
    </row>
    <row r="994" spans="19:22" x14ac:dyDescent="0.25">
      <c r="S994" s="82"/>
      <c r="T994" s="82"/>
      <c r="U994" s="82"/>
      <c r="V994" s="82"/>
    </row>
    <row r="995" spans="19:22" x14ac:dyDescent="0.25">
      <c r="S995" s="82"/>
      <c r="T995" s="82"/>
      <c r="U995" s="82"/>
      <c r="V995" s="82"/>
    </row>
    <row r="996" spans="19:22" x14ac:dyDescent="0.25">
      <c r="S996" s="82"/>
      <c r="T996" s="82"/>
      <c r="U996" s="82"/>
      <c r="V996" s="82"/>
    </row>
    <row r="997" spans="19:22" x14ac:dyDescent="0.25">
      <c r="S997" s="82"/>
      <c r="T997" s="82"/>
      <c r="U997" s="82"/>
      <c r="V997" s="82"/>
    </row>
    <row r="998" spans="19:22" x14ac:dyDescent="0.25">
      <c r="S998" s="82"/>
      <c r="T998" s="82"/>
      <c r="U998" s="82"/>
      <c r="V998" s="82"/>
    </row>
    <row r="999" spans="19:22" x14ac:dyDescent="0.25">
      <c r="S999" s="82"/>
      <c r="T999" s="82"/>
      <c r="U999" s="82"/>
      <c r="V999" s="82"/>
    </row>
    <row r="1000" spans="19:22" x14ac:dyDescent="0.25">
      <c r="S1000" s="82"/>
      <c r="T1000" s="82"/>
      <c r="U1000" s="82"/>
      <c r="V1000" s="82"/>
    </row>
    <row r="1001" spans="19:22" x14ac:dyDescent="0.25">
      <c r="S1001" s="82"/>
      <c r="T1001" s="82"/>
      <c r="U1001" s="82"/>
      <c r="V1001" s="82"/>
    </row>
  </sheetData>
  <mergeCells count="34">
    <mergeCell ref="A1:X1"/>
    <mergeCell ref="A2:X2"/>
    <mergeCell ref="N3:O3"/>
    <mergeCell ref="S33:T33"/>
    <mergeCell ref="F3:G3"/>
    <mergeCell ref="H3:I3"/>
    <mergeCell ref="J3:K3"/>
    <mergeCell ref="L3:M3"/>
    <mergeCell ref="A3:A4"/>
    <mergeCell ref="B3:B4"/>
    <mergeCell ref="C3:C4"/>
    <mergeCell ref="D3:D4"/>
    <mergeCell ref="E3:E4"/>
    <mergeCell ref="Q3:X3"/>
    <mergeCell ref="Q7:Q8"/>
    <mergeCell ref="L58:M58"/>
    <mergeCell ref="L63:M63"/>
    <mergeCell ref="L62:M62"/>
    <mergeCell ref="L61:M61"/>
    <mergeCell ref="L60:M60"/>
    <mergeCell ref="L59:M59"/>
    <mergeCell ref="W15:W17"/>
    <mergeCell ref="V15:V17"/>
    <mergeCell ref="U15:U17"/>
    <mergeCell ref="R15:R17"/>
    <mergeCell ref="T15:T17"/>
    <mergeCell ref="S15:S17"/>
    <mergeCell ref="W7:W8"/>
    <mergeCell ref="X13:X14"/>
    <mergeCell ref="R7:R8"/>
    <mergeCell ref="S7:S8"/>
    <mergeCell ref="T7:T8"/>
    <mergeCell ref="U7:U8"/>
    <mergeCell ref="V7:V8"/>
  </mergeCells>
  <conditionalFormatting sqref="N63:O63">
    <cfRule type="cellIs" dxfId="112" priority="1" operator="greaterThan">
      <formula>0</formula>
    </cfRule>
    <cfRule type="cellIs" dxfId="111" priority="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B2:K180"/>
  <sheetViews>
    <sheetView showGridLines="0" workbookViewId="0">
      <pane ySplit="2" topLeftCell="A3" activePane="bottomLeft" state="frozen"/>
      <selection pane="bottomLeft" activeCell="K23" sqref="K23"/>
    </sheetView>
  </sheetViews>
  <sheetFormatPr defaultRowHeight="15" customHeight="1" x14ac:dyDescent="0.25"/>
  <cols>
    <col min="1" max="1" width="2.7109375" style="76" customWidth="1"/>
    <col min="2" max="2" width="28.140625" style="76" bestFit="1" customWidth="1"/>
    <col min="3" max="3" width="35.7109375" style="3" customWidth="1"/>
    <col min="4" max="4" width="12" style="3" customWidth="1"/>
    <col min="5" max="5" width="13.28515625" style="3" bestFit="1" customWidth="1"/>
    <col min="6" max="6" width="2.140625" style="76" customWidth="1"/>
    <col min="7" max="7" width="18.28515625" style="76" bestFit="1" customWidth="1"/>
    <col min="8" max="8" width="14.140625" style="76" bestFit="1" customWidth="1"/>
    <col min="9" max="9" width="7" style="76" customWidth="1"/>
    <col min="10" max="10" width="9.140625" style="76"/>
    <col min="11" max="11" width="12.28515625" style="76" customWidth="1"/>
    <col min="12" max="16384" width="9.140625" style="76"/>
  </cols>
  <sheetData>
    <row r="2" spans="2:11" x14ac:dyDescent="0.25">
      <c r="B2" s="3" t="s">
        <v>78</v>
      </c>
      <c r="C2" s="3" t="s">
        <v>79</v>
      </c>
      <c r="D2" s="3" t="s">
        <v>80</v>
      </c>
      <c r="E2" s="3" t="s">
        <v>81</v>
      </c>
      <c r="G2" s="115" t="s">
        <v>82</v>
      </c>
      <c r="H2" s="76" t="s">
        <v>83</v>
      </c>
    </row>
    <row r="3" spans="2:11" x14ac:dyDescent="0.25">
      <c r="B3" s="108"/>
      <c r="C3" s="109"/>
      <c r="D3" s="110"/>
      <c r="E3" s="111"/>
      <c r="G3" s="75" t="s">
        <v>84</v>
      </c>
      <c r="H3" s="112"/>
    </row>
    <row r="4" spans="2:11" x14ac:dyDescent="0.25">
      <c r="B4" s="108"/>
      <c r="C4" s="109"/>
      <c r="D4" s="110"/>
      <c r="E4" s="111"/>
      <c r="G4" s="75" t="s">
        <v>85</v>
      </c>
      <c r="H4" s="112"/>
    </row>
    <row r="5" spans="2:11" x14ac:dyDescent="0.25">
      <c r="B5" s="108"/>
      <c r="C5" s="109"/>
      <c r="D5" s="110"/>
      <c r="E5" s="111"/>
      <c r="G5" s="81"/>
      <c r="H5" s="81"/>
    </row>
    <row r="6" spans="2:11" x14ac:dyDescent="0.25">
      <c r="B6" s="108"/>
      <c r="C6" s="109"/>
      <c r="D6" s="110"/>
      <c r="E6" s="111"/>
      <c r="G6" s="81"/>
      <c r="H6" s="81"/>
    </row>
    <row r="7" spans="2:11" x14ac:dyDescent="0.25">
      <c r="B7" s="108"/>
      <c r="C7" s="109"/>
      <c r="D7" s="110"/>
      <c r="E7" s="111"/>
      <c r="G7" s="81"/>
      <c r="H7" s="81"/>
      <c r="J7" s="318"/>
      <c r="K7" s="318"/>
    </row>
    <row r="8" spans="2:11" x14ac:dyDescent="0.25">
      <c r="B8" s="108"/>
      <c r="C8" s="109"/>
      <c r="D8" s="110"/>
      <c r="E8" s="111"/>
      <c r="G8" s="81"/>
      <c r="H8" s="81"/>
      <c r="J8" s="318"/>
      <c r="K8" s="318"/>
    </row>
    <row r="9" spans="2:11" x14ac:dyDescent="0.25">
      <c r="B9" s="108"/>
      <c r="C9" s="109"/>
      <c r="D9" s="110"/>
      <c r="E9" s="111"/>
      <c r="G9" s="81"/>
      <c r="H9" s="81"/>
    </row>
    <row r="10" spans="2:11" x14ac:dyDescent="0.25">
      <c r="B10" s="108"/>
      <c r="C10" s="109"/>
      <c r="D10" s="110"/>
      <c r="E10" s="111"/>
      <c r="G10" s="81"/>
      <c r="H10" s="81"/>
    </row>
    <row r="11" spans="2:11" x14ac:dyDescent="0.25">
      <c r="B11" s="108"/>
      <c r="C11" s="109"/>
      <c r="D11" s="110"/>
      <c r="E11" s="111"/>
      <c r="F11" s="112"/>
      <c r="G11" s="81"/>
      <c r="H11" s="81"/>
    </row>
    <row r="12" spans="2:11" x14ac:dyDescent="0.25">
      <c r="B12" s="108"/>
      <c r="C12" s="109"/>
      <c r="D12" s="110"/>
      <c r="E12" s="111"/>
    </row>
    <row r="13" spans="2:11" x14ac:dyDescent="0.25">
      <c r="B13" s="108"/>
      <c r="C13" s="109"/>
      <c r="D13" s="110"/>
      <c r="E13" s="111"/>
    </row>
    <row r="14" spans="2:11" x14ac:dyDescent="0.25">
      <c r="B14" s="108"/>
      <c r="C14" s="109"/>
      <c r="D14" s="110"/>
      <c r="E14" s="111"/>
    </row>
    <row r="15" spans="2:11" x14ac:dyDescent="0.25">
      <c r="B15" s="108"/>
      <c r="C15" s="109"/>
      <c r="D15" s="110"/>
      <c r="E15" s="111"/>
    </row>
    <row r="16" spans="2:11" x14ac:dyDescent="0.25">
      <c r="B16" s="108"/>
      <c r="C16" s="109"/>
      <c r="D16" s="110"/>
      <c r="E16" s="111"/>
    </row>
    <row r="17" spans="2:5" x14ac:dyDescent="0.25">
      <c r="B17" s="108"/>
      <c r="C17" s="109"/>
      <c r="D17" s="110"/>
      <c r="E17" s="111"/>
    </row>
    <row r="18" spans="2:5" x14ac:dyDescent="0.25">
      <c r="B18" s="108"/>
      <c r="C18" s="109"/>
      <c r="D18" s="110"/>
      <c r="E18" s="111"/>
    </row>
    <row r="19" spans="2:5" x14ac:dyDescent="0.25">
      <c r="B19" s="108"/>
      <c r="C19" s="109"/>
      <c r="D19" s="110"/>
      <c r="E19" s="111"/>
    </row>
    <row r="20" spans="2:5" x14ac:dyDescent="0.25">
      <c r="B20" s="108"/>
      <c r="C20" s="109"/>
      <c r="D20" s="110"/>
      <c r="E20" s="111"/>
    </row>
    <row r="21" spans="2:5" x14ac:dyDescent="0.25">
      <c r="B21" s="108"/>
      <c r="C21" s="109"/>
      <c r="D21" s="110"/>
      <c r="E21" s="111"/>
    </row>
    <row r="22" spans="2:5" x14ac:dyDescent="0.25">
      <c r="B22" s="108"/>
      <c r="C22" s="109"/>
      <c r="D22" s="110"/>
      <c r="E22" s="111"/>
    </row>
    <row r="23" spans="2:5" x14ac:dyDescent="0.25">
      <c r="B23" s="108"/>
      <c r="C23" s="109"/>
      <c r="D23" s="110"/>
      <c r="E23" s="111"/>
    </row>
    <row r="24" spans="2:5" x14ac:dyDescent="0.25">
      <c r="B24" s="108"/>
      <c r="C24" s="109"/>
      <c r="D24" s="110"/>
      <c r="E24" s="111"/>
    </row>
    <row r="25" spans="2:5" x14ac:dyDescent="0.25">
      <c r="B25" s="108"/>
      <c r="C25" s="109"/>
      <c r="D25" s="110"/>
      <c r="E25" s="111"/>
    </row>
    <row r="26" spans="2:5" x14ac:dyDescent="0.25">
      <c r="B26" s="108"/>
      <c r="C26" s="109"/>
      <c r="D26" s="110"/>
      <c r="E26" s="111"/>
    </row>
    <row r="27" spans="2:5" x14ac:dyDescent="0.25">
      <c r="B27" s="108"/>
      <c r="C27" s="109"/>
      <c r="D27" s="110"/>
      <c r="E27" s="111"/>
    </row>
    <row r="28" spans="2:5" x14ac:dyDescent="0.25">
      <c r="B28" s="108"/>
      <c r="C28" s="109"/>
      <c r="D28" s="110"/>
      <c r="E28" s="111"/>
    </row>
    <row r="29" spans="2:5" x14ac:dyDescent="0.25">
      <c r="B29" s="108"/>
      <c r="C29" s="109"/>
      <c r="D29" s="110"/>
      <c r="E29" s="111"/>
    </row>
    <row r="30" spans="2:5" x14ac:dyDescent="0.25">
      <c r="B30" s="108"/>
      <c r="C30" s="109"/>
      <c r="D30" s="110"/>
      <c r="E30" s="111"/>
    </row>
    <row r="31" spans="2:5" x14ac:dyDescent="0.25">
      <c r="B31" s="108"/>
      <c r="C31" s="109"/>
      <c r="D31" s="110"/>
      <c r="E31" s="111"/>
    </row>
    <row r="32" spans="2:5" x14ac:dyDescent="0.25">
      <c r="B32" s="108"/>
      <c r="C32" s="109"/>
      <c r="D32" s="110"/>
      <c r="E32" s="111"/>
    </row>
    <row r="33" spans="2:5" x14ac:dyDescent="0.25">
      <c r="B33" s="108"/>
      <c r="C33" s="109"/>
      <c r="D33" s="110"/>
      <c r="E33" s="111"/>
    </row>
    <row r="34" spans="2:5" x14ac:dyDescent="0.25">
      <c r="B34" s="108"/>
      <c r="C34" s="109"/>
      <c r="D34" s="110"/>
      <c r="E34" s="111"/>
    </row>
    <row r="35" spans="2:5" x14ac:dyDescent="0.25">
      <c r="B35" s="108"/>
      <c r="C35" s="113"/>
      <c r="D35" s="110"/>
      <c r="E35" s="111"/>
    </row>
    <row r="36" spans="2:5" x14ac:dyDescent="0.25">
      <c r="B36" s="108"/>
      <c r="C36" s="113"/>
      <c r="D36" s="110"/>
      <c r="E36" s="111"/>
    </row>
    <row r="37" spans="2:5" x14ac:dyDescent="0.25">
      <c r="B37" s="108"/>
      <c r="C37" s="113"/>
      <c r="D37" s="110"/>
      <c r="E37" s="111"/>
    </row>
    <row r="38" spans="2:5" x14ac:dyDescent="0.25">
      <c r="B38" s="108"/>
      <c r="C38" s="113"/>
      <c r="D38" s="110"/>
      <c r="E38" s="111"/>
    </row>
    <row r="39" spans="2:5" x14ac:dyDescent="0.25">
      <c r="B39" s="108"/>
      <c r="C39" s="113"/>
      <c r="D39" s="110"/>
      <c r="E39" s="111"/>
    </row>
    <row r="40" spans="2:5" x14ac:dyDescent="0.25">
      <c r="B40" s="108"/>
      <c r="C40" s="113"/>
      <c r="D40" s="110"/>
      <c r="E40" s="111"/>
    </row>
    <row r="41" spans="2:5" x14ac:dyDescent="0.25">
      <c r="B41" s="108"/>
      <c r="C41" s="113"/>
      <c r="D41" s="110"/>
      <c r="E41" s="111"/>
    </row>
    <row r="42" spans="2:5" x14ac:dyDescent="0.25">
      <c r="B42" s="108"/>
      <c r="C42" s="113"/>
      <c r="D42" s="110"/>
      <c r="E42" s="111"/>
    </row>
    <row r="43" spans="2:5" x14ac:dyDescent="0.25">
      <c r="B43" s="108"/>
      <c r="C43" s="113"/>
      <c r="D43" s="110"/>
      <c r="E43" s="111"/>
    </row>
    <row r="44" spans="2:5" x14ac:dyDescent="0.25">
      <c r="B44" s="108"/>
      <c r="C44" s="113"/>
      <c r="D44" s="110"/>
      <c r="E44" s="111"/>
    </row>
    <row r="45" spans="2:5" x14ac:dyDescent="0.25">
      <c r="B45" s="108"/>
      <c r="C45" s="113"/>
      <c r="D45" s="110"/>
      <c r="E45" s="111"/>
    </row>
    <row r="46" spans="2:5" x14ac:dyDescent="0.25">
      <c r="B46" s="108"/>
      <c r="C46" s="113"/>
      <c r="D46" s="110"/>
      <c r="E46" s="111"/>
    </row>
    <row r="47" spans="2:5" x14ac:dyDescent="0.25">
      <c r="B47" s="108"/>
      <c r="C47" s="113"/>
      <c r="D47" s="110"/>
      <c r="E47" s="111"/>
    </row>
    <row r="48" spans="2:5" x14ac:dyDescent="0.25">
      <c r="B48" s="108"/>
      <c r="C48" s="113"/>
      <c r="D48" s="110"/>
      <c r="E48" s="111"/>
    </row>
    <row r="49" spans="2:5" x14ac:dyDescent="0.25">
      <c r="B49" s="108"/>
      <c r="C49" s="113"/>
      <c r="D49" s="110"/>
      <c r="E49" s="111"/>
    </row>
    <row r="50" spans="2:5" x14ac:dyDescent="0.25">
      <c r="B50" s="108"/>
      <c r="C50" s="113"/>
      <c r="D50" s="110"/>
      <c r="E50" s="111"/>
    </row>
    <row r="51" spans="2:5" x14ac:dyDescent="0.25">
      <c r="B51" s="108"/>
      <c r="C51" s="113"/>
      <c r="D51" s="110"/>
      <c r="E51" s="111"/>
    </row>
    <row r="52" spans="2:5" x14ac:dyDescent="0.25">
      <c r="B52" s="108"/>
      <c r="C52" s="113"/>
      <c r="D52" s="110"/>
      <c r="E52" s="111"/>
    </row>
    <row r="53" spans="2:5" x14ac:dyDescent="0.25">
      <c r="B53" s="108"/>
      <c r="C53" s="113"/>
      <c r="D53" s="110"/>
      <c r="E53" s="111"/>
    </row>
    <row r="54" spans="2:5" x14ac:dyDescent="0.25">
      <c r="B54" s="108"/>
      <c r="C54" s="113"/>
      <c r="D54" s="110"/>
      <c r="E54" s="111"/>
    </row>
    <row r="55" spans="2:5" x14ac:dyDescent="0.25">
      <c r="B55" s="108"/>
      <c r="C55" s="113"/>
      <c r="D55" s="110"/>
      <c r="E55" s="111"/>
    </row>
    <row r="56" spans="2:5" x14ac:dyDescent="0.25">
      <c r="B56" s="114"/>
      <c r="C56" s="113"/>
      <c r="D56" s="110"/>
      <c r="E56" s="111"/>
    </row>
    <row r="57" spans="2:5" x14ac:dyDescent="0.25">
      <c r="B57" s="108"/>
      <c r="C57" s="113"/>
      <c r="D57" s="110"/>
      <c r="E57" s="111"/>
    </row>
    <row r="58" spans="2:5" x14ac:dyDescent="0.25">
      <c r="B58" s="108"/>
      <c r="C58" s="113"/>
      <c r="D58" s="110"/>
      <c r="E58" s="111"/>
    </row>
    <row r="59" spans="2:5" x14ac:dyDescent="0.25">
      <c r="B59" s="108"/>
      <c r="C59" s="113"/>
      <c r="D59" s="110"/>
      <c r="E59" s="111"/>
    </row>
    <row r="60" spans="2:5" x14ac:dyDescent="0.25">
      <c r="B60" s="108"/>
      <c r="C60" s="113"/>
      <c r="D60" s="110"/>
      <c r="E60" s="111"/>
    </row>
    <row r="61" spans="2:5" x14ac:dyDescent="0.25">
      <c r="B61" s="114"/>
      <c r="C61" s="113"/>
      <c r="D61" s="110"/>
      <c r="E61" s="111"/>
    </row>
    <row r="62" spans="2:5" x14ac:dyDescent="0.25">
      <c r="B62" s="108"/>
      <c r="C62" s="113"/>
      <c r="D62" s="110"/>
      <c r="E62" s="111"/>
    </row>
    <row r="63" spans="2:5" x14ac:dyDescent="0.25">
      <c r="B63" s="108"/>
      <c r="C63" s="113"/>
      <c r="D63" s="110"/>
      <c r="E63" s="111"/>
    </row>
    <row r="64" spans="2:5" x14ac:dyDescent="0.25">
      <c r="B64" s="108"/>
      <c r="C64" s="113"/>
      <c r="D64" s="110"/>
      <c r="E64" s="111"/>
    </row>
    <row r="65" spans="2:5" x14ac:dyDescent="0.25">
      <c r="B65" s="108"/>
      <c r="C65" s="113"/>
      <c r="D65" s="110"/>
      <c r="E65" s="111"/>
    </row>
    <row r="66" spans="2:5" x14ac:dyDescent="0.25">
      <c r="B66" s="108"/>
      <c r="C66" s="113"/>
      <c r="D66" s="110"/>
      <c r="E66" s="111"/>
    </row>
    <row r="67" spans="2:5" x14ac:dyDescent="0.25">
      <c r="B67" s="114"/>
      <c r="C67" s="113"/>
      <c r="D67" s="110"/>
      <c r="E67" s="111"/>
    </row>
    <row r="68" spans="2:5" x14ac:dyDescent="0.25">
      <c r="B68" s="108"/>
      <c r="C68" s="113"/>
      <c r="D68" s="110"/>
      <c r="E68" s="111"/>
    </row>
    <row r="69" spans="2:5" x14ac:dyDescent="0.25">
      <c r="B69" s="108"/>
      <c r="C69" s="113"/>
      <c r="D69" s="110"/>
      <c r="E69" s="111"/>
    </row>
    <row r="70" spans="2:5" x14ac:dyDescent="0.25">
      <c r="B70" s="108"/>
      <c r="C70" s="113"/>
      <c r="D70" s="110"/>
      <c r="E70" s="111"/>
    </row>
    <row r="71" spans="2:5" x14ac:dyDescent="0.25">
      <c r="B71" s="108"/>
      <c r="C71" s="113"/>
      <c r="D71" s="110"/>
      <c r="E71" s="111"/>
    </row>
    <row r="72" spans="2:5" x14ac:dyDescent="0.25">
      <c r="B72" s="114"/>
      <c r="C72" s="113"/>
      <c r="D72" s="110"/>
      <c r="E72" s="111"/>
    </row>
    <row r="73" spans="2:5" x14ac:dyDescent="0.25">
      <c r="B73" s="108"/>
      <c r="C73" s="113"/>
      <c r="D73" s="110"/>
      <c r="E73" s="111"/>
    </row>
    <row r="74" spans="2:5" x14ac:dyDescent="0.25">
      <c r="B74" s="108"/>
      <c r="C74" s="113"/>
      <c r="D74" s="110"/>
      <c r="E74" s="111"/>
    </row>
    <row r="75" spans="2:5" x14ac:dyDescent="0.25">
      <c r="B75" s="114"/>
      <c r="C75" s="113"/>
      <c r="D75" s="110"/>
      <c r="E75" s="111"/>
    </row>
    <row r="76" spans="2:5" x14ac:dyDescent="0.25">
      <c r="B76" s="108"/>
      <c r="C76" s="113"/>
      <c r="D76" s="110"/>
      <c r="E76" s="111"/>
    </row>
    <row r="77" spans="2:5" x14ac:dyDescent="0.25">
      <c r="B77" s="108"/>
      <c r="C77" s="113"/>
      <c r="D77" s="110"/>
      <c r="E77" s="111"/>
    </row>
    <row r="78" spans="2:5" x14ac:dyDescent="0.25">
      <c r="B78" s="114"/>
      <c r="C78" s="113"/>
      <c r="D78" s="110"/>
      <c r="E78" s="111"/>
    </row>
    <row r="79" spans="2:5" x14ac:dyDescent="0.25">
      <c r="B79" s="108"/>
      <c r="C79" s="113"/>
      <c r="D79" s="110"/>
      <c r="E79" s="111"/>
    </row>
    <row r="80" spans="2:5" x14ac:dyDescent="0.25">
      <c r="B80" s="108"/>
      <c r="C80" s="113"/>
      <c r="D80" s="110"/>
      <c r="E80" s="111"/>
    </row>
    <row r="81" spans="2:5" x14ac:dyDescent="0.25">
      <c r="B81" s="108"/>
      <c r="C81" s="113"/>
      <c r="D81" s="110"/>
      <c r="E81" s="111"/>
    </row>
    <row r="82" spans="2:5" x14ac:dyDescent="0.25">
      <c r="B82" s="108"/>
      <c r="C82" s="113"/>
      <c r="D82" s="110"/>
      <c r="E82" s="111"/>
    </row>
    <row r="83" spans="2:5" x14ac:dyDescent="0.25">
      <c r="B83" s="108"/>
      <c r="C83" s="113"/>
      <c r="D83" s="110"/>
      <c r="E83" s="111"/>
    </row>
    <row r="84" spans="2:5" x14ac:dyDescent="0.25">
      <c r="B84" s="114"/>
      <c r="C84" s="113"/>
      <c r="D84" s="110"/>
      <c r="E84" s="111"/>
    </row>
    <row r="85" spans="2:5" x14ac:dyDescent="0.25">
      <c r="B85" s="108"/>
      <c r="C85" s="113"/>
      <c r="D85" s="110"/>
      <c r="E85" s="111"/>
    </row>
    <row r="86" spans="2:5" x14ac:dyDescent="0.25">
      <c r="B86" s="108"/>
      <c r="C86" s="113"/>
      <c r="D86" s="110"/>
      <c r="E86" s="111"/>
    </row>
    <row r="87" spans="2:5" x14ac:dyDescent="0.25">
      <c r="B87" s="108"/>
      <c r="C87" s="113"/>
      <c r="D87" s="110"/>
      <c r="E87" s="111"/>
    </row>
    <row r="88" spans="2:5" x14ac:dyDescent="0.25">
      <c r="B88" s="108"/>
      <c r="C88" s="113"/>
      <c r="D88" s="110"/>
      <c r="E88" s="111"/>
    </row>
    <row r="89" spans="2:5" x14ac:dyDescent="0.25">
      <c r="B89" s="108"/>
      <c r="C89" s="113"/>
      <c r="D89" s="110"/>
      <c r="E89" s="111"/>
    </row>
    <row r="90" spans="2:5" x14ac:dyDescent="0.25">
      <c r="B90" s="114"/>
      <c r="C90" s="113"/>
      <c r="D90" s="110"/>
      <c r="E90" s="111"/>
    </row>
    <row r="91" spans="2:5" x14ac:dyDescent="0.25">
      <c r="B91" s="108"/>
      <c r="C91" s="113"/>
      <c r="D91" s="110"/>
      <c r="E91" s="111"/>
    </row>
    <row r="92" spans="2:5" x14ac:dyDescent="0.25">
      <c r="B92" s="108"/>
      <c r="C92" s="113"/>
      <c r="D92" s="110"/>
      <c r="E92" s="111"/>
    </row>
    <row r="93" spans="2:5" x14ac:dyDescent="0.25">
      <c r="B93" s="108"/>
      <c r="C93" s="113"/>
      <c r="D93" s="110"/>
      <c r="E93" s="111"/>
    </row>
    <row r="94" spans="2:5" x14ac:dyDescent="0.25">
      <c r="B94" s="108"/>
      <c r="C94" s="113"/>
      <c r="D94" s="110"/>
      <c r="E94" s="111"/>
    </row>
    <row r="95" spans="2:5" x14ac:dyDescent="0.25">
      <c r="B95" s="108"/>
      <c r="C95" s="113"/>
      <c r="D95" s="110"/>
      <c r="E95" s="111"/>
    </row>
    <row r="96" spans="2:5" x14ac:dyDescent="0.25">
      <c r="B96" s="108"/>
      <c r="C96" s="113"/>
      <c r="D96" s="110"/>
      <c r="E96" s="111"/>
    </row>
    <row r="97" spans="2:5" x14ac:dyDescent="0.25">
      <c r="B97" s="108"/>
      <c r="C97" s="113"/>
      <c r="D97" s="110"/>
      <c r="E97" s="111"/>
    </row>
    <row r="98" spans="2:5" x14ac:dyDescent="0.25">
      <c r="B98" s="108"/>
      <c r="C98" s="113"/>
      <c r="D98" s="110"/>
      <c r="E98" s="111"/>
    </row>
    <row r="99" spans="2:5" x14ac:dyDescent="0.25">
      <c r="B99" s="108"/>
      <c r="C99" s="113"/>
      <c r="D99" s="110"/>
      <c r="E99" s="111"/>
    </row>
    <row r="100" spans="2:5" x14ac:dyDescent="0.25">
      <c r="B100" s="108"/>
      <c r="C100" s="113"/>
      <c r="D100" s="110"/>
      <c r="E100" s="111"/>
    </row>
    <row r="101" spans="2:5" x14ac:dyDescent="0.25">
      <c r="B101" s="108"/>
      <c r="C101" s="113"/>
      <c r="D101" s="110"/>
      <c r="E101" s="111"/>
    </row>
    <row r="102" spans="2:5" x14ac:dyDescent="0.25">
      <c r="B102" s="108"/>
      <c r="C102" s="113"/>
      <c r="D102" s="110"/>
      <c r="E102" s="111"/>
    </row>
    <row r="103" spans="2:5" x14ac:dyDescent="0.25">
      <c r="B103" s="108"/>
      <c r="C103" s="113"/>
      <c r="D103" s="110"/>
      <c r="E103" s="111"/>
    </row>
    <row r="104" spans="2:5" x14ac:dyDescent="0.25">
      <c r="B104" s="108"/>
      <c r="C104" s="113"/>
      <c r="D104" s="110"/>
      <c r="E104" s="111"/>
    </row>
    <row r="105" spans="2:5" x14ac:dyDescent="0.25">
      <c r="B105" s="108"/>
      <c r="C105" s="113"/>
      <c r="D105" s="110"/>
      <c r="E105" s="111"/>
    </row>
    <row r="106" spans="2:5" x14ac:dyDescent="0.25">
      <c r="B106" s="108"/>
      <c r="C106" s="113"/>
      <c r="D106" s="110"/>
      <c r="E106" s="111"/>
    </row>
    <row r="107" spans="2:5" x14ac:dyDescent="0.25">
      <c r="B107" s="108"/>
      <c r="C107" s="113"/>
      <c r="D107" s="110"/>
      <c r="E107" s="111"/>
    </row>
    <row r="108" spans="2:5" x14ac:dyDescent="0.25">
      <c r="B108" s="108"/>
      <c r="C108" s="113"/>
      <c r="D108" s="110"/>
      <c r="E108" s="111"/>
    </row>
    <row r="109" spans="2:5" x14ac:dyDescent="0.25">
      <c r="B109" s="108"/>
      <c r="C109" s="113"/>
      <c r="D109" s="110"/>
      <c r="E109" s="111"/>
    </row>
    <row r="110" spans="2:5" x14ac:dyDescent="0.25">
      <c r="B110" s="108"/>
      <c r="C110" s="113"/>
      <c r="D110" s="110"/>
      <c r="E110" s="111"/>
    </row>
    <row r="111" spans="2:5" x14ac:dyDescent="0.25">
      <c r="B111" s="108"/>
      <c r="C111" s="113"/>
      <c r="D111" s="110"/>
      <c r="E111" s="111"/>
    </row>
    <row r="112" spans="2:5" x14ac:dyDescent="0.25">
      <c r="B112" s="108"/>
      <c r="C112" s="113"/>
      <c r="D112" s="110"/>
      <c r="E112" s="111"/>
    </row>
    <row r="113" spans="2:5" x14ac:dyDescent="0.25">
      <c r="B113" s="108"/>
      <c r="C113" s="113"/>
      <c r="D113" s="110"/>
      <c r="E113" s="111"/>
    </row>
    <row r="114" spans="2:5" x14ac:dyDescent="0.25">
      <c r="B114" s="108"/>
      <c r="C114" s="113"/>
      <c r="D114" s="110"/>
      <c r="E114" s="111"/>
    </row>
    <row r="115" spans="2:5" x14ac:dyDescent="0.25">
      <c r="B115" s="108"/>
      <c r="C115" s="113"/>
      <c r="D115" s="110"/>
      <c r="E115" s="111"/>
    </row>
    <row r="116" spans="2:5" x14ac:dyDescent="0.25">
      <c r="B116" s="108"/>
      <c r="C116" s="113"/>
      <c r="D116" s="110"/>
      <c r="E116" s="111"/>
    </row>
    <row r="117" spans="2:5" x14ac:dyDescent="0.25">
      <c r="B117" s="108"/>
      <c r="C117" s="113"/>
      <c r="D117" s="110"/>
      <c r="E117" s="111"/>
    </row>
    <row r="118" spans="2:5" x14ac:dyDescent="0.25">
      <c r="B118" s="108"/>
      <c r="C118" s="113"/>
      <c r="D118" s="110"/>
      <c r="E118" s="111"/>
    </row>
    <row r="119" spans="2:5" x14ac:dyDescent="0.25">
      <c r="B119" s="108"/>
      <c r="C119" s="113"/>
      <c r="D119" s="110"/>
      <c r="E119" s="111"/>
    </row>
    <row r="120" spans="2:5" x14ac:dyDescent="0.25">
      <c r="B120" s="108"/>
      <c r="C120" s="113"/>
      <c r="D120" s="110"/>
      <c r="E120" s="111"/>
    </row>
    <row r="121" spans="2:5" x14ac:dyDescent="0.25">
      <c r="B121" s="108"/>
      <c r="C121" s="113"/>
      <c r="D121" s="110"/>
      <c r="E121" s="111"/>
    </row>
    <row r="122" spans="2:5" x14ac:dyDescent="0.25">
      <c r="B122" s="108"/>
      <c r="C122" s="113"/>
      <c r="D122" s="110"/>
      <c r="E122" s="111"/>
    </row>
    <row r="123" spans="2:5" x14ac:dyDescent="0.25">
      <c r="B123" s="108"/>
      <c r="C123" s="113"/>
      <c r="D123" s="110"/>
      <c r="E123" s="111"/>
    </row>
    <row r="124" spans="2:5" x14ac:dyDescent="0.25">
      <c r="B124" s="108"/>
      <c r="C124" s="113"/>
      <c r="D124" s="110"/>
      <c r="E124" s="111"/>
    </row>
    <row r="125" spans="2:5" x14ac:dyDescent="0.25">
      <c r="B125" s="108"/>
      <c r="C125" s="113"/>
      <c r="D125" s="110"/>
      <c r="E125" s="111"/>
    </row>
    <row r="126" spans="2:5" x14ac:dyDescent="0.25">
      <c r="B126" s="108"/>
      <c r="C126" s="113"/>
      <c r="D126" s="110"/>
      <c r="E126" s="111"/>
    </row>
    <row r="127" spans="2:5" x14ac:dyDescent="0.25">
      <c r="B127" s="108"/>
      <c r="C127" s="113"/>
      <c r="D127" s="110"/>
      <c r="E127" s="111"/>
    </row>
    <row r="128" spans="2:5" x14ac:dyDescent="0.25">
      <c r="B128" s="108"/>
      <c r="C128" s="113"/>
      <c r="D128" s="110"/>
      <c r="E128" s="111"/>
    </row>
    <row r="129" spans="2:5" x14ac:dyDescent="0.25">
      <c r="B129" s="108"/>
      <c r="C129" s="113"/>
      <c r="D129" s="110"/>
      <c r="E129" s="111"/>
    </row>
    <row r="130" spans="2:5" x14ac:dyDescent="0.25">
      <c r="B130" s="108"/>
      <c r="C130" s="113"/>
      <c r="D130" s="110"/>
      <c r="E130" s="111"/>
    </row>
    <row r="131" spans="2:5" x14ac:dyDescent="0.25">
      <c r="B131" s="108"/>
      <c r="C131" s="113"/>
      <c r="D131" s="110"/>
      <c r="E131" s="111"/>
    </row>
    <row r="132" spans="2:5" x14ac:dyDescent="0.25">
      <c r="B132" s="108"/>
      <c r="C132" s="113"/>
      <c r="D132" s="110"/>
      <c r="E132" s="111"/>
    </row>
    <row r="133" spans="2:5" x14ac:dyDescent="0.25">
      <c r="B133" s="108"/>
      <c r="C133" s="113"/>
      <c r="D133" s="110"/>
      <c r="E133" s="111"/>
    </row>
    <row r="134" spans="2:5" x14ac:dyDescent="0.25">
      <c r="B134" s="108"/>
      <c r="C134" s="113"/>
      <c r="D134" s="110"/>
      <c r="E134" s="111"/>
    </row>
    <row r="135" spans="2:5" x14ac:dyDescent="0.25">
      <c r="B135" s="108"/>
      <c r="C135" s="113"/>
      <c r="D135" s="110"/>
      <c r="E135" s="111"/>
    </row>
    <row r="136" spans="2:5" x14ac:dyDescent="0.25">
      <c r="B136" s="108"/>
      <c r="C136" s="113"/>
      <c r="D136" s="110"/>
      <c r="E136" s="111"/>
    </row>
    <row r="137" spans="2:5" x14ac:dyDescent="0.25">
      <c r="B137" s="108"/>
      <c r="C137" s="113"/>
      <c r="D137" s="110"/>
      <c r="E137" s="111"/>
    </row>
    <row r="138" spans="2:5" x14ac:dyDescent="0.25">
      <c r="B138" s="108"/>
      <c r="C138" s="113"/>
      <c r="D138" s="110"/>
      <c r="E138" s="111"/>
    </row>
    <row r="139" spans="2:5" x14ac:dyDescent="0.25">
      <c r="B139" s="108"/>
      <c r="C139" s="113"/>
      <c r="D139" s="110"/>
      <c r="E139" s="111"/>
    </row>
    <row r="140" spans="2:5" x14ac:dyDescent="0.25">
      <c r="B140" s="108"/>
      <c r="C140" s="113"/>
      <c r="D140" s="110"/>
      <c r="E140" s="111"/>
    </row>
    <row r="141" spans="2:5" x14ac:dyDescent="0.25">
      <c r="B141" s="108"/>
      <c r="C141" s="113"/>
      <c r="D141" s="110"/>
      <c r="E141" s="111"/>
    </row>
    <row r="142" spans="2:5" x14ac:dyDescent="0.25">
      <c r="B142" s="108"/>
      <c r="C142" s="113"/>
      <c r="D142" s="110"/>
      <c r="E142" s="111"/>
    </row>
    <row r="143" spans="2:5" x14ac:dyDescent="0.25">
      <c r="B143" s="108"/>
      <c r="C143" s="113"/>
      <c r="D143" s="110"/>
      <c r="E143" s="111"/>
    </row>
    <row r="144" spans="2:5" x14ac:dyDescent="0.25">
      <c r="B144" s="108"/>
      <c r="C144" s="113"/>
      <c r="D144" s="110"/>
      <c r="E144" s="111"/>
    </row>
    <row r="145" spans="2:5" x14ac:dyDescent="0.25">
      <c r="B145" s="108"/>
      <c r="C145" s="113"/>
      <c r="D145" s="110"/>
      <c r="E145" s="111"/>
    </row>
    <row r="146" spans="2:5" x14ac:dyDescent="0.25">
      <c r="B146" s="108"/>
      <c r="C146" s="113"/>
      <c r="D146" s="110"/>
      <c r="E146" s="111"/>
    </row>
    <row r="147" spans="2:5" x14ac:dyDescent="0.25">
      <c r="B147" s="108"/>
      <c r="C147" s="113"/>
      <c r="D147" s="110"/>
      <c r="E147" s="111"/>
    </row>
    <row r="148" spans="2:5" x14ac:dyDescent="0.25">
      <c r="B148" s="108"/>
      <c r="C148" s="113"/>
      <c r="D148" s="110"/>
      <c r="E148" s="111"/>
    </row>
    <row r="149" spans="2:5" x14ac:dyDescent="0.25">
      <c r="B149" s="108"/>
      <c r="C149" s="113"/>
      <c r="D149" s="110"/>
      <c r="E149" s="111"/>
    </row>
    <row r="150" spans="2:5" x14ac:dyDescent="0.25">
      <c r="B150" s="108"/>
      <c r="C150" s="113"/>
      <c r="D150" s="110"/>
      <c r="E150" s="111"/>
    </row>
    <row r="151" spans="2:5" x14ac:dyDescent="0.25">
      <c r="B151" s="108"/>
      <c r="C151" s="113"/>
      <c r="D151" s="110"/>
      <c r="E151" s="111"/>
    </row>
    <row r="152" spans="2:5" x14ac:dyDescent="0.25">
      <c r="B152" s="108"/>
      <c r="C152" s="113"/>
      <c r="D152" s="110"/>
      <c r="E152" s="111"/>
    </row>
    <row r="153" spans="2:5" x14ac:dyDescent="0.25">
      <c r="B153" s="108"/>
      <c r="C153" s="113"/>
      <c r="D153" s="110"/>
      <c r="E153" s="111"/>
    </row>
    <row r="154" spans="2:5" x14ac:dyDescent="0.25">
      <c r="B154" s="108"/>
      <c r="C154" s="113"/>
      <c r="D154" s="110"/>
      <c r="E154" s="111"/>
    </row>
    <row r="155" spans="2:5" x14ac:dyDescent="0.25">
      <c r="B155" s="108"/>
      <c r="C155" s="113"/>
      <c r="D155" s="110"/>
      <c r="E155" s="111"/>
    </row>
    <row r="156" spans="2:5" x14ac:dyDescent="0.25">
      <c r="B156" s="108"/>
      <c r="C156" s="113"/>
      <c r="D156" s="110"/>
      <c r="E156" s="111"/>
    </row>
    <row r="157" spans="2:5" x14ac:dyDescent="0.25">
      <c r="B157" s="108"/>
      <c r="C157" s="113"/>
      <c r="D157" s="110"/>
      <c r="E157" s="111"/>
    </row>
    <row r="158" spans="2:5" x14ac:dyDescent="0.25">
      <c r="B158" s="108"/>
      <c r="C158" s="113"/>
      <c r="D158" s="110"/>
      <c r="E158" s="111"/>
    </row>
    <row r="159" spans="2:5" x14ac:dyDescent="0.25">
      <c r="B159" s="108"/>
      <c r="C159" s="113"/>
      <c r="D159" s="110"/>
      <c r="E159" s="111"/>
    </row>
    <row r="160" spans="2:5" x14ac:dyDescent="0.25">
      <c r="B160" s="108"/>
      <c r="C160" s="113"/>
      <c r="D160" s="110"/>
      <c r="E160" s="111"/>
    </row>
    <row r="161" spans="2:5" x14ac:dyDescent="0.25">
      <c r="B161" s="108"/>
      <c r="C161" s="113"/>
      <c r="D161" s="110"/>
      <c r="E161" s="111"/>
    </row>
    <row r="162" spans="2:5" x14ac:dyDescent="0.25">
      <c r="B162" s="108"/>
      <c r="C162" s="113"/>
      <c r="D162" s="110"/>
      <c r="E162" s="111"/>
    </row>
    <row r="163" spans="2:5" x14ac:dyDescent="0.25">
      <c r="B163" s="108"/>
      <c r="C163" s="113"/>
      <c r="D163" s="110"/>
      <c r="E163" s="111"/>
    </row>
    <row r="164" spans="2:5" x14ac:dyDescent="0.25">
      <c r="B164" s="108"/>
      <c r="C164" s="113"/>
      <c r="D164" s="110"/>
      <c r="E164" s="111"/>
    </row>
    <row r="165" spans="2:5" x14ac:dyDescent="0.25">
      <c r="B165" s="108"/>
      <c r="C165" s="113"/>
      <c r="D165" s="110"/>
      <c r="E165" s="111"/>
    </row>
    <row r="166" spans="2:5" x14ac:dyDescent="0.25">
      <c r="B166" s="108"/>
      <c r="C166" s="113"/>
      <c r="D166" s="110"/>
      <c r="E166" s="111"/>
    </row>
    <row r="167" spans="2:5" x14ac:dyDescent="0.25">
      <c r="B167" s="108"/>
      <c r="C167" s="113"/>
      <c r="D167" s="110"/>
      <c r="E167" s="111"/>
    </row>
    <row r="168" spans="2:5" x14ac:dyDescent="0.25">
      <c r="B168" s="108"/>
      <c r="C168" s="113"/>
      <c r="D168" s="110"/>
      <c r="E168" s="111"/>
    </row>
    <row r="169" spans="2:5" x14ac:dyDescent="0.25">
      <c r="B169" s="108"/>
      <c r="C169" s="113"/>
      <c r="D169" s="110"/>
      <c r="E169" s="111"/>
    </row>
    <row r="170" spans="2:5" x14ac:dyDescent="0.25">
      <c r="B170" s="108"/>
      <c r="C170" s="113"/>
      <c r="D170" s="110"/>
      <c r="E170" s="111"/>
    </row>
    <row r="171" spans="2:5" x14ac:dyDescent="0.25">
      <c r="B171" s="108"/>
      <c r="C171" s="113"/>
      <c r="D171" s="110"/>
      <c r="E171" s="111"/>
    </row>
    <row r="172" spans="2:5" x14ac:dyDescent="0.25">
      <c r="B172" s="108"/>
      <c r="C172" s="113"/>
      <c r="D172" s="110"/>
      <c r="E172" s="111"/>
    </row>
    <row r="173" spans="2:5" x14ac:dyDescent="0.25">
      <c r="B173" s="108"/>
      <c r="C173" s="113"/>
      <c r="D173" s="110"/>
      <c r="E173" s="111"/>
    </row>
    <row r="174" spans="2:5" x14ac:dyDescent="0.25">
      <c r="B174" s="108"/>
      <c r="C174" s="113"/>
      <c r="D174" s="110"/>
      <c r="E174" s="111"/>
    </row>
    <row r="175" spans="2:5" x14ac:dyDescent="0.25">
      <c r="B175" s="108"/>
      <c r="C175" s="113"/>
      <c r="D175" s="110"/>
      <c r="E175" s="111"/>
    </row>
    <row r="176" spans="2:5" x14ac:dyDescent="0.25">
      <c r="B176" s="108"/>
      <c r="C176" s="113"/>
      <c r="D176" s="110"/>
      <c r="E176" s="111"/>
    </row>
    <row r="177" spans="2:5" x14ac:dyDescent="0.25">
      <c r="B177" s="114"/>
      <c r="C177" s="113"/>
      <c r="D177" s="113"/>
      <c r="E177" s="111"/>
    </row>
    <row r="178" spans="2:5" x14ac:dyDescent="0.25">
      <c r="B178" s="114"/>
      <c r="C178" s="113"/>
      <c r="D178" s="113"/>
      <c r="E178" s="111"/>
    </row>
    <row r="179" spans="2:5" x14ac:dyDescent="0.25">
      <c r="B179" s="114"/>
      <c r="C179" s="113"/>
      <c r="D179" s="113"/>
      <c r="E179" s="111"/>
    </row>
    <row r="180" spans="2:5" x14ac:dyDescent="0.25">
      <c r="B180" s="114"/>
      <c r="C180" s="113"/>
      <c r="D180" s="113"/>
      <c r="E180" s="111"/>
    </row>
  </sheetData>
  <mergeCells count="1">
    <mergeCell ref="J7:K8"/>
  </mergeCells>
  <conditionalFormatting sqref="A1:XFD2 I3:XFD12 D11 A3:G6 F11:G12 A7:A12 C7:G10">
    <cfRule type="containsText" dxfId="110" priority="10" operator="containsText" text="Outros">
      <formula>NOT(ISERROR(SEARCH("Outros",A1)))</formula>
    </cfRule>
  </conditionalFormatting>
  <conditionalFormatting sqref="D15:D18 F13:XFD18 A13:A24 C19:XFD24 A25:XFD25 D28:XFD28 A32:XFD1048576 C29:XFD31 A26:A31 C26:XFD27">
    <cfRule type="containsText" dxfId="109" priority="9" operator="containsText" text="Outros">
      <formula>NOT(ISERROR(SEARCH("Outros",A13)))</formula>
    </cfRule>
  </conditionalFormatting>
  <conditionalFormatting sqref="C11:C14">
    <cfRule type="containsText" dxfId="108" priority="8" operator="containsText" text="Outros">
      <formula>NOT(ISERROR(SEARCH("Outros",C11)))</formula>
    </cfRule>
  </conditionalFormatting>
  <conditionalFormatting sqref="C15:C18">
    <cfRule type="containsText" dxfId="107" priority="7" operator="containsText" text="Outros">
      <formula>NOT(ISERROR(SEARCH("Outros",C15)))</formula>
    </cfRule>
  </conditionalFormatting>
  <conditionalFormatting sqref="D12:D14">
    <cfRule type="containsText" dxfId="106" priority="6" operator="containsText" text="Outros">
      <formula>NOT(ISERROR(SEARCH("Outros",D12)))</formula>
    </cfRule>
  </conditionalFormatting>
  <conditionalFormatting sqref="E11:E14">
    <cfRule type="containsText" dxfId="105" priority="5" operator="containsText" text="Outros">
      <formula>NOT(ISERROR(SEARCH("Outros",E11)))</formula>
    </cfRule>
  </conditionalFormatting>
  <conditionalFormatting sqref="E15:E18">
    <cfRule type="containsText" dxfId="104" priority="4" operator="containsText" text="Outros">
      <formula>NOT(ISERROR(SEARCH("Outros",E15)))</formula>
    </cfRule>
  </conditionalFormatting>
  <conditionalFormatting sqref="B7:B24">
    <cfRule type="containsText" dxfId="103" priority="3" operator="containsText" text="Outros">
      <formula>NOT(ISERROR(SEARCH("Outros",B7)))</formula>
    </cfRule>
  </conditionalFormatting>
  <conditionalFormatting sqref="C28">
    <cfRule type="containsText" dxfId="102" priority="2" operator="containsText" text="Outros">
      <formula>NOT(ISERROR(SEARCH("Outros",C28)))</formula>
    </cfRule>
  </conditionalFormatting>
  <conditionalFormatting sqref="B26:B31">
    <cfRule type="containsText" dxfId="101" priority="1" operator="containsText" text="Outros">
      <formula>NOT(ISERROR(SEARCH("Outros",B26)))</formula>
    </cfRule>
  </conditionalFormatting>
  <pageMargins left="0.511811024" right="0.511811024" top="0.78740157499999996" bottom="0.78740157499999996" header="0" footer="0"/>
  <pageSetup orientation="landscape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B2:I63"/>
  <sheetViews>
    <sheetView showGridLines="0" workbookViewId="0">
      <selection activeCell="G14" sqref="G14"/>
    </sheetView>
  </sheetViews>
  <sheetFormatPr defaultRowHeight="15" customHeight="1" x14ac:dyDescent="0.25"/>
  <cols>
    <col min="1" max="1" width="2.7109375" style="76" customWidth="1"/>
    <col min="2" max="2" width="21.28515625" style="76" customWidth="1"/>
    <col min="3" max="3" width="48.42578125" style="76" customWidth="1"/>
    <col min="4" max="4" width="13" style="77" customWidth="1"/>
    <col min="5" max="5" width="14.28515625" style="116" bestFit="1" customWidth="1"/>
    <col min="6" max="6" width="2.7109375" style="76" customWidth="1"/>
    <col min="7" max="7" width="18.28515625" style="76" bestFit="1" customWidth="1"/>
    <col min="8" max="8" width="14.140625" style="76" bestFit="1" customWidth="1"/>
    <col min="9" max="16384" width="9.140625" style="76"/>
  </cols>
  <sheetData>
    <row r="2" spans="2:9" x14ac:dyDescent="0.25">
      <c r="B2" s="3" t="s">
        <v>78</v>
      </c>
      <c r="C2" s="3" t="s">
        <v>79</v>
      </c>
      <c r="D2" s="77" t="s">
        <v>80</v>
      </c>
      <c r="E2" s="117" t="s">
        <v>81</v>
      </c>
      <c r="G2" s="115" t="s">
        <v>82</v>
      </c>
      <c r="H2" s="76" t="s">
        <v>83</v>
      </c>
    </row>
    <row r="3" spans="2:9" x14ac:dyDescent="0.25">
      <c r="B3" s="114"/>
      <c r="C3" s="114"/>
      <c r="D3" s="118"/>
      <c r="E3" s="119"/>
      <c r="G3" s="75" t="s">
        <v>84</v>
      </c>
      <c r="H3" s="112"/>
    </row>
    <row r="4" spans="2:9" x14ac:dyDescent="0.25">
      <c r="B4" s="114"/>
      <c r="C4" s="114"/>
      <c r="D4" s="118"/>
      <c r="E4" s="119"/>
      <c r="G4" s="75" t="s">
        <v>85</v>
      </c>
      <c r="H4" s="112"/>
    </row>
    <row r="5" spans="2:9" x14ac:dyDescent="0.25">
      <c r="B5" s="114"/>
      <c r="C5" s="114"/>
      <c r="D5" s="118"/>
      <c r="E5" s="119"/>
      <c r="G5" s="81"/>
      <c r="H5" s="81"/>
    </row>
    <row r="6" spans="2:9" x14ac:dyDescent="0.25">
      <c r="B6" s="114"/>
      <c r="C6" s="114"/>
      <c r="D6" s="118"/>
      <c r="E6" s="119"/>
      <c r="F6" s="112"/>
      <c r="G6" s="81"/>
      <c r="H6" s="81"/>
    </row>
    <row r="7" spans="2:9" x14ac:dyDescent="0.25">
      <c r="B7" s="114"/>
      <c r="E7" s="119"/>
      <c r="G7" s="81"/>
      <c r="H7" s="81"/>
    </row>
    <row r="8" spans="2:9" x14ac:dyDescent="0.25">
      <c r="B8" s="114"/>
      <c r="E8" s="119"/>
      <c r="G8" s="81"/>
      <c r="H8" s="81"/>
      <c r="I8" s="78"/>
    </row>
    <row r="9" spans="2:9" x14ac:dyDescent="0.25">
      <c r="B9" s="114"/>
      <c r="D9" s="118"/>
      <c r="E9" s="119"/>
      <c r="G9" s="81"/>
      <c r="H9" s="81"/>
    </row>
    <row r="10" spans="2:9" x14ac:dyDescent="0.25">
      <c r="B10" s="114"/>
      <c r="C10" s="114"/>
      <c r="D10" s="118"/>
      <c r="E10" s="119"/>
      <c r="G10" s="81"/>
      <c r="H10" s="81"/>
    </row>
    <row r="11" spans="2:9" x14ac:dyDescent="0.25">
      <c r="B11" s="114"/>
      <c r="C11" s="114"/>
      <c r="D11" s="118"/>
      <c r="E11" s="119"/>
      <c r="G11" s="81"/>
      <c r="H11" s="81"/>
    </row>
    <row r="12" spans="2:9" x14ac:dyDescent="0.25">
      <c r="B12" s="114"/>
      <c r="C12" s="114"/>
      <c r="D12" s="118"/>
      <c r="E12" s="119"/>
      <c r="G12" s="81"/>
      <c r="H12" s="81"/>
    </row>
    <row r="13" spans="2:9" x14ac:dyDescent="0.25">
      <c r="E13" s="117"/>
      <c r="G13" s="81"/>
      <c r="H13" s="81"/>
    </row>
    <row r="14" spans="2:9" x14ac:dyDescent="0.25">
      <c r="B14" s="114"/>
      <c r="C14" s="114"/>
      <c r="D14" s="118"/>
      <c r="E14" s="119"/>
      <c r="G14" s="81"/>
      <c r="H14" s="81"/>
    </row>
    <row r="15" spans="2:9" x14ac:dyDescent="0.25">
      <c r="B15" s="114"/>
      <c r="C15" s="114"/>
      <c r="D15" s="118"/>
      <c r="E15" s="117"/>
      <c r="G15" s="81"/>
      <c r="H15" s="81"/>
    </row>
    <row r="16" spans="2:9" x14ac:dyDescent="0.25">
      <c r="B16" s="114"/>
      <c r="C16" s="114"/>
      <c r="E16" s="117"/>
      <c r="G16" s="120"/>
    </row>
    <row r="17" spans="2:5" x14ac:dyDescent="0.25">
      <c r="B17" s="114"/>
      <c r="C17" s="114"/>
      <c r="D17" s="118"/>
      <c r="E17" s="117"/>
    </row>
    <row r="18" spans="2:5" x14ac:dyDescent="0.25">
      <c r="B18" s="114"/>
      <c r="E18" s="117"/>
    </row>
    <row r="19" spans="2:5" x14ac:dyDescent="0.25">
      <c r="E19" s="117"/>
    </row>
    <row r="20" spans="2:5" x14ac:dyDescent="0.25">
      <c r="B20" s="114"/>
      <c r="C20" s="114"/>
      <c r="D20" s="118"/>
      <c r="E20" s="117"/>
    </row>
    <row r="21" spans="2:5" x14ac:dyDescent="0.25">
      <c r="B21" s="114"/>
      <c r="C21" s="114"/>
      <c r="D21" s="118"/>
      <c r="E21" s="117"/>
    </row>
    <row r="22" spans="2:5" x14ac:dyDescent="0.25">
      <c r="E22" s="117"/>
    </row>
    <row r="23" spans="2:5" x14ac:dyDescent="0.25">
      <c r="D23" s="118"/>
      <c r="E23" s="119"/>
    </row>
    <row r="24" spans="2:5" x14ac:dyDescent="0.25">
      <c r="B24" s="114"/>
      <c r="C24" s="114"/>
      <c r="D24" s="118"/>
      <c r="E24" s="117"/>
    </row>
    <row r="25" spans="2:5" x14ac:dyDescent="0.25">
      <c r="B25" s="114"/>
      <c r="C25" s="114"/>
      <c r="D25" s="118"/>
      <c r="E25" s="117"/>
    </row>
    <row r="26" spans="2:5" x14ac:dyDescent="0.25">
      <c r="B26" s="114"/>
      <c r="C26" s="114"/>
      <c r="D26" s="118"/>
      <c r="E26" s="117"/>
    </row>
    <row r="27" spans="2:5" x14ac:dyDescent="0.25">
      <c r="B27" s="114"/>
      <c r="E27" s="117"/>
    </row>
    <row r="28" spans="2:5" x14ac:dyDescent="0.25">
      <c r="B28" s="114"/>
      <c r="E28" s="117"/>
    </row>
    <row r="29" spans="2:5" x14ac:dyDescent="0.25">
      <c r="B29" s="114"/>
      <c r="E29" s="117"/>
    </row>
    <row r="30" spans="2:5" x14ac:dyDescent="0.25">
      <c r="B30" s="114"/>
      <c r="E30" s="117"/>
    </row>
    <row r="31" spans="2:5" x14ac:dyDescent="0.25">
      <c r="B31" s="114"/>
      <c r="C31" s="114"/>
      <c r="D31" s="118"/>
      <c r="E31" s="117"/>
    </row>
    <row r="32" spans="2:5" x14ac:dyDescent="0.25">
      <c r="B32" s="114"/>
      <c r="C32" s="114"/>
      <c r="D32" s="118"/>
      <c r="E32" s="117"/>
    </row>
    <row r="33" spans="2:5" x14ac:dyDescent="0.25">
      <c r="B33" s="114"/>
      <c r="C33" s="114"/>
      <c r="D33" s="118"/>
      <c r="E33" s="117"/>
    </row>
    <row r="34" spans="2:5" x14ac:dyDescent="0.25">
      <c r="B34" s="114"/>
      <c r="C34" s="114"/>
      <c r="D34" s="118"/>
      <c r="E34" s="117"/>
    </row>
    <row r="35" spans="2:5" x14ac:dyDescent="0.25">
      <c r="B35" s="114"/>
      <c r="C35" s="114"/>
      <c r="D35" s="118"/>
      <c r="E35" s="117"/>
    </row>
    <row r="36" spans="2:5" x14ac:dyDescent="0.25">
      <c r="B36" s="114"/>
      <c r="E36" s="117"/>
    </row>
    <row r="37" spans="2:5" x14ac:dyDescent="0.25">
      <c r="B37" s="114"/>
      <c r="E37" s="117"/>
    </row>
    <row r="38" spans="2:5" x14ac:dyDescent="0.25">
      <c r="E38" s="117"/>
    </row>
    <row r="39" spans="2:5" x14ac:dyDescent="0.25">
      <c r="B39" s="114"/>
      <c r="E39" s="117"/>
    </row>
    <row r="40" spans="2:5" x14ac:dyDescent="0.25">
      <c r="B40" s="114"/>
      <c r="C40" s="114"/>
      <c r="D40" s="118"/>
      <c r="E40" s="117"/>
    </row>
    <row r="41" spans="2:5" x14ac:dyDescent="0.25">
      <c r="E41" s="117"/>
    </row>
    <row r="42" spans="2:5" x14ac:dyDescent="0.25">
      <c r="B42" s="114"/>
      <c r="C42" s="114"/>
      <c r="D42" s="118"/>
      <c r="E42" s="117"/>
    </row>
    <row r="43" spans="2:5" x14ac:dyDescent="0.25">
      <c r="B43" s="114"/>
      <c r="E43" s="117"/>
    </row>
    <row r="44" spans="2:5" x14ac:dyDescent="0.25">
      <c r="B44" s="114"/>
      <c r="C44" s="114"/>
      <c r="E44" s="117"/>
    </row>
    <row r="45" spans="2:5" x14ac:dyDescent="0.25">
      <c r="B45" s="114"/>
      <c r="C45" s="114"/>
      <c r="E45" s="117"/>
    </row>
    <row r="46" spans="2:5" x14ac:dyDescent="0.25">
      <c r="E46" s="117"/>
    </row>
    <row r="47" spans="2:5" x14ac:dyDescent="0.25">
      <c r="E47" s="117"/>
    </row>
    <row r="48" spans="2:5" x14ac:dyDescent="0.25">
      <c r="E48" s="117"/>
    </row>
    <row r="49" spans="2:5" x14ac:dyDescent="0.25">
      <c r="B49" s="114"/>
      <c r="E49" s="117"/>
    </row>
    <row r="50" spans="2:5" x14ac:dyDescent="0.25">
      <c r="B50" s="114"/>
      <c r="E50" s="117"/>
    </row>
    <row r="51" spans="2:5" x14ac:dyDescent="0.25">
      <c r="B51" s="114"/>
      <c r="E51" s="117"/>
    </row>
    <row r="52" spans="2:5" x14ac:dyDescent="0.25">
      <c r="B52" s="114"/>
      <c r="E52" s="117"/>
    </row>
    <row r="53" spans="2:5" x14ac:dyDescent="0.25">
      <c r="B53" s="114"/>
      <c r="E53" s="117"/>
    </row>
    <row r="54" spans="2:5" x14ac:dyDescent="0.25">
      <c r="B54" s="114"/>
      <c r="E54" s="117"/>
    </row>
    <row r="55" spans="2:5" x14ac:dyDescent="0.25">
      <c r="E55" s="117"/>
    </row>
    <row r="56" spans="2:5" x14ac:dyDescent="0.25">
      <c r="B56" s="121"/>
      <c r="C56" s="122"/>
      <c r="D56" s="123"/>
      <c r="E56" s="124"/>
    </row>
    <row r="57" spans="2:5" x14ac:dyDescent="0.25">
      <c r="B57" s="122"/>
      <c r="C57" s="122"/>
      <c r="D57" s="123"/>
      <c r="E57" s="124"/>
    </row>
    <row r="58" spans="2:5" x14ac:dyDescent="0.25">
      <c r="B58" s="122"/>
      <c r="C58" s="122"/>
      <c r="D58" s="123"/>
      <c r="E58" s="124"/>
    </row>
    <row r="59" spans="2:5" x14ac:dyDescent="0.25">
      <c r="E59" s="117"/>
    </row>
    <row r="60" spans="2:5" x14ac:dyDescent="0.25">
      <c r="E60" s="117"/>
    </row>
    <row r="61" spans="2:5" x14ac:dyDescent="0.25">
      <c r="E61" s="117"/>
    </row>
    <row r="62" spans="2:5" x14ac:dyDescent="0.25">
      <c r="E62" s="117"/>
    </row>
    <row r="63" spans="2:5" x14ac:dyDescent="0.25">
      <c r="E63" s="117"/>
    </row>
  </sheetData>
  <pageMargins left="0.511811024" right="0.511811024" top="0.78740157499999996" bottom="0.78740157499999996" header="0" footer="0"/>
  <pageSetup paperSize="9" orientation="portrait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</sheetPr>
  <dimension ref="B2:H218"/>
  <sheetViews>
    <sheetView showGridLines="0" workbookViewId="0">
      <pane ySplit="2" topLeftCell="A3" activePane="bottomLeft" state="frozen"/>
      <selection pane="bottomLeft" activeCell="H10" sqref="H10"/>
    </sheetView>
  </sheetViews>
  <sheetFormatPr defaultRowHeight="15" customHeight="1" x14ac:dyDescent="0.25"/>
  <cols>
    <col min="1" max="1" width="2.7109375" style="76" customWidth="1"/>
    <col min="2" max="2" width="19.140625" style="76" customWidth="1"/>
    <col min="3" max="3" width="48.42578125" style="80" customWidth="1"/>
    <col min="4" max="4" width="13.28515625" style="77" customWidth="1"/>
    <col min="5" max="5" width="14.28515625" style="3" bestFit="1" customWidth="1"/>
    <col min="6" max="6" width="2.42578125" style="76" customWidth="1"/>
    <col min="7" max="7" width="18.28515625" style="76" bestFit="1" customWidth="1"/>
    <col min="8" max="8" width="14.140625" style="76" bestFit="1" customWidth="1"/>
    <col min="9" max="16384" width="9.140625" style="76"/>
  </cols>
  <sheetData>
    <row r="2" spans="2:8" x14ac:dyDescent="0.25">
      <c r="B2" s="3" t="s">
        <v>78</v>
      </c>
      <c r="C2" s="3" t="s">
        <v>79</v>
      </c>
      <c r="D2" s="77" t="s">
        <v>80</v>
      </c>
      <c r="E2" s="3" t="s">
        <v>81</v>
      </c>
      <c r="G2" s="115" t="s">
        <v>82</v>
      </c>
      <c r="H2" s="76" t="s">
        <v>83</v>
      </c>
    </row>
    <row r="3" spans="2:8" x14ac:dyDescent="0.25">
      <c r="B3" s="76" t="s">
        <v>86</v>
      </c>
      <c r="C3" s="114" t="s">
        <v>87</v>
      </c>
      <c r="D3" s="110">
        <v>46184</v>
      </c>
      <c r="E3" s="125">
        <f>66+66+250</f>
        <v>382</v>
      </c>
      <c r="G3" s="75" t="s">
        <v>84</v>
      </c>
      <c r="H3" s="112"/>
    </row>
    <row r="4" spans="2:8" x14ac:dyDescent="0.25">
      <c r="C4" s="126"/>
      <c r="D4" s="110"/>
      <c r="E4" s="125"/>
      <c r="G4" s="75" t="s">
        <v>86</v>
      </c>
      <c r="H4" s="112">
        <v>382</v>
      </c>
    </row>
    <row r="5" spans="2:8" x14ac:dyDescent="0.25">
      <c r="C5" s="126"/>
      <c r="D5" s="110"/>
      <c r="E5" s="125"/>
      <c r="G5" s="75" t="s">
        <v>85</v>
      </c>
      <c r="H5" s="112">
        <v>382</v>
      </c>
    </row>
    <row r="6" spans="2:8" x14ac:dyDescent="0.25">
      <c r="C6" s="126"/>
      <c r="D6" s="110"/>
      <c r="E6" s="125"/>
      <c r="G6" s="81"/>
      <c r="H6" s="81"/>
    </row>
    <row r="7" spans="2:8" x14ac:dyDescent="0.25">
      <c r="C7" s="126"/>
      <c r="D7" s="110"/>
      <c r="E7" s="125"/>
      <c r="G7" s="81"/>
      <c r="H7" s="81"/>
    </row>
    <row r="8" spans="2:8" x14ac:dyDescent="0.25">
      <c r="C8" s="109"/>
      <c r="D8" s="110"/>
      <c r="E8" s="125"/>
      <c r="G8" s="81"/>
      <c r="H8" s="81"/>
    </row>
    <row r="9" spans="2:8" x14ac:dyDescent="0.25">
      <c r="C9" s="109"/>
      <c r="D9" s="110"/>
      <c r="E9" s="125"/>
      <c r="G9" s="81"/>
      <c r="H9" s="81"/>
    </row>
    <row r="10" spans="2:8" x14ac:dyDescent="0.25">
      <c r="C10" s="109"/>
      <c r="D10" s="110"/>
      <c r="E10" s="125"/>
      <c r="G10" s="81"/>
      <c r="H10" s="81"/>
    </row>
    <row r="11" spans="2:8" x14ac:dyDescent="0.25">
      <c r="C11" s="109"/>
      <c r="D11" s="110"/>
      <c r="E11" s="125"/>
      <c r="G11" s="81"/>
      <c r="H11" s="81"/>
    </row>
    <row r="12" spans="2:8" x14ac:dyDescent="0.25">
      <c r="C12" s="109"/>
      <c r="D12" s="110"/>
      <c r="E12" s="125"/>
      <c r="G12" s="81"/>
      <c r="H12" s="81"/>
    </row>
    <row r="13" spans="2:8" x14ac:dyDescent="0.25">
      <c r="C13" s="109"/>
      <c r="D13" s="110"/>
      <c r="E13" s="125"/>
      <c r="G13" s="81"/>
      <c r="H13" s="81"/>
    </row>
    <row r="14" spans="2:8" x14ac:dyDescent="0.25">
      <c r="C14" s="109"/>
      <c r="D14" s="110"/>
      <c r="E14" s="125"/>
    </row>
    <row r="15" spans="2:8" x14ac:dyDescent="0.25">
      <c r="C15" s="109"/>
      <c r="D15" s="110"/>
      <c r="E15" s="125"/>
    </row>
    <row r="16" spans="2:8" x14ac:dyDescent="0.25">
      <c r="C16" s="114"/>
      <c r="D16" s="110"/>
      <c r="E16" s="125"/>
    </row>
    <row r="17" spans="3:5" x14ac:dyDescent="0.25">
      <c r="C17" s="126"/>
      <c r="D17" s="110"/>
      <c r="E17" s="125"/>
    </row>
    <row r="18" spans="3:5" x14ac:dyDescent="0.25">
      <c r="C18" s="114"/>
      <c r="D18" s="110"/>
      <c r="E18" s="125"/>
    </row>
    <row r="19" spans="3:5" x14ac:dyDescent="0.25">
      <c r="C19" s="126"/>
      <c r="D19" s="110"/>
      <c r="E19" s="125"/>
    </row>
    <row r="20" spans="3:5" x14ac:dyDescent="0.25">
      <c r="C20" s="126"/>
      <c r="D20" s="110"/>
      <c r="E20" s="125"/>
    </row>
    <row r="21" spans="3:5" x14ac:dyDescent="0.25">
      <c r="C21" s="126"/>
      <c r="D21" s="110"/>
      <c r="E21" s="125"/>
    </row>
    <row r="22" spans="3:5" x14ac:dyDescent="0.25">
      <c r="C22" s="126"/>
      <c r="D22" s="110"/>
      <c r="E22" s="125"/>
    </row>
    <row r="23" spans="3:5" x14ac:dyDescent="0.25">
      <c r="C23" s="114"/>
      <c r="D23" s="110"/>
      <c r="E23" s="125"/>
    </row>
    <row r="24" spans="3:5" x14ac:dyDescent="0.25">
      <c r="C24" s="126"/>
      <c r="D24" s="110"/>
      <c r="E24" s="125"/>
    </row>
    <row r="25" spans="3:5" x14ac:dyDescent="0.25">
      <c r="C25" s="126"/>
      <c r="D25" s="110"/>
      <c r="E25" s="125"/>
    </row>
    <row r="26" spans="3:5" x14ac:dyDescent="0.25">
      <c r="C26" s="76"/>
      <c r="D26" s="110"/>
      <c r="E26" s="125"/>
    </row>
    <row r="27" spans="3:5" x14ac:dyDescent="0.25">
      <c r="C27" s="126"/>
      <c r="D27" s="110"/>
      <c r="E27" s="125"/>
    </row>
    <row r="28" spans="3:5" x14ac:dyDescent="0.25">
      <c r="C28" s="126"/>
      <c r="D28" s="110"/>
      <c r="E28" s="125"/>
    </row>
    <row r="29" spans="3:5" x14ac:dyDescent="0.25">
      <c r="C29" s="126"/>
      <c r="D29" s="110"/>
      <c r="E29" s="125"/>
    </row>
    <row r="30" spans="3:5" x14ac:dyDescent="0.25">
      <c r="C30" s="126"/>
      <c r="D30" s="110"/>
      <c r="E30" s="125"/>
    </row>
    <row r="31" spans="3:5" x14ac:dyDescent="0.25">
      <c r="C31" s="126"/>
      <c r="D31" s="110"/>
      <c r="E31" s="125"/>
    </row>
    <row r="32" spans="3:5" x14ac:dyDescent="0.25">
      <c r="C32" s="126"/>
      <c r="D32" s="110"/>
      <c r="E32" s="125"/>
    </row>
    <row r="33" spans="3:5" x14ac:dyDescent="0.25">
      <c r="C33" s="126"/>
      <c r="D33" s="110"/>
      <c r="E33" s="125"/>
    </row>
    <row r="34" spans="3:5" x14ac:dyDescent="0.25">
      <c r="C34" s="126"/>
      <c r="D34" s="110"/>
      <c r="E34" s="125"/>
    </row>
    <row r="35" spans="3:5" x14ac:dyDescent="0.25">
      <c r="C35" s="126"/>
      <c r="D35" s="110"/>
      <c r="E35" s="117"/>
    </row>
    <row r="36" spans="3:5" x14ac:dyDescent="0.25">
      <c r="C36" s="126"/>
      <c r="D36" s="110"/>
      <c r="E36" s="125"/>
    </row>
    <row r="37" spans="3:5" x14ac:dyDescent="0.25">
      <c r="C37" s="126"/>
      <c r="D37" s="110"/>
      <c r="E37" s="125"/>
    </row>
    <row r="38" spans="3:5" x14ac:dyDescent="0.25">
      <c r="C38" s="126"/>
      <c r="D38" s="110"/>
      <c r="E38" s="125"/>
    </row>
    <row r="39" spans="3:5" x14ac:dyDescent="0.25">
      <c r="C39" s="126"/>
      <c r="D39" s="110"/>
      <c r="E39" s="125"/>
    </row>
    <row r="40" spans="3:5" x14ac:dyDescent="0.25">
      <c r="C40" s="126"/>
      <c r="D40" s="110"/>
      <c r="E40" s="125"/>
    </row>
    <row r="41" spans="3:5" x14ac:dyDescent="0.25">
      <c r="C41" s="76"/>
      <c r="D41" s="110"/>
      <c r="E41" s="125"/>
    </row>
    <row r="42" spans="3:5" x14ac:dyDescent="0.25">
      <c r="C42" s="76"/>
      <c r="D42" s="110"/>
      <c r="E42" s="125"/>
    </row>
    <row r="43" spans="3:5" x14ac:dyDescent="0.25">
      <c r="C43" s="76"/>
      <c r="D43" s="110"/>
      <c r="E43" s="125"/>
    </row>
    <row r="44" spans="3:5" x14ac:dyDescent="0.25">
      <c r="C44" s="76"/>
      <c r="D44" s="110"/>
      <c r="E44" s="125"/>
    </row>
    <row r="45" spans="3:5" x14ac:dyDescent="0.25">
      <c r="C45" s="76"/>
      <c r="D45" s="110"/>
      <c r="E45" s="125"/>
    </row>
    <row r="46" spans="3:5" x14ac:dyDescent="0.25">
      <c r="C46" s="76"/>
      <c r="D46" s="110"/>
      <c r="E46" s="125"/>
    </row>
    <row r="47" spans="3:5" x14ac:dyDescent="0.25">
      <c r="C47" s="126"/>
      <c r="D47" s="110"/>
      <c r="E47" s="125"/>
    </row>
    <row r="48" spans="3:5" x14ac:dyDescent="0.25">
      <c r="C48" s="114"/>
      <c r="D48" s="110"/>
      <c r="E48" s="125"/>
    </row>
    <row r="49" spans="3:5" x14ac:dyDescent="0.25">
      <c r="C49" s="126"/>
      <c r="D49" s="110"/>
      <c r="E49" s="125"/>
    </row>
    <row r="50" spans="3:5" x14ac:dyDescent="0.25">
      <c r="C50" s="126"/>
      <c r="D50" s="110"/>
      <c r="E50" s="125"/>
    </row>
    <row r="51" spans="3:5" x14ac:dyDescent="0.25">
      <c r="C51" s="126"/>
      <c r="D51" s="110"/>
      <c r="E51" s="125"/>
    </row>
    <row r="52" spans="3:5" x14ac:dyDescent="0.25">
      <c r="C52" s="126"/>
      <c r="D52" s="110"/>
      <c r="E52" s="125"/>
    </row>
    <row r="53" spans="3:5" x14ac:dyDescent="0.25">
      <c r="C53" s="114"/>
      <c r="D53" s="110"/>
      <c r="E53" s="125"/>
    </row>
    <row r="54" spans="3:5" x14ac:dyDescent="0.25">
      <c r="C54" s="126"/>
      <c r="D54" s="110"/>
      <c r="E54" s="125"/>
    </row>
    <row r="55" spans="3:5" x14ac:dyDescent="0.25">
      <c r="C55" s="126"/>
      <c r="D55" s="110"/>
      <c r="E55" s="125"/>
    </row>
    <row r="56" spans="3:5" x14ac:dyDescent="0.25">
      <c r="C56" s="126"/>
      <c r="D56" s="110"/>
      <c r="E56" s="125"/>
    </row>
    <row r="57" spans="3:5" x14ac:dyDescent="0.25">
      <c r="C57" s="126"/>
      <c r="D57" s="110"/>
      <c r="E57" s="125"/>
    </row>
    <row r="58" spans="3:5" x14ac:dyDescent="0.25">
      <c r="C58" s="126"/>
      <c r="D58" s="110"/>
      <c r="E58" s="125"/>
    </row>
    <row r="59" spans="3:5" x14ac:dyDescent="0.25">
      <c r="C59" s="126"/>
      <c r="D59" s="110"/>
      <c r="E59" s="125"/>
    </row>
    <row r="60" spans="3:5" x14ac:dyDescent="0.25">
      <c r="C60" s="76"/>
      <c r="D60" s="110"/>
      <c r="E60" s="125"/>
    </row>
    <row r="61" spans="3:5" x14ac:dyDescent="0.25">
      <c r="C61" s="126"/>
      <c r="D61" s="110"/>
      <c r="E61" s="125"/>
    </row>
    <row r="62" spans="3:5" x14ac:dyDescent="0.25">
      <c r="C62" s="126"/>
      <c r="D62" s="110"/>
      <c r="E62" s="125"/>
    </row>
    <row r="63" spans="3:5" x14ac:dyDescent="0.25">
      <c r="C63" s="126"/>
      <c r="D63" s="110"/>
      <c r="E63" s="125"/>
    </row>
    <row r="64" spans="3:5" x14ac:dyDescent="0.25">
      <c r="C64" s="126"/>
      <c r="D64" s="110"/>
      <c r="E64" s="125"/>
    </row>
    <row r="65" spans="3:5" x14ac:dyDescent="0.25">
      <c r="C65" s="126"/>
      <c r="D65" s="110"/>
      <c r="E65" s="125"/>
    </row>
    <row r="66" spans="3:5" x14ac:dyDescent="0.25">
      <c r="C66" s="126"/>
      <c r="D66" s="110"/>
      <c r="E66" s="125"/>
    </row>
    <row r="67" spans="3:5" x14ac:dyDescent="0.25">
      <c r="C67" s="126"/>
      <c r="D67" s="110"/>
      <c r="E67" s="125"/>
    </row>
    <row r="68" spans="3:5" x14ac:dyDescent="0.25">
      <c r="C68" s="126"/>
      <c r="D68" s="110"/>
      <c r="E68" s="125"/>
    </row>
    <row r="69" spans="3:5" x14ac:dyDescent="0.25">
      <c r="C69" s="126"/>
      <c r="D69" s="110"/>
      <c r="E69" s="125"/>
    </row>
    <row r="70" spans="3:5" x14ac:dyDescent="0.25">
      <c r="C70" s="126"/>
      <c r="D70" s="110"/>
      <c r="E70" s="125"/>
    </row>
    <row r="71" spans="3:5" x14ac:dyDescent="0.25">
      <c r="C71" s="126"/>
      <c r="D71" s="110"/>
      <c r="E71" s="125"/>
    </row>
    <row r="72" spans="3:5" x14ac:dyDescent="0.25">
      <c r="C72" s="126"/>
      <c r="D72" s="110"/>
      <c r="E72" s="125"/>
    </row>
    <row r="73" spans="3:5" x14ac:dyDescent="0.25">
      <c r="C73" s="126"/>
      <c r="D73" s="110"/>
      <c r="E73" s="125"/>
    </row>
    <row r="74" spans="3:5" x14ac:dyDescent="0.25">
      <c r="C74" s="126"/>
      <c r="D74" s="110"/>
      <c r="E74" s="125"/>
    </row>
    <row r="75" spans="3:5" x14ac:dyDescent="0.25">
      <c r="C75" s="126"/>
      <c r="D75" s="110"/>
      <c r="E75" s="125"/>
    </row>
    <row r="76" spans="3:5" x14ac:dyDescent="0.25">
      <c r="C76" s="126"/>
      <c r="D76" s="110"/>
      <c r="E76" s="125"/>
    </row>
    <row r="77" spans="3:5" x14ac:dyDescent="0.25">
      <c r="C77" s="126"/>
      <c r="D77" s="110"/>
      <c r="E77" s="125"/>
    </row>
    <row r="78" spans="3:5" x14ac:dyDescent="0.25">
      <c r="C78" s="126"/>
      <c r="D78" s="110"/>
      <c r="E78" s="125"/>
    </row>
    <row r="79" spans="3:5" x14ac:dyDescent="0.25">
      <c r="C79" s="126"/>
      <c r="D79" s="110"/>
      <c r="E79" s="125"/>
    </row>
    <row r="80" spans="3:5" x14ac:dyDescent="0.25">
      <c r="C80" s="126"/>
      <c r="D80" s="110"/>
      <c r="E80" s="125"/>
    </row>
    <row r="81" spans="3:5" x14ac:dyDescent="0.25">
      <c r="C81" s="126"/>
      <c r="D81" s="110"/>
      <c r="E81" s="125"/>
    </row>
    <row r="82" spans="3:5" x14ac:dyDescent="0.25">
      <c r="C82" s="126"/>
      <c r="D82" s="110"/>
      <c r="E82" s="125"/>
    </row>
    <row r="83" spans="3:5" x14ac:dyDescent="0.25">
      <c r="C83" s="126"/>
      <c r="D83" s="110"/>
      <c r="E83" s="125"/>
    </row>
    <row r="84" spans="3:5" x14ac:dyDescent="0.25">
      <c r="C84" s="126"/>
      <c r="D84" s="110"/>
      <c r="E84" s="125"/>
    </row>
    <row r="85" spans="3:5" x14ac:dyDescent="0.25">
      <c r="C85" s="126"/>
      <c r="D85" s="110"/>
      <c r="E85" s="125"/>
    </row>
    <row r="86" spans="3:5" x14ac:dyDescent="0.25">
      <c r="C86" s="76"/>
      <c r="D86" s="110"/>
      <c r="E86" s="125"/>
    </row>
    <row r="87" spans="3:5" x14ac:dyDescent="0.25">
      <c r="C87" s="126"/>
      <c r="D87" s="110"/>
      <c r="E87" s="125"/>
    </row>
    <row r="88" spans="3:5" x14ac:dyDescent="0.25">
      <c r="C88" s="126"/>
      <c r="D88" s="110"/>
      <c r="E88" s="125"/>
    </row>
    <row r="89" spans="3:5" x14ac:dyDescent="0.25">
      <c r="C89" s="126"/>
      <c r="D89" s="110"/>
      <c r="E89" s="125"/>
    </row>
    <row r="90" spans="3:5" x14ac:dyDescent="0.25">
      <c r="C90" s="126"/>
      <c r="D90" s="110"/>
      <c r="E90" s="125"/>
    </row>
    <row r="91" spans="3:5" x14ac:dyDescent="0.25">
      <c r="C91" s="126"/>
      <c r="D91" s="110"/>
      <c r="E91" s="125"/>
    </row>
    <row r="92" spans="3:5" x14ac:dyDescent="0.25">
      <c r="C92" s="126"/>
      <c r="D92" s="110"/>
      <c r="E92" s="125"/>
    </row>
    <row r="93" spans="3:5" x14ac:dyDescent="0.25">
      <c r="C93" s="126"/>
      <c r="D93" s="110"/>
      <c r="E93" s="125"/>
    </row>
    <row r="94" spans="3:5" x14ac:dyDescent="0.25">
      <c r="C94" s="126"/>
      <c r="D94" s="110"/>
      <c r="E94" s="125"/>
    </row>
    <row r="95" spans="3:5" x14ac:dyDescent="0.25">
      <c r="C95" s="126"/>
      <c r="D95" s="110"/>
      <c r="E95" s="125"/>
    </row>
    <row r="96" spans="3:5" x14ac:dyDescent="0.25">
      <c r="C96" s="126"/>
      <c r="D96" s="118"/>
      <c r="E96" s="125"/>
    </row>
    <row r="97" spans="3:5" x14ac:dyDescent="0.25">
      <c r="C97" s="126"/>
      <c r="D97" s="118"/>
      <c r="E97" s="125"/>
    </row>
    <row r="98" spans="3:5" x14ac:dyDescent="0.25">
      <c r="C98" s="126"/>
      <c r="D98" s="118"/>
      <c r="E98" s="125"/>
    </row>
    <row r="99" spans="3:5" x14ac:dyDescent="0.25">
      <c r="C99" s="126"/>
      <c r="D99" s="118"/>
      <c r="E99" s="125"/>
    </row>
    <row r="100" spans="3:5" x14ac:dyDescent="0.25">
      <c r="C100" s="126"/>
      <c r="D100" s="118"/>
      <c r="E100" s="125"/>
    </row>
    <row r="101" spans="3:5" x14ac:dyDescent="0.25">
      <c r="C101" s="126"/>
      <c r="D101" s="118"/>
      <c r="E101" s="125"/>
    </row>
    <row r="102" spans="3:5" x14ac:dyDescent="0.25">
      <c r="C102" s="126"/>
      <c r="D102" s="118"/>
      <c r="E102" s="125"/>
    </row>
    <row r="103" spans="3:5" x14ac:dyDescent="0.25">
      <c r="C103" s="126"/>
      <c r="D103" s="118"/>
      <c r="E103" s="125"/>
    </row>
    <row r="104" spans="3:5" x14ac:dyDescent="0.25">
      <c r="C104" s="126"/>
      <c r="D104" s="118"/>
      <c r="E104" s="125"/>
    </row>
    <row r="105" spans="3:5" x14ac:dyDescent="0.25">
      <c r="C105" s="126"/>
      <c r="D105" s="118"/>
      <c r="E105" s="125"/>
    </row>
    <row r="106" spans="3:5" x14ac:dyDescent="0.25">
      <c r="C106" s="126"/>
      <c r="D106" s="118"/>
      <c r="E106" s="125"/>
    </row>
    <row r="107" spans="3:5" x14ac:dyDescent="0.25">
      <c r="C107" s="126"/>
      <c r="D107" s="118"/>
      <c r="E107" s="125"/>
    </row>
    <row r="108" spans="3:5" x14ac:dyDescent="0.25">
      <c r="C108" s="126"/>
      <c r="D108" s="118"/>
      <c r="E108" s="125"/>
    </row>
    <row r="109" spans="3:5" x14ac:dyDescent="0.25">
      <c r="C109" s="126"/>
      <c r="D109" s="118"/>
      <c r="E109" s="125"/>
    </row>
    <row r="110" spans="3:5" x14ac:dyDescent="0.25">
      <c r="C110" s="126"/>
      <c r="D110" s="118"/>
      <c r="E110" s="125"/>
    </row>
    <row r="111" spans="3:5" x14ac:dyDescent="0.25">
      <c r="C111" s="126"/>
      <c r="D111" s="118"/>
      <c r="E111" s="125"/>
    </row>
    <row r="112" spans="3:5" x14ac:dyDescent="0.25">
      <c r="C112" s="126"/>
      <c r="D112" s="118"/>
      <c r="E112" s="125"/>
    </row>
    <row r="113" spans="3:5" x14ac:dyDescent="0.25">
      <c r="C113" s="126"/>
      <c r="D113" s="118"/>
      <c r="E113" s="125"/>
    </row>
    <row r="114" spans="3:5" x14ac:dyDescent="0.25">
      <c r="C114" s="126"/>
      <c r="D114" s="118"/>
      <c r="E114" s="125"/>
    </row>
    <row r="115" spans="3:5" x14ac:dyDescent="0.25">
      <c r="C115" s="126"/>
      <c r="D115" s="118"/>
      <c r="E115" s="125"/>
    </row>
    <row r="116" spans="3:5" x14ac:dyDescent="0.25">
      <c r="C116" s="126"/>
      <c r="D116" s="118"/>
      <c r="E116" s="125"/>
    </row>
    <row r="117" spans="3:5" x14ac:dyDescent="0.25">
      <c r="C117" s="126"/>
      <c r="D117" s="118"/>
      <c r="E117" s="125"/>
    </row>
    <row r="118" spans="3:5" x14ac:dyDescent="0.25">
      <c r="C118" s="126"/>
      <c r="D118" s="118"/>
      <c r="E118" s="125"/>
    </row>
    <row r="119" spans="3:5" x14ac:dyDescent="0.25">
      <c r="C119" s="126"/>
      <c r="D119" s="118"/>
      <c r="E119" s="125"/>
    </row>
    <row r="120" spans="3:5" x14ac:dyDescent="0.25">
      <c r="C120" s="126"/>
      <c r="D120" s="118"/>
      <c r="E120" s="125"/>
    </row>
    <row r="121" spans="3:5" x14ac:dyDescent="0.25">
      <c r="C121" s="126"/>
      <c r="D121" s="118"/>
      <c r="E121" s="125"/>
    </row>
    <row r="122" spans="3:5" x14ac:dyDescent="0.25">
      <c r="C122" s="126"/>
      <c r="D122" s="118"/>
      <c r="E122" s="125"/>
    </row>
    <row r="123" spans="3:5" x14ac:dyDescent="0.25">
      <c r="C123" s="126"/>
      <c r="D123" s="110"/>
      <c r="E123" s="125"/>
    </row>
    <row r="124" spans="3:5" x14ac:dyDescent="0.25">
      <c r="C124" s="126"/>
      <c r="D124" s="110"/>
      <c r="E124" s="125"/>
    </row>
    <row r="125" spans="3:5" x14ac:dyDescent="0.25">
      <c r="C125" s="126"/>
      <c r="D125" s="110"/>
      <c r="E125" s="125"/>
    </row>
    <row r="126" spans="3:5" x14ac:dyDescent="0.25">
      <c r="C126" s="126"/>
      <c r="D126" s="110"/>
      <c r="E126" s="125"/>
    </row>
    <row r="127" spans="3:5" x14ac:dyDescent="0.25">
      <c r="C127" s="126"/>
      <c r="D127" s="110"/>
      <c r="E127" s="125"/>
    </row>
    <row r="128" spans="3:5" x14ac:dyDescent="0.25">
      <c r="C128" s="126"/>
      <c r="D128" s="110"/>
      <c r="E128" s="125"/>
    </row>
    <row r="129" spans="3:5" x14ac:dyDescent="0.25">
      <c r="C129" s="126"/>
      <c r="D129" s="118"/>
      <c r="E129" s="125"/>
    </row>
    <row r="130" spans="3:5" x14ac:dyDescent="0.25">
      <c r="C130" s="126"/>
      <c r="D130" s="110"/>
      <c r="E130" s="125"/>
    </row>
    <row r="131" spans="3:5" x14ac:dyDescent="0.25">
      <c r="C131" s="126"/>
      <c r="D131" s="110"/>
      <c r="E131" s="125"/>
    </row>
    <row r="132" spans="3:5" x14ac:dyDescent="0.25">
      <c r="C132" s="126"/>
      <c r="D132" s="110"/>
      <c r="E132" s="125"/>
    </row>
    <row r="133" spans="3:5" x14ac:dyDescent="0.25">
      <c r="C133" s="126"/>
      <c r="D133" s="110"/>
      <c r="E133" s="125"/>
    </row>
    <row r="134" spans="3:5" x14ac:dyDescent="0.25">
      <c r="C134" s="126"/>
      <c r="D134" s="110"/>
      <c r="E134" s="125"/>
    </row>
    <row r="135" spans="3:5" x14ac:dyDescent="0.25">
      <c r="C135" s="126"/>
      <c r="D135" s="110"/>
      <c r="E135" s="125"/>
    </row>
    <row r="136" spans="3:5" x14ac:dyDescent="0.25">
      <c r="C136" s="126"/>
      <c r="D136" s="118"/>
      <c r="E136" s="125"/>
    </row>
    <row r="137" spans="3:5" x14ac:dyDescent="0.25">
      <c r="C137" s="126"/>
      <c r="D137" s="110"/>
      <c r="E137" s="125"/>
    </row>
    <row r="138" spans="3:5" x14ac:dyDescent="0.25">
      <c r="C138" s="126"/>
      <c r="D138" s="110"/>
      <c r="E138" s="125"/>
    </row>
    <row r="139" spans="3:5" x14ac:dyDescent="0.25">
      <c r="C139" s="126"/>
      <c r="D139" s="110"/>
      <c r="E139" s="125"/>
    </row>
    <row r="140" spans="3:5" x14ac:dyDescent="0.25">
      <c r="C140" s="126"/>
      <c r="D140" s="110"/>
      <c r="E140" s="125"/>
    </row>
    <row r="141" spans="3:5" x14ac:dyDescent="0.25">
      <c r="C141" s="126"/>
      <c r="D141" s="110"/>
      <c r="E141" s="125"/>
    </row>
    <row r="142" spans="3:5" x14ac:dyDescent="0.25">
      <c r="C142" s="126"/>
      <c r="D142" s="110"/>
      <c r="E142" s="125"/>
    </row>
    <row r="143" spans="3:5" x14ac:dyDescent="0.25">
      <c r="C143" s="126"/>
      <c r="D143" s="118"/>
      <c r="E143" s="125"/>
    </row>
    <row r="144" spans="3:5" x14ac:dyDescent="0.25">
      <c r="C144" s="126"/>
      <c r="D144" s="110"/>
      <c r="E144" s="125"/>
    </row>
    <row r="145" spans="3:5" x14ac:dyDescent="0.25">
      <c r="C145" s="126"/>
      <c r="D145" s="110"/>
      <c r="E145" s="125"/>
    </row>
    <row r="146" spans="3:5" x14ac:dyDescent="0.25">
      <c r="C146" s="126"/>
      <c r="D146" s="110"/>
      <c r="E146" s="125"/>
    </row>
    <row r="147" spans="3:5" x14ac:dyDescent="0.25">
      <c r="C147" s="126"/>
      <c r="D147" s="110"/>
      <c r="E147" s="125"/>
    </row>
    <row r="148" spans="3:5" x14ac:dyDescent="0.25">
      <c r="C148" s="126"/>
      <c r="D148" s="118"/>
      <c r="E148" s="125"/>
    </row>
    <row r="149" spans="3:5" x14ac:dyDescent="0.25">
      <c r="C149" s="126"/>
      <c r="D149" s="110"/>
      <c r="E149" s="125"/>
    </row>
    <row r="150" spans="3:5" x14ac:dyDescent="0.25">
      <c r="C150" s="126"/>
      <c r="D150" s="110"/>
      <c r="E150" s="125"/>
    </row>
    <row r="151" spans="3:5" x14ac:dyDescent="0.25">
      <c r="C151" s="126"/>
      <c r="D151" s="110"/>
      <c r="E151" s="125"/>
    </row>
    <row r="152" spans="3:5" x14ac:dyDescent="0.25">
      <c r="C152" s="126"/>
      <c r="D152" s="110"/>
      <c r="E152" s="125"/>
    </row>
    <row r="153" spans="3:5" x14ac:dyDescent="0.25">
      <c r="C153" s="126"/>
      <c r="D153" s="110"/>
      <c r="E153" s="125"/>
    </row>
    <row r="154" spans="3:5" x14ac:dyDescent="0.25">
      <c r="C154" s="126"/>
      <c r="D154" s="118"/>
      <c r="E154" s="125"/>
    </row>
    <row r="155" spans="3:5" x14ac:dyDescent="0.25">
      <c r="C155" s="126"/>
      <c r="D155" s="110"/>
      <c r="E155" s="125"/>
    </row>
    <row r="156" spans="3:5" x14ac:dyDescent="0.25">
      <c r="C156" s="126"/>
      <c r="D156" s="110"/>
      <c r="E156" s="125"/>
    </row>
    <row r="157" spans="3:5" x14ac:dyDescent="0.25">
      <c r="C157" s="126"/>
      <c r="D157" s="110"/>
      <c r="E157" s="125"/>
    </row>
    <row r="158" spans="3:5" x14ac:dyDescent="0.25">
      <c r="C158" s="126"/>
      <c r="D158" s="110"/>
      <c r="E158" s="125"/>
    </row>
    <row r="159" spans="3:5" x14ac:dyDescent="0.25">
      <c r="C159" s="126"/>
      <c r="D159" s="110"/>
      <c r="E159" s="125"/>
    </row>
    <row r="160" spans="3:5" x14ac:dyDescent="0.25">
      <c r="C160" s="126"/>
      <c r="D160" s="110"/>
      <c r="E160" s="125"/>
    </row>
    <row r="161" spans="3:5" x14ac:dyDescent="0.25">
      <c r="C161" s="126"/>
      <c r="D161" s="118"/>
      <c r="E161" s="125"/>
    </row>
    <row r="162" spans="3:5" x14ac:dyDescent="0.25">
      <c r="C162" s="126"/>
      <c r="D162" s="110"/>
      <c r="E162" s="125"/>
    </row>
    <row r="163" spans="3:5" x14ac:dyDescent="0.25">
      <c r="C163" s="126"/>
      <c r="D163" s="110"/>
      <c r="E163" s="125"/>
    </row>
    <row r="164" spans="3:5" x14ac:dyDescent="0.25">
      <c r="C164" s="126"/>
      <c r="D164" s="110"/>
      <c r="E164" s="125"/>
    </row>
    <row r="165" spans="3:5" x14ac:dyDescent="0.25">
      <c r="C165" s="126"/>
      <c r="D165" s="110"/>
      <c r="E165" s="125"/>
    </row>
    <row r="166" spans="3:5" x14ac:dyDescent="0.25">
      <c r="C166" s="126"/>
      <c r="D166" s="110"/>
      <c r="E166" s="125"/>
    </row>
    <row r="167" spans="3:5" x14ac:dyDescent="0.25">
      <c r="C167" s="126"/>
      <c r="D167" s="118"/>
      <c r="E167" s="125"/>
    </row>
    <row r="168" spans="3:5" x14ac:dyDescent="0.25">
      <c r="C168" s="126"/>
      <c r="D168" s="110"/>
      <c r="E168" s="125"/>
    </row>
    <row r="169" spans="3:5" x14ac:dyDescent="0.25">
      <c r="C169" s="126"/>
      <c r="D169" s="110"/>
      <c r="E169" s="125"/>
    </row>
    <row r="170" spans="3:5" x14ac:dyDescent="0.25">
      <c r="C170" s="126"/>
      <c r="D170" s="110"/>
      <c r="E170" s="125"/>
    </row>
    <row r="171" spans="3:5" x14ac:dyDescent="0.25">
      <c r="C171" s="126"/>
      <c r="D171" s="110"/>
      <c r="E171" s="125"/>
    </row>
    <row r="172" spans="3:5" x14ac:dyDescent="0.25">
      <c r="C172" s="126"/>
      <c r="D172" s="110"/>
      <c r="E172" s="125"/>
    </row>
    <row r="173" spans="3:5" x14ac:dyDescent="0.25">
      <c r="C173" s="126"/>
      <c r="D173" s="110"/>
      <c r="E173" s="125"/>
    </row>
    <row r="174" spans="3:5" x14ac:dyDescent="0.25">
      <c r="C174" s="126"/>
      <c r="D174" s="118"/>
      <c r="E174" s="125"/>
    </row>
    <row r="175" spans="3:5" x14ac:dyDescent="0.25">
      <c r="C175" s="126"/>
      <c r="D175" s="110"/>
      <c r="E175" s="125"/>
    </row>
    <row r="176" spans="3:5" x14ac:dyDescent="0.25">
      <c r="C176" s="126"/>
      <c r="D176" s="110"/>
      <c r="E176" s="125"/>
    </row>
    <row r="177" spans="3:5" x14ac:dyDescent="0.25">
      <c r="C177" s="126"/>
      <c r="D177" s="110"/>
      <c r="E177" s="125"/>
    </row>
    <row r="178" spans="3:5" x14ac:dyDescent="0.25">
      <c r="C178" s="126"/>
      <c r="D178" s="110"/>
      <c r="E178" s="125"/>
    </row>
    <row r="179" spans="3:5" x14ac:dyDescent="0.25">
      <c r="C179" s="126"/>
      <c r="D179" s="110"/>
      <c r="E179" s="125"/>
    </row>
    <row r="180" spans="3:5" x14ac:dyDescent="0.25">
      <c r="C180" s="126"/>
      <c r="D180" s="118"/>
      <c r="E180" s="125"/>
    </row>
    <row r="181" spans="3:5" x14ac:dyDescent="0.25">
      <c r="C181" s="126"/>
      <c r="D181" s="110"/>
      <c r="E181" s="125"/>
    </row>
    <row r="182" spans="3:5" x14ac:dyDescent="0.25">
      <c r="C182" s="126"/>
      <c r="D182" s="110"/>
      <c r="E182" s="125"/>
    </row>
    <row r="183" spans="3:5" x14ac:dyDescent="0.25">
      <c r="C183" s="126"/>
      <c r="D183" s="110"/>
      <c r="E183" s="125"/>
    </row>
    <row r="184" spans="3:5" x14ac:dyDescent="0.25">
      <c r="C184" s="126"/>
      <c r="D184" s="110"/>
      <c r="E184" s="125"/>
    </row>
    <row r="185" spans="3:5" x14ac:dyDescent="0.25">
      <c r="C185" s="126"/>
      <c r="D185" s="118"/>
      <c r="E185" s="125"/>
    </row>
    <row r="186" spans="3:5" x14ac:dyDescent="0.25">
      <c r="C186" s="126"/>
      <c r="D186" s="110"/>
      <c r="E186" s="125"/>
    </row>
    <row r="187" spans="3:5" x14ac:dyDescent="0.25">
      <c r="C187" s="126"/>
      <c r="D187" s="110"/>
      <c r="E187" s="125"/>
    </row>
    <row r="188" spans="3:5" x14ac:dyDescent="0.25">
      <c r="C188" s="126"/>
      <c r="D188" s="110"/>
      <c r="E188" s="125"/>
    </row>
    <row r="189" spans="3:5" x14ac:dyDescent="0.25">
      <c r="C189" s="126"/>
      <c r="D189" s="110"/>
      <c r="E189" s="125"/>
    </row>
    <row r="190" spans="3:5" x14ac:dyDescent="0.25">
      <c r="C190" s="126"/>
      <c r="D190" s="110"/>
      <c r="E190" s="125"/>
    </row>
    <row r="191" spans="3:5" x14ac:dyDescent="0.25">
      <c r="C191" s="126"/>
      <c r="D191" s="110"/>
      <c r="E191" s="125"/>
    </row>
    <row r="192" spans="3:5" x14ac:dyDescent="0.25">
      <c r="C192" s="126"/>
      <c r="D192" s="118"/>
      <c r="E192" s="125"/>
    </row>
    <row r="193" spans="3:5" x14ac:dyDescent="0.25">
      <c r="C193" s="126"/>
      <c r="D193" s="110"/>
      <c r="E193" s="125"/>
    </row>
    <row r="194" spans="3:5" x14ac:dyDescent="0.25">
      <c r="C194" s="126"/>
      <c r="D194" s="110"/>
      <c r="E194" s="125"/>
    </row>
    <row r="195" spans="3:5" x14ac:dyDescent="0.25">
      <c r="C195" s="126"/>
      <c r="D195" s="110"/>
      <c r="E195" s="125"/>
    </row>
    <row r="196" spans="3:5" x14ac:dyDescent="0.25">
      <c r="C196" s="126"/>
      <c r="D196" s="110"/>
      <c r="E196" s="125"/>
    </row>
    <row r="197" spans="3:5" x14ac:dyDescent="0.25">
      <c r="C197" s="126"/>
      <c r="D197" s="110"/>
      <c r="E197" s="125"/>
    </row>
    <row r="198" spans="3:5" x14ac:dyDescent="0.25">
      <c r="C198" s="126"/>
      <c r="D198" s="110"/>
      <c r="E198" s="125"/>
    </row>
    <row r="199" spans="3:5" x14ac:dyDescent="0.25">
      <c r="C199" s="126"/>
      <c r="D199" s="118"/>
      <c r="E199" s="125"/>
    </row>
    <row r="200" spans="3:5" x14ac:dyDescent="0.25">
      <c r="C200" s="126"/>
      <c r="D200" s="110"/>
      <c r="E200" s="125"/>
    </row>
    <row r="201" spans="3:5" x14ac:dyDescent="0.25">
      <c r="C201" s="126"/>
      <c r="D201" s="110"/>
      <c r="E201" s="125"/>
    </row>
    <row r="202" spans="3:5" x14ac:dyDescent="0.25">
      <c r="C202" s="126"/>
      <c r="D202" s="110"/>
      <c r="E202" s="125"/>
    </row>
    <row r="203" spans="3:5" x14ac:dyDescent="0.25">
      <c r="C203" s="126"/>
      <c r="D203" s="110"/>
      <c r="E203" s="125"/>
    </row>
    <row r="204" spans="3:5" x14ac:dyDescent="0.25">
      <c r="C204" s="126"/>
      <c r="D204" s="110"/>
      <c r="E204" s="125"/>
    </row>
    <row r="205" spans="3:5" x14ac:dyDescent="0.25">
      <c r="C205" s="126"/>
      <c r="D205" s="110"/>
      <c r="E205" s="125"/>
    </row>
    <row r="206" spans="3:5" x14ac:dyDescent="0.25">
      <c r="C206" s="126"/>
      <c r="D206" s="118"/>
      <c r="E206" s="125"/>
    </row>
    <row r="207" spans="3:5" x14ac:dyDescent="0.25">
      <c r="C207" s="76"/>
      <c r="E207" s="125"/>
    </row>
    <row r="208" spans="3:5" x14ac:dyDescent="0.25">
      <c r="C208" s="126"/>
      <c r="D208" s="110"/>
      <c r="E208" s="125"/>
    </row>
    <row r="209" spans="3:5" x14ac:dyDescent="0.25">
      <c r="C209" s="126"/>
      <c r="D209" s="110"/>
      <c r="E209" s="125"/>
    </row>
    <row r="210" spans="3:5" x14ac:dyDescent="0.25">
      <c r="C210" s="126"/>
      <c r="D210" s="110"/>
      <c r="E210" s="125"/>
    </row>
    <row r="211" spans="3:5" x14ac:dyDescent="0.25">
      <c r="C211" s="126"/>
      <c r="D211" s="110"/>
      <c r="E211" s="125"/>
    </row>
    <row r="212" spans="3:5" x14ac:dyDescent="0.25">
      <c r="C212" s="126"/>
      <c r="D212" s="110"/>
      <c r="E212" s="125"/>
    </row>
    <row r="213" spans="3:5" x14ac:dyDescent="0.25">
      <c r="C213" s="126"/>
      <c r="D213" s="110"/>
      <c r="E213" s="125"/>
    </row>
    <row r="214" spans="3:5" x14ac:dyDescent="0.25">
      <c r="C214" s="126"/>
      <c r="D214" s="118"/>
      <c r="E214" s="125"/>
    </row>
    <row r="215" spans="3:5" x14ac:dyDescent="0.25">
      <c r="C215" s="126"/>
      <c r="D215" s="110"/>
      <c r="E215" s="125"/>
    </row>
    <row r="216" spans="3:5" x14ac:dyDescent="0.25">
      <c r="C216" s="126"/>
      <c r="D216" s="110"/>
      <c r="E216" s="125"/>
    </row>
    <row r="217" spans="3:5" x14ac:dyDescent="0.25">
      <c r="C217" s="126"/>
      <c r="D217" s="110"/>
      <c r="E217" s="125"/>
    </row>
    <row r="218" spans="3:5" x14ac:dyDescent="0.25">
      <c r="C218" s="126"/>
      <c r="D218" s="110"/>
      <c r="E218" s="125"/>
    </row>
  </sheetData>
  <conditionalFormatting sqref="D9:D15 C21:C47 C55:C78 C49:C50">
    <cfRule type="containsText" dxfId="70" priority="13" operator="containsText" text="Outros">
      <formula>NOT(ISERROR(SEARCH("Outros",C9)))</formula>
    </cfRule>
  </conditionalFormatting>
  <conditionalFormatting sqref="C124:C218">
    <cfRule type="containsText" dxfId="69" priority="11" operator="containsText" text="Outros">
      <formula>NOT(ISERROR(SEARCH("Outros",C124)))</formula>
    </cfRule>
  </conditionalFormatting>
  <conditionalFormatting sqref="C3:D3 D4:D8 C4:C7 D14">
    <cfRule type="containsText" dxfId="68" priority="14" operator="containsText" text="Outros">
      <formula>NOT(ISERROR(SEARCH("Outros",C3)))</formula>
    </cfRule>
  </conditionalFormatting>
  <conditionalFormatting sqref="C96:D121 C82:C95">
    <cfRule type="containsText" dxfId="67" priority="12" operator="containsText" text="Outros">
      <formula>NOT(ISERROR(SEARCH("Outros",C82)))</formula>
    </cfRule>
  </conditionalFormatting>
  <conditionalFormatting sqref="D124:D218">
    <cfRule type="containsText" dxfId="66" priority="10" operator="containsText" text="Outros">
      <formula>NOT(ISERROR(SEARCH("Outros",D124)))</formula>
    </cfRule>
  </conditionalFormatting>
  <conditionalFormatting sqref="C8:C9">
    <cfRule type="containsText" dxfId="65" priority="9" operator="containsText" text="Outros">
      <formula>NOT(ISERROR(SEARCH("Outros",C8)))</formula>
    </cfRule>
  </conditionalFormatting>
  <conditionalFormatting sqref="C13:C16">
    <cfRule type="containsText" dxfId="64" priority="8" operator="containsText" text="Outros">
      <formula>NOT(ISERROR(SEARCH("Outros",C13)))</formula>
    </cfRule>
  </conditionalFormatting>
  <conditionalFormatting sqref="D13">
    <cfRule type="containsText" dxfId="63" priority="7" operator="containsText" text="Outros">
      <formula>NOT(ISERROR(SEARCH("Outros",D13)))</formula>
    </cfRule>
  </conditionalFormatting>
  <conditionalFormatting sqref="D15">
    <cfRule type="containsText" dxfId="62" priority="6" operator="containsText" text="Outros">
      <formula>NOT(ISERROR(SEARCH("Outros",D15)))</formula>
    </cfRule>
  </conditionalFormatting>
  <conditionalFormatting sqref="C17:C20">
    <cfRule type="containsText" dxfId="61" priority="5" operator="containsText" text="Outros">
      <formula>NOT(ISERROR(SEARCH("Outros",C17)))</formula>
    </cfRule>
  </conditionalFormatting>
  <conditionalFormatting sqref="C48">
    <cfRule type="containsText" dxfId="60" priority="4" operator="containsText" text="Outros">
      <formula>NOT(ISERROR(SEARCH("Outros",C48)))</formula>
    </cfRule>
  </conditionalFormatting>
  <conditionalFormatting sqref="C51:C54">
    <cfRule type="containsText" dxfId="59" priority="3" operator="containsText" text="Outros">
      <formula>NOT(ISERROR(SEARCH("Outros",C51)))</formula>
    </cfRule>
  </conditionalFormatting>
  <conditionalFormatting sqref="D16:D95">
    <cfRule type="containsText" dxfId="58" priority="2" operator="containsText" text="Outros">
      <formula>NOT(ISERROR(SEARCH("Outros",D16)))</formula>
    </cfRule>
  </conditionalFormatting>
  <conditionalFormatting sqref="D16:D95">
    <cfRule type="containsText" dxfId="57" priority="1" operator="containsText" text="Outros">
      <formula>NOT(ISERROR(SEARCH("Outros",D16)))</formula>
    </cfRule>
  </conditionalFormatting>
  <pageMargins left="0.511811024" right="0.511811024" top="0.78740157499999996" bottom="0.78740157499999996" header="0" footer="0"/>
  <pageSetup orientation="landscape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</sheetPr>
  <dimension ref="B2:H27"/>
  <sheetViews>
    <sheetView showGridLines="0" workbookViewId="0">
      <selection activeCell="G19" sqref="G19"/>
    </sheetView>
  </sheetViews>
  <sheetFormatPr defaultRowHeight="15" customHeight="1" x14ac:dyDescent="0.25"/>
  <cols>
    <col min="1" max="1" width="2.7109375" style="76" customWidth="1"/>
    <col min="2" max="2" width="19.140625" style="76" customWidth="1"/>
    <col min="3" max="3" width="54.7109375" style="76" bestFit="1" customWidth="1"/>
    <col min="4" max="4" width="15.42578125" style="77" customWidth="1"/>
    <col min="5" max="5" width="14.28515625" style="116" bestFit="1" customWidth="1"/>
    <col min="6" max="6" width="2.7109375" style="76" customWidth="1"/>
    <col min="7" max="7" width="19" style="76" bestFit="1" customWidth="1"/>
    <col min="8" max="8" width="14.140625" style="76" bestFit="1" customWidth="1"/>
    <col min="9" max="16384" width="9.140625" style="76"/>
  </cols>
  <sheetData>
    <row r="2" spans="2:8" x14ac:dyDescent="0.25">
      <c r="B2" s="3" t="s">
        <v>78</v>
      </c>
      <c r="C2" s="3" t="s">
        <v>79</v>
      </c>
      <c r="D2" s="77" t="s">
        <v>80</v>
      </c>
      <c r="E2" s="117" t="s">
        <v>81</v>
      </c>
      <c r="G2" s="115" t="s">
        <v>82</v>
      </c>
      <c r="H2" s="76" t="s">
        <v>83</v>
      </c>
    </row>
    <row r="3" spans="2:8" x14ac:dyDescent="0.25">
      <c r="B3" s="114" t="s">
        <v>88</v>
      </c>
      <c r="C3" s="114" t="s">
        <v>89</v>
      </c>
      <c r="D3" s="110">
        <v>46188</v>
      </c>
      <c r="E3" s="119">
        <f>4000/2</f>
        <v>2000</v>
      </c>
      <c r="G3" s="75" t="s">
        <v>84</v>
      </c>
      <c r="H3" s="112"/>
    </row>
    <row r="4" spans="2:8" x14ac:dyDescent="0.25">
      <c r="B4" s="114" t="s">
        <v>88</v>
      </c>
      <c r="C4" s="114" t="s">
        <v>90</v>
      </c>
      <c r="D4" s="110">
        <v>46188</v>
      </c>
      <c r="E4" s="119">
        <f>2500/2</f>
        <v>1250</v>
      </c>
      <c r="G4" s="75" t="s">
        <v>88</v>
      </c>
      <c r="H4" s="112">
        <v>4750</v>
      </c>
    </row>
    <row r="5" spans="2:8" x14ac:dyDescent="0.25">
      <c r="B5" s="114" t="s">
        <v>88</v>
      </c>
      <c r="C5" s="114" t="s">
        <v>91</v>
      </c>
      <c r="D5" s="110">
        <v>46188</v>
      </c>
      <c r="E5" s="119">
        <f>3000/2</f>
        <v>1500</v>
      </c>
      <c r="G5" s="75" t="s">
        <v>92</v>
      </c>
      <c r="H5" s="112">
        <v>4750</v>
      </c>
    </row>
    <row r="6" spans="2:8" x14ac:dyDescent="0.25">
      <c r="B6" s="114" t="s">
        <v>92</v>
      </c>
      <c r="C6" s="114" t="s">
        <v>89</v>
      </c>
      <c r="D6" s="110">
        <v>46188</v>
      </c>
      <c r="E6" s="119">
        <f>4000/2</f>
        <v>2000</v>
      </c>
      <c r="F6" s="112"/>
      <c r="G6" s="75" t="s">
        <v>85</v>
      </c>
      <c r="H6" s="112">
        <v>9500</v>
      </c>
    </row>
    <row r="7" spans="2:8" x14ac:dyDescent="0.25">
      <c r="B7" s="114" t="s">
        <v>92</v>
      </c>
      <c r="C7" s="114" t="s">
        <v>90</v>
      </c>
      <c r="D7" s="110">
        <v>46188</v>
      </c>
      <c r="E7" s="119">
        <f>2500/2</f>
        <v>1250</v>
      </c>
      <c r="G7" s="81"/>
      <c r="H7" s="81"/>
    </row>
    <row r="8" spans="2:8" x14ac:dyDescent="0.25">
      <c r="B8" s="114" t="s">
        <v>92</v>
      </c>
      <c r="C8" s="114" t="s">
        <v>91</v>
      </c>
      <c r="D8" s="110">
        <v>46188</v>
      </c>
      <c r="E8" s="119">
        <f>3000/2</f>
        <v>1500</v>
      </c>
      <c r="G8" s="81"/>
      <c r="H8" s="81"/>
    </row>
    <row r="9" spans="2:8" x14ac:dyDescent="0.25">
      <c r="B9" s="114"/>
      <c r="C9" s="114"/>
      <c r="D9" s="110"/>
      <c r="E9" s="119"/>
    </row>
    <row r="10" spans="2:8" x14ac:dyDescent="0.25">
      <c r="B10" s="114"/>
      <c r="C10" s="114"/>
      <c r="D10" s="110"/>
      <c r="E10" s="119"/>
    </row>
    <row r="11" spans="2:8" x14ac:dyDescent="0.25">
      <c r="B11" s="114"/>
      <c r="C11" s="114"/>
      <c r="D11" s="110"/>
      <c r="E11" s="119"/>
    </row>
    <row r="12" spans="2:8" x14ac:dyDescent="0.25">
      <c r="B12" s="114"/>
      <c r="C12" s="114"/>
      <c r="D12" s="110"/>
      <c r="E12" s="117"/>
    </row>
    <row r="13" spans="2:8" x14ac:dyDescent="0.25">
      <c r="B13" s="114"/>
      <c r="C13" s="114"/>
      <c r="D13" s="110"/>
      <c r="E13" s="117"/>
    </row>
    <row r="14" spans="2:8" x14ac:dyDescent="0.25">
      <c r="B14" s="114"/>
      <c r="C14" s="114"/>
      <c r="D14" s="110"/>
      <c r="E14" s="117"/>
    </row>
    <row r="15" spans="2:8" x14ac:dyDescent="0.25">
      <c r="B15" s="114"/>
      <c r="D15" s="110"/>
      <c r="E15" s="117"/>
    </row>
    <row r="16" spans="2:8" x14ac:dyDescent="0.25">
      <c r="B16" s="114"/>
      <c r="D16" s="110"/>
      <c r="E16" s="117"/>
    </row>
    <row r="17" spans="2:5" x14ac:dyDescent="0.25">
      <c r="B17" s="114"/>
      <c r="D17" s="110"/>
      <c r="E17" s="117"/>
    </row>
    <row r="18" spans="2:5" x14ac:dyDescent="0.25">
      <c r="B18" s="114"/>
      <c r="D18" s="110"/>
      <c r="E18" s="125"/>
    </row>
    <row r="19" spans="2:5" x14ac:dyDescent="0.25">
      <c r="B19" s="114"/>
      <c r="D19" s="110"/>
      <c r="E19" s="125"/>
    </row>
    <row r="20" spans="2:5" x14ac:dyDescent="0.25">
      <c r="E20" s="117"/>
    </row>
    <row r="21" spans="2:5" x14ac:dyDescent="0.25">
      <c r="E21" s="117"/>
    </row>
    <row r="22" spans="2:5" x14ac:dyDescent="0.25">
      <c r="E22" s="117"/>
    </row>
    <row r="23" spans="2:5" x14ac:dyDescent="0.25">
      <c r="E23" s="117"/>
    </row>
    <row r="24" spans="2:5" x14ac:dyDescent="0.25">
      <c r="E24" s="117"/>
    </row>
    <row r="25" spans="2:5" x14ac:dyDescent="0.25">
      <c r="E25" s="117"/>
    </row>
    <row r="26" spans="2:5" x14ac:dyDescent="0.25">
      <c r="E26" s="117"/>
    </row>
    <row r="27" spans="2:5" x14ac:dyDescent="0.25">
      <c r="E27" s="117"/>
    </row>
  </sheetData>
  <conditionalFormatting sqref="D18">
    <cfRule type="containsText" dxfId="43" priority="14" operator="containsText" text="Outros">
      <formula>NOT(ISERROR(SEARCH("Outros",D18)))</formula>
    </cfRule>
  </conditionalFormatting>
  <conditionalFormatting sqref="C19">
    <cfRule type="containsText" dxfId="42" priority="13" operator="containsText" text="Outros">
      <formula>NOT(ISERROR(SEARCH("Outros",C19)))</formula>
    </cfRule>
  </conditionalFormatting>
  <conditionalFormatting sqref="D19">
    <cfRule type="containsText" dxfId="41" priority="12" operator="containsText" text="Outros">
      <formula>NOT(ISERROR(SEARCH("Outros",D19)))</formula>
    </cfRule>
  </conditionalFormatting>
  <conditionalFormatting sqref="D19">
    <cfRule type="containsText" dxfId="40" priority="11" operator="containsText" text="Outros">
      <formula>NOT(ISERROR(SEARCH("Outros",D19)))</formula>
    </cfRule>
  </conditionalFormatting>
  <conditionalFormatting sqref="D9:D17">
    <cfRule type="containsText" dxfId="39" priority="10" operator="containsText" text="Outros">
      <formula>NOT(ISERROR(SEARCH("Outros",D9)))</formula>
    </cfRule>
  </conditionalFormatting>
  <conditionalFormatting sqref="D9:D17">
    <cfRule type="containsText" dxfId="38" priority="9" operator="containsText" text="Outros">
      <formula>NOT(ISERROR(SEARCH("Outros",D9)))</formula>
    </cfRule>
  </conditionalFormatting>
  <conditionalFormatting sqref="D3">
    <cfRule type="containsText" dxfId="37" priority="8" operator="containsText" text="Outros">
      <formula>NOT(ISERROR(SEARCH("Outros",D3)))</formula>
    </cfRule>
  </conditionalFormatting>
  <conditionalFormatting sqref="D3">
    <cfRule type="containsText" dxfId="36" priority="7" operator="containsText" text="Outros">
      <formula>NOT(ISERROR(SEARCH("Outros",D3)))</formula>
    </cfRule>
  </conditionalFormatting>
  <conditionalFormatting sqref="D4:D5">
    <cfRule type="containsText" dxfId="35" priority="6" operator="containsText" text="Outros">
      <formula>NOT(ISERROR(SEARCH("Outros",D4)))</formula>
    </cfRule>
  </conditionalFormatting>
  <conditionalFormatting sqref="D4:D5">
    <cfRule type="containsText" dxfId="34" priority="5" operator="containsText" text="Outros">
      <formula>NOT(ISERROR(SEARCH("Outros",D4)))</formula>
    </cfRule>
  </conditionalFormatting>
  <conditionalFormatting sqref="D6">
    <cfRule type="containsText" dxfId="33" priority="4" operator="containsText" text="Outros">
      <formula>NOT(ISERROR(SEARCH("Outros",D6)))</formula>
    </cfRule>
  </conditionalFormatting>
  <conditionalFormatting sqref="D6">
    <cfRule type="containsText" dxfId="32" priority="3" operator="containsText" text="Outros">
      <formula>NOT(ISERROR(SEARCH("Outros",D6)))</formula>
    </cfRule>
  </conditionalFormatting>
  <conditionalFormatting sqref="D7:D8">
    <cfRule type="containsText" dxfId="31" priority="2" operator="containsText" text="Outros">
      <formula>NOT(ISERROR(SEARCH("Outros",D7)))</formula>
    </cfRule>
  </conditionalFormatting>
  <conditionalFormatting sqref="D7:D8">
    <cfRule type="containsText" dxfId="30" priority="1" operator="containsText" text="Outros">
      <formula>NOT(ISERROR(SEARCH("Outros",D7)))</formula>
    </cfRule>
  </conditionalFormatting>
  <pageMargins left="0.511811024" right="0.511811024" top="0.78740157499999996" bottom="0.78740157499999996" header="0" footer="0"/>
  <pageSetup paperSize="9" orientation="portrait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FF"/>
  </sheetPr>
  <dimension ref="B2:L31"/>
  <sheetViews>
    <sheetView showGridLines="0" workbookViewId="0">
      <selection activeCell="G14" sqref="G14"/>
    </sheetView>
  </sheetViews>
  <sheetFormatPr defaultRowHeight="15" customHeight="1" x14ac:dyDescent="0.25"/>
  <cols>
    <col min="1" max="1" width="2.7109375" style="76" customWidth="1"/>
    <col min="2" max="2" width="21.28515625" style="76" customWidth="1"/>
    <col min="3" max="3" width="71.85546875" style="76" bestFit="1" customWidth="1"/>
    <col min="4" max="4" width="13" style="77" customWidth="1"/>
    <col min="5" max="5" width="14.28515625" style="116" bestFit="1" customWidth="1"/>
    <col min="6" max="6" width="2.7109375" style="76" customWidth="1"/>
    <col min="7" max="7" width="18.28515625" style="76" bestFit="1" customWidth="1"/>
    <col min="8" max="8" width="14.140625" style="76" bestFit="1" customWidth="1"/>
    <col min="9" max="16384" width="9.140625" style="76"/>
  </cols>
  <sheetData>
    <row r="2" spans="2:12" x14ac:dyDescent="0.25">
      <c r="B2" s="3" t="s">
        <v>78</v>
      </c>
      <c r="C2" s="3" t="s">
        <v>79</v>
      </c>
      <c r="D2" s="77" t="s">
        <v>80</v>
      </c>
      <c r="E2" s="117" t="s">
        <v>81</v>
      </c>
      <c r="G2" s="115" t="s">
        <v>82</v>
      </c>
      <c r="H2" s="76" t="s">
        <v>83</v>
      </c>
    </row>
    <row r="3" spans="2:12" x14ac:dyDescent="0.25">
      <c r="B3" s="127"/>
      <c r="C3" s="127"/>
      <c r="D3" s="128"/>
      <c r="E3" s="129"/>
      <c r="G3" s="75" t="s">
        <v>84</v>
      </c>
      <c r="H3" s="112"/>
    </row>
    <row r="4" spans="2:12" x14ac:dyDescent="0.25">
      <c r="B4" s="127"/>
      <c r="C4" s="127"/>
      <c r="D4" s="128"/>
      <c r="E4" s="129"/>
      <c r="G4" s="75" t="s">
        <v>85</v>
      </c>
      <c r="H4" s="112"/>
    </row>
    <row r="5" spans="2:12" x14ac:dyDescent="0.25">
      <c r="B5" s="127"/>
      <c r="C5" s="127"/>
      <c r="D5" s="128"/>
      <c r="E5" s="129"/>
      <c r="G5" s="81"/>
      <c r="H5" s="81"/>
    </row>
    <row r="6" spans="2:12" x14ac:dyDescent="0.25">
      <c r="B6" s="127"/>
      <c r="C6" s="127"/>
      <c r="D6" s="128"/>
      <c r="E6" s="130"/>
      <c r="F6" s="112"/>
      <c r="G6" s="81"/>
      <c r="H6" s="81"/>
    </row>
    <row r="7" spans="2:12" x14ac:dyDescent="0.25">
      <c r="B7" s="127"/>
      <c r="C7" s="127"/>
      <c r="D7" s="128"/>
      <c r="E7" s="130"/>
      <c r="G7" s="81"/>
      <c r="H7" s="81"/>
      <c r="L7" s="79" t="s">
        <v>93</v>
      </c>
    </row>
    <row r="8" spans="2:12" x14ac:dyDescent="0.25">
      <c r="B8" s="127"/>
      <c r="C8" s="127"/>
      <c r="D8" s="128"/>
      <c r="E8" s="130"/>
      <c r="G8" s="81"/>
      <c r="H8" s="81"/>
      <c r="I8" s="78"/>
      <c r="L8" s="80">
        <v>357</v>
      </c>
    </row>
    <row r="9" spans="2:12" x14ac:dyDescent="0.25">
      <c r="B9" s="127"/>
      <c r="C9" s="127"/>
      <c r="D9" s="128"/>
      <c r="E9" s="130"/>
      <c r="G9" s="81"/>
      <c r="H9" s="81"/>
      <c r="L9" s="80"/>
    </row>
    <row r="10" spans="2:12" x14ac:dyDescent="0.25">
      <c r="B10" s="127"/>
      <c r="C10" s="127"/>
      <c r="D10" s="128"/>
      <c r="E10" s="130"/>
      <c r="G10" s="81"/>
      <c r="H10" s="81"/>
      <c r="L10" s="80"/>
    </row>
    <row r="11" spans="2:12" x14ac:dyDescent="0.25">
      <c r="B11" s="127"/>
      <c r="C11" s="127"/>
      <c r="D11" s="128"/>
      <c r="E11" s="130"/>
      <c r="G11" s="81"/>
      <c r="H11" s="81"/>
      <c r="L11" s="80"/>
    </row>
    <row r="12" spans="2:12" x14ac:dyDescent="0.25">
      <c r="B12" s="127"/>
      <c r="C12" s="127"/>
      <c r="D12" s="128"/>
      <c r="E12" s="130"/>
      <c r="G12" s="81"/>
      <c r="H12" s="81"/>
    </row>
    <row r="13" spans="2:12" x14ac:dyDescent="0.25">
      <c r="B13" s="127"/>
      <c r="C13" s="127"/>
      <c r="D13" s="128"/>
      <c r="E13" s="130"/>
    </row>
    <row r="14" spans="2:12" x14ac:dyDescent="0.25">
      <c r="B14" s="127"/>
      <c r="C14" s="127"/>
      <c r="D14" s="128"/>
      <c r="E14" s="130"/>
    </row>
    <row r="15" spans="2:12" x14ac:dyDescent="0.25">
      <c r="B15" s="127"/>
      <c r="C15" s="127"/>
      <c r="D15" s="128"/>
      <c r="E15" s="130"/>
    </row>
    <row r="16" spans="2:12" x14ac:dyDescent="0.25">
      <c r="B16" s="127"/>
      <c r="C16" s="127"/>
      <c r="D16" s="128"/>
      <c r="E16" s="130"/>
    </row>
    <row r="17" spans="2:5" x14ac:dyDescent="0.25">
      <c r="B17" s="127"/>
      <c r="C17" s="127"/>
      <c r="D17" s="128"/>
      <c r="E17" s="130"/>
    </row>
    <row r="18" spans="2:5" x14ac:dyDescent="0.25">
      <c r="B18" s="127"/>
      <c r="C18" s="127"/>
      <c r="D18" s="131"/>
      <c r="E18" s="130"/>
    </row>
    <row r="19" spans="2:5" x14ac:dyDescent="0.25">
      <c r="B19" s="127"/>
      <c r="C19" s="127"/>
      <c r="D19" s="131"/>
      <c r="E19" s="130"/>
    </row>
    <row r="20" spans="2:5" x14ac:dyDescent="0.25">
      <c r="B20" s="132"/>
      <c r="C20" s="132"/>
      <c r="D20" s="131"/>
      <c r="E20" s="130"/>
    </row>
    <row r="21" spans="2:5" x14ac:dyDescent="0.25">
      <c r="B21" s="127"/>
      <c r="C21" s="127"/>
      <c r="D21" s="128"/>
      <c r="E21" s="129"/>
    </row>
    <row r="22" spans="2:5" x14ac:dyDescent="0.25">
      <c r="B22" s="132"/>
      <c r="C22" s="132"/>
      <c r="D22" s="131"/>
      <c r="E22" s="130"/>
    </row>
    <row r="23" spans="2:5" x14ac:dyDescent="0.25">
      <c r="B23" s="127"/>
      <c r="C23" s="132"/>
      <c r="D23" s="131"/>
      <c r="E23" s="130"/>
    </row>
    <row r="24" spans="2:5" x14ac:dyDescent="0.25">
      <c r="B24" s="127"/>
      <c r="C24" s="132"/>
      <c r="D24" s="131"/>
      <c r="E24" s="130"/>
    </row>
    <row r="25" spans="2:5" x14ac:dyDescent="0.25">
      <c r="B25" s="127"/>
      <c r="C25" s="132"/>
      <c r="D25" s="131"/>
      <c r="E25" s="130"/>
    </row>
    <row r="26" spans="2:5" x14ac:dyDescent="0.25">
      <c r="B26" s="127"/>
      <c r="C26" s="132"/>
      <c r="D26" s="131"/>
      <c r="E26" s="130"/>
    </row>
    <row r="27" spans="2:5" x14ac:dyDescent="0.25">
      <c r="B27" s="127"/>
      <c r="C27" s="132"/>
      <c r="D27" s="131"/>
      <c r="E27" s="130"/>
    </row>
    <row r="28" spans="2:5" x14ac:dyDescent="0.25">
      <c r="B28" s="127"/>
      <c r="C28" s="132"/>
      <c r="D28" s="131"/>
      <c r="E28" s="130"/>
    </row>
    <row r="29" spans="2:5" x14ac:dyDescent="0.25">
      <c r="B29" s="127"/>
      <c r="C29" s="127"/>
      <c r="D29" s="131"/>
      <c r="E29" s="130"/>
    </row>
    <row r="30" spans="2:5" x14ac:dyDescent="0.25">
      <c r="E30" s="117"/>
    </row>
    <row r="31" spans="2:5" x14ac:dyDescent="0.25">
      <c r="E31" s="117"/>
    </row>
  </sheetData>
  <pageMargins left="0.511811024" right="0.511811024" top="0.78740157499999996" bottom="0.78740157499999996" header="0" footer="0"/>
  <pageSetup paperSize="9" orientation="portrait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Gerenciamento Custo</vt:lpstr>
      <vt:lpstr>PROPOSTA</vt:lpstr>
      <vt:lpstr>Resumo</vt:lpstr>
      <vt:lpstr>Planilha1</vt:lpstr>
      <vt:lpstr>Mão de Obra</vt:lpstr>
      <vt:lpstr>Materiais</vt:lpstr>
      <vt:lpstr>Refeição + Transporte</vt:lpstr>
      <vt:lpstr>Locação + Frete</vt:lpstr>
      <vt:lpstr>Fat Direto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Melo</dc:creator>
  <cp:lastModifiedBy>Guilherme Angelin</cp:lastModifiedBy>
  <dcterms:created xsi:type="dcterms:W3CDTF">2023-10-06T16:32:20Z</dcterms:created>
  <dcterms:modified xsi:type="dcterms:W3CDTF">2026-06-26T20:24:21Z</dcterms:modified>
</cp:coreProperties>
</file>