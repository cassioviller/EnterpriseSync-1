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SERVIDOR\VEKS ENGENHARIA\COMERCIAL\1. PROPOSTAS\01. ORÇAMENTOS VEKS\40. KABOD CABANAS\Baia\Propostas\"/>
    </mc:Choice>
  </mc:AlternateContent>
  <xr:revisionPtr revIDLastSave="0" documentId="13_ncr:1_{44D78151-D999-4A4D-BF84-C6F5C1CA5BA5}" xr6:coauthVersionLast="47" xr6:coauthVersionMax="47" xr10:uidLastSave="{00000000-0000-0000-0000-000000000000}"/>
  <bookViews>
    <workbookView xWindow="30" yWindow="30" windowWidth="20460" windowHeight="10770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33" l="1"/>
  <c r="N17" i="33"/>
  <c r="M17" i="33"/>
  <c r="H21" i="33"/>
  <c r="H17" i="33"/>
  <c r="I17" i="33"/>
  <c r="I21" i="33"/>
  <c r="J17" i="33"/>
  <c r="F10" i="33"/>
  <c r="AB11" i="33"/>
  <c r="AC11" i="33" s="1"/>
  <c r="T11" i="33"/>
  <c r="U11" i="33" s="1"/>
  <c r="J11" i="33"/>
  <c r="I11" i="33"/>
  <c r="H11" i="33"/>
  <c r="G10" i="33"/>
  <c r="AB10" i="33" s="1"/>
  <c r="AC10" i="33" s="1"/>
  <c r="T10" i="33"/>
  <c r="U10" i="33" s="1"/>
  <c r="F14" i="33"/>
  <c r="T14" i="33" s="1"/>
  <c r="U14" i="33" s="1"/>
  <c r="G14" i="33"/>
  <c r="AB15" i="33"/>
  <c r="AC15" i="33" s="1"/>
  <c r="T15" i="33"/>
  <c r="U15" i="33" s="1"/>
  <c r="J15" i="33"/>
  <c r="I15" i="33"/>
  <c r="H15" i="33"/>
  <c r="AB16" i="33"/>
  <c r="AC16" i="33" s="1"/>
  <c r="AD16" i="33" s="1"/>
  <c r="AE16" i="33" s="1"/>
  <c r="T16" i="33"/>
  <c r="U16" i="33" s="1"/>
  <c r="J16" i="33"/>
  <c r="I16" i="33"/>
  <c r="H16" i="33"/>
  <c r="AB14" i="33"/>
  <c r="AC14" i="33" s="1"/>
  <c r="AB13" i="33"/>
  <c r="AC13" i="33" s="1"/>
  <c r="T13" i="33"/>
  <c r="U13" i="33" s="1"/>
  <c r="J13" i="33"/>
  <c r="I13" i="33"/>
  <c r="H13" i="33"/>
  <c r="AB12" i="33"/>
  <c r="AC12" i="33" s="1"/>
  <c r="T12" i="33"/>
  <c r="U12" i="33" s="1"/>
  <c r="J12" i="33"/>
  <c r="I12" i="33"/>
  <c r="H12" i="33"/>
  <c r="K11" i="33" l="1"/>
  <c r="V11" i="33"/>
  <c r="W11" i="33" s="1"/>
  <c r="AD11" i="33"/>
  <c r="AE11" i="33" s="1"/>
  <c r="L11" i="33"/>
  <c r="J14" i="33"/>
  <c r="H10" i="33"/>
  <c r="H14" i="33"/>
  <c r="I14" i="33"/>
  <c r="I10" i="33"/>
  <c r="J10" i="33"/>
  <c r="K15" i="33"/>
  <c r="V15" i="33"/>
  <c r="W15" i="33" s="1"/>
  <c r="AD15" i="33"/>
  <c r="AE15" i="33" s="1"/>
  <c r="L15" i="33"/>
  <c r="K16" i="33"/>
  <c r="V16" i="33"/>
  <c r="W16" i="33" s="1"/>
  <c r="L16" i="33"/>
  <c r="AD12" i="33"/>
  <c r="AE12" i="33"/>
  <c r="L12" i="33"/>
  <c r="K10" i="33"/>
  <c r="V10" i="33"/>
  <c r="W10" i="33" s="1"/>
  <c r="AD10" i="33"/>
  <c r="AE10" i="33" s="1"/>
  <c r="L10" i="33"/>
  <c r="K13" i="33"/>
  <c r="V13" i="33"/>
  <c r="W13" i="33" s="1"/>
  <c r="AD13" i="33"/>
  <c r="AE13" i="33" s="1"/>
  <c r="L13" i="33"/>
  <c r="K12" i="33"/>
  <c r="V12" i="33"/>
  <c r="W12" i="33" s="1"/>
  <c r="V14" i="33"/>
  <c r="W14" i="33" s="1"/>
  <c r="K14" i="33"/>
  <c r="AD14" i="33"/>
  <c r="AE14" i="33" s="1"/>
  <c r="L14" i="33"/>
  <c r="Y11" i="33" l="1"/>
  <c r="N11" i="33"/>
  <c r="M11" i="33"/>
  <c r="Q11" i="33"/>
  <c r="O11" i="33"/>
  <c r="Y15" i="33"/>
  <c r="N15" i="33"/>
  <c r="Q15" i="33"/>
  <c r="O15" i="33"/>
  <c r="M15" i="33"/>
  <c r="O16" i="33"/>
  <c r="Q16" i="33"/>
  <c r="M16" i="33"/>
  <c r="N16" i="33"/>
  <c r="Y16" i="33"/>
  <c r="N13" i="33"/>
  <c r="Y13" i="33"/>
  <c r="N10" i="33"/>
  <c r="Y10" i="33"/>
  <c r="Y14" i="33"/>
  <c r="N14" i="33"/>
  <c r="O13" i="33"/>
  <c r="M13" i="33"/>
  <c r="Q13" i="33"/>
  <c r="N12" i="33"/>
  <c r="Y12" i="33"/>
  <c r="Q14" i="33"/>
  <c r="O14" i="33"/>
  <c r="M14" i="33"/>
  <c r="Q10" i="33"/>
  <c r="M10" i="33"/>
  <c r="O10" i="33"/>
  <c r="M12" i="33"/>
  <c r="O12" i="33"/>
  <c r="Q12" i="33"/>
  <c r="G44" i="43" l="1"/>
  <c r="H46" i="43"/>
  <c r="H5" i="43"/>
  <c r="F20" i="35"/>
  <c r="F19" i="35"/>
  <c r="F17" i="35"/>
  <c r="F16" i="35"/>
  <c r="F18" i="35"/>
  <c r="F17" i="43"/>
  <c r="F20" i="43"/>
  <c r="F19" i="43"/>
  <c r="F18" i="43"/>
  <c r="F16" i="43"/>
  <c r="D44" i="29"/>
  <c r="M15" i="35"/>
  <c r="H5" i="35"/>
  <c r="F19" i="29"/>
  <c r="F20" i="29"/>
  <c r="F18" i="29"/>
  <c r="F17" i="29"/>
  <c r="F16" i="29"/>
  <c r="D50" i="29"/>
  <c r="C5" i="29"/>
  <c r="K75" i="46" l="1"/>
  <c r="K74" i="46"/>
  <c r="K73" i="46"/>
  <c r="J74" i="46"/>
  <c r="K70" i="46"/>
  <c r="K71" i="46" s="1"/>
  <c r="H73" i="46"/>
  <c r="I56" i="46"/>
  <c r="F56" i="46"/>
  <c r="J56" i="46"/>
  <c r="J45" i="46"/>
  <c r="J46" i="46"/>
  <c r="J47" i="46"/>
  <c r="J48" i="46"/>
  <c r="J49" i="46"/>
  <c r="J50" i="46"/>
  <c r="J51" i="46"/>
  <c r="J52" i="46"/>
  <c r="J53" i="46"/>
  <c r="J54" i="46"/>
  <c r="J55" i="46"/>
  <c r="J44" i="46"/>
  <c r="I45" i="46"/>
  <c r="I46" i="46"/>
  <c r="I47" i="46"/>
  <c r="I48" i="46"/>
  <c r="I49" i="46"/>
  <c r="I50" i="46"/>
  <c r="I51" i="46"/>
  <c r="I52" i="46"/>
  <c r="I53" i="46"/>
  <c r="I54" i="46"/>
  <c r="I55" i="46"/>
  <c r="I44" i="46"/>
  <c r="F45" i="46"/>
  <c r="F46" i="46"/>
  <c r="F47" i="46"/>
  <c r="F48" i="46"/>
  <c r="F49" i="46"/>
  <c r="F50" i="46"/>
  <c r="F51" i="46"/>
  <c r="F52" i="46"/>
  <c r="F53" i="46"/>
  <c r="F54" i="46"/>
  <c r="F55" i="46"/>
  <c r="F44" i="46"/>
  <c r="F59" i="46" l="1"/>
  <c r="I59" i="46" s="1"/>
  <c r="H74" i="46"/>
  <c r="H32" i="46"/>
  <c r="C74" i="46"/>
  <c r="C73" i="46"/>
  <c r="C75" i="46" s="1"/>
  <c r="E73" i="46" s="1"/>
  <c r="E75" i="46" s="1"/>
  <c r="K69" i="46" l="1"/>
  <c r="E33" i="46" l="1"/>
  <c r="K60" i="46"/>
  <c r="K61" i="46"/>
  <c r="K59" i="46"/>
  <c r="F61" i="46"/>
  <c r="I61" i="46" s="1"/>
  <c r="K62" i="46" l="1"/>
  <c r="F60" i="46" l="1"/>
  <c r="I60" i="46" s="1"/>
  <c r="I62" i="46" l="1"/>
  <c r="D15" i="45" l="1"/>
  <c r="G12" i="45"/>
  <c r="G15" i="45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O21" i="33" l="1"/>
  <c r="Q21" i="33" s="1"/>
  <c r="R21" i="33" l="1"/>
  <c r="F15" i="46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19" i="33" l="1"/>
  <c r="N21" i="33" l="1"/>
  <c r="M21" i="33"/>
  <c r="V20" i="33" l="1"/>
  <c r="H2" i="29" l="1"/>
  <c r="H3" i="29" s="1"/>
  <c r="D60" i="39"/>
  <c r="D59" i="39"/>
  <c r="D61" i="39" s="1"/>
  <c r="D68" i="39" s="1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F79" i="39" l="1"/>
  <c r="D67" i="39"/>
  <c r="D32" i="45"/>
  <c r="G11" i="45"/>
  <c r="G14" i="45" s="1"/>
  <c r="F2" i="45" s="1"/>
  <c r="C13" i="45" l="1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G19" i="42" s="1"/>
  <c r="F26" i="42" s="1"/>
  <c r="G26" i="42" s="1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8" i="37" l="1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60" i="43"/>
  <c r="H60" i="43" s="1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C8" i="37"/>
  <c r="D42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D46" i="42"/>
  <c r="D47" i="42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D46" i="37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G31" i="29"/>
  <c r="D46" i="29" l="1"/>
  <c r="C24" i="36"/>
  <c r="E27" i="36"/>
  <c r="D47" i="29" l="1"/>
  <c r="C25" i="36"/>
  <c r="E25" i="36" s="1"/>
  <c r="J21" i="33"/>
  <c r="S21" i="33" s="1"/>
  <c r="E24" i="36"/>
  <c r="C34" i="36" l="1"/>
  <c r="C35" i="36" s="1"/>
  <c r="T21" i="33"/>
  <c r="W20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F9" i="25"/>
  <c r="B40" i="25" s="1"/>
  <c r="H8" i="25"/>
  <c r="H9" i="25" s="1"/>
  <c r="G8" i="25"/>
  <c r="G9" i="25" s="1"/>
  <c r="F8" i="25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21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<sst xmlns="http://schemas.openxmlformats.org/spreadsheetml/2006/main" count="1125" uniqueCount="400">
  <si>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</si>
  <si>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</si>
  <si>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</si>
  <si>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</si>
  <si>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</si>
  <si>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</si>
  <si>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</si>
  <si>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</si>
  <si>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</si>
  <si>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</si>
  <si>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</si>
  <si>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</si>
  <si>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</si>
  <si>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</si>
  <si>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</si>
  <si>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</si>
  <si>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</si>
  <si>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</si>
  <si>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</si>
  <si>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</si>
  <si>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</si>
  <si>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</si>
  <si>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</si>
  <si>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</si>
  <si>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</si>
  <si>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</si>
  <si>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</si>
  <si>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</si>
  <si>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</si>
  <si>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</si>
  <si>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</si>
  <si>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</si>
  <si>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</si>
  <si>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</si>
  <si>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</si>
  <si>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</si>
  <si>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</si>
  <si>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</si>
  <si>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</si>
  <si>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</si>
  <si>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</si>
  <si>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</si>
  <si>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</si>
  <si>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</si>
  <si>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</si>
  <si>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</si>
  <si>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</si>
  <si>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</si>
  <si>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</si>
  <si>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</si>
  <si>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</si>
  <si>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</si>
  <si>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</si>
  <si>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</si>
  <si>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</si>
  <si>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</si>
  <si>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</si>
  <si>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</si>
  <si>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</si>
  <si>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</si>
  <si>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</si>
  <si>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</si>
  <si>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</si>
  <si>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</si>
  <si>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</si>
  <si>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</si>
  <si>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</si>
  <si>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</si>
  <si>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</si>
  <si>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</si>
  <si>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</si>
  <si>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</si>
  <si>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</si>
  <si>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</si>
  <si>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</si>
  <si>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</si>
  <si>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</si>
  <si>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</si>
  <si>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</si>
  <si>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</si>
  <si>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</si>
  <si>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</si>
  <si>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</si>
  <si>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</si>
  <si>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</si>
  <si>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</si>
  <si>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</si>
  <si>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</si>
  <si>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</si>
  <si>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</si>
  <si>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</si>
  <si>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</si>
  <si>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</si>
  <si>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</si>
  <si>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</si>
  <si>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</si>
  <si>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</si>
  <si>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</si>
  <si>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</si>
  <si>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</si>
  <si>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</si>
  <si>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</si>
  <si>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</si>
  <si>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</si>
  <si>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</si>
  <si>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</si>
  <si>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</si>
  <si>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</si>
  <si>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</si>
  <si>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</si>
  <si>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</si>
  <si>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</si>
  <si>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</si>
  <si>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</si>
  <si>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</si>
  <si>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</si>
  <si>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</si>
  <si>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</si>
  <si>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</si>
  <si>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</si>
  <si>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</si>
  <si>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</si>
  <si>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</si>
  <si>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</si>
  <si>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</si>
  <si>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</si>
  <si>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</si>
  <si>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</si>
  <si>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</si>
  <si>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</si>
  <si>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</si>
  <si>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</si>
  <si>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</si>
  <si>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</si>
  <si>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</si>
  <si>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</si>
  <si>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</si>
  <si>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</si>
  <si>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</si>
  <si>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</si>
  <si>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</si>
  <si>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</si>
  <si>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</si>
  <si>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</si>
  <si>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</si>
  <si>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</si>
  <si>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</si>
  <si>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</si>
  <si>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</si>
  <si>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</si>
  <si>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</si>
  <si>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</si>
  <si>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</si>
  <si>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</si>
  <si>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</si>
  <si>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</si>
  <si>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</si>
  <si>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</si>
  <si>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</si>
  <si>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</si>
  <si>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</si>
  <si>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</si>
  <si>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</si>
  <si>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</si>
  <si>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</si>
  <si>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</si>
  <si>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</si>
  <si>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</si>
  <si>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</si>
  <si>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</si>
  <si>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</si>
  <si>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</si>
  <si>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</si>
  <si>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</si>
  <si>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</si>
  <si>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</si>
  <si>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</si>
  <si>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</si>
  <si>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</si>
  <si>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</si>
  <si>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</si>
  <si>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</si>
  <si>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</si>
  <si>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</si>
  <si>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</si>
  <si>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</si>
  <si>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</si>
  <si>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</si>
  <si>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</si>
  <si>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</si>
  <si>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</si>
  <si>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</si>
  <si>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</si>
  <si>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</si>
  <si>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</si>
  <si>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</si>
  <si>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</si>
  <si>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</si>
  <si>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</si>
  <si>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</si>
  <si>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</si>
  <si>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</si>
  <si>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</si>
  <si>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</si>
  <si>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</si>
  <si>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</si>
  <si>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</si>
  <si>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</si>
  <si>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</si>
  <si>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</si>
  <si>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</si>
  <si>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</si>
  <si>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</si>
  <si>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</si>
  <si>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</si>
  <si>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</si>
  <si>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</si>
  <si>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</si>
  <si>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</si>
  <si>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</si>
  <si>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</si>
  <si>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</si>
  <si>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</si>
  <si>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</si>
  <si>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</si>
  <si>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</si>
  <si>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</si>
  <si>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</si>
  <si>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</si>
  <si>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</si>
  <si>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</si>
  <si>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</si>
  <si>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</si>
  <si>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</si>
  <si>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</si>
  <si>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</si>
  <si>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</si>
  <si>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</si>
  <si>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</si>
  <si>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</si>
  <si>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</si>
  <si>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</si>
  <si>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</si>
  <si>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</si>
  <si>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</si>
  <si>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</si>
  <si>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</si>
  <si>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</si>
  <si>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</si>
  <si>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</si>
  <si>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</si>
  <si>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</si>
  <si>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</si>
  <si>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</si>
  <si>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</si>
  <si>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</si>
  <si>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</si>
  <si>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</si>
  <si>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</si>
  <si>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</si>
  <si>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</si>
  <si>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</si>
  <si>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</si>
  <si>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</si>
  <si>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</si>
  <si>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</si>
  <si>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</si>
  <si>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</si>
  <si>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</si>
  <si>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</si>
  <si>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</si>
  <si>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</si>
  <si>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</si>
  <si>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</si>
  <si>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</si>
  <si>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</si>
  <si>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</si>
  <si>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</si>
  <si>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</si>
  <si>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</si>
  <si>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</si>
  <si>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</si>
  <si>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</si>
  <si>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</si>
  <si>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</si>
  <si>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</si>
  <si>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</si>
  <si>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</si>
  <si>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</si>
  <si>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</si>
  <si>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</si>
  <si>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</si>
  <si>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</si>
  <si>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</si>
  <si>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</si>
  <si>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</si>
  <si>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</si>
  <si>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</si>
  <si>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</si>
  <si>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</si>
  <si>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</si>
  <si>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</si>
  <si>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</si>
  <si>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</si>
  <si>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</si>
  <si>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</si>
  <si>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</si>
  <si>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</si>
  <si>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</si>
  <si>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</si>
  <si>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</si>
  <si>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</si>
  <si>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</si>
  <si>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</si>
  <si>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</si>
  <si>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</si>
  <si>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</si>
  <si>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</si>
  <si>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</si>
  <si>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</si>
  <si>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</si>
  <si>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</si>
  <si>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</si>
  <si>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</si>
  <si>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</si>
  <si>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</si>
  <si>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</si>
  <si>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</si>
  <si>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</si>
  <si>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</si>
  <si>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</si>
  <si>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</si>
  <si>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</si>
  <si>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</si>
  <si>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</si>
  <si>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</si>
  <si>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</si>
  <si>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</si>
  <si>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</si>
  <si>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</si>
  <si>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</si>
  <si>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</si>
  <si>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</si>
  <si>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</si>
  <si>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</si>
  <si>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</si>
  <si>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</si>
  <si>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</si>
  <si>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</si>
  <si>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</si>
  <si>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</si>
  <si>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</si>
  <si>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</si>
  <si>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</si>
  <si>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</si>
  <si>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</si>
  <si>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</si>
  <si>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</si>
  <si>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</si>
  <si>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</si>
  <si>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</si>
  <si>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</si>
  <si>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</si>
  <si>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</si>
  <si>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</si>
  <si>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</si>
  <si>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</si>
  <si>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</si>
  <si>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</si>
  <si>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</si>
  <si>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</si>
  <si>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</si>
  <si>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</si>
  <si>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</si>
  <si>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</si>
  <si>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</si>
  <si>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</si>
  <si>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</si>
  <si>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</si>
  <si>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Revestimento em pedra moledo em pilares em até 1m de altura</t>
  </si>
  <si>
    <t>un.</t>
  </si>
  <si>
    <t>Fechamento em reguas de pinus nas areas de parede, cercado e portão</t>
  </si>
  <si>
    <t>Corredor de passagem com 2m de largura em concreto desempenado camurçado, incluso concreto</t>
  </si>
  <si>
    <t>vb</t>
  </si>
  <si>
    <t xml:space="preserve">Estrutura em Aço Galvanizado a frio (LSF) Z275 para area de cobertura e muretas.
Incluso todos os insumos como fixações, parafusos, etc. </t>
  </si>
  <si>
    <t>Estruturação e verticalização de Pilares roliços de tronco de eucalipto para apoio da estrutura LSF incluindo sapatas e concreto</t>
  </si>
  <si>
    <t>Arandelas de iluminação nos 44 pilares de tronco e 1 ponto de iluminação em cada baia</t>
  </si>
  <si>
    <t>1.1</t>
  </si>
  <si>
    <t>1.2</t>
  </si>
  <si>
    <t>1.3</t>
  </si>
  <si>
    <t>1.4</t>
  </si>
  <si>
    <t>1.5</t>
  </si>
  <si>
    <t>1.6</t>
  </si>
  <si>
    <t>Execução de baias</t>
  </si>
  <si>
    <t xml:space="preserve">FORMA DE PAGAMENTO: </t>
  </si>
  <si>
    <t>1.0 - SERVIÇOS -</t>
  </si>
  <si>
    <r>
      <t xml:space="preserve">Cliente: KABOCABANA
Obra: Baia (Sorocaba)
Proprietária: 
Projetos base orçamento:   </t>
    </r>
    <r>
      <rPr>
        <b/>
        <sz val="14"/>
        <color rgb="FFFF0000"/>
        <rFont val="Arial"/>
        <family val="2"/>
      </rPr>
      <t>ORÇAMENTO ESTIMATIVO</t>
    </r>
    <r>
      <rPr>
        <b/>
        <sz val="12"/>
        <rFont val="Arial"/>
        <family val="2"/>
      </rPr>
      <t xml:space="preserve">                                                             
Nós nas redes:
https://veksengenharia.com/
https://www.instagram.com/veksengenharia/</t>
    </r>
  </si>
  <si>
    <r>
      <t xml:space="preserve">Garantia sobre o serviço de 5 anos.
</t>
    </r>
    <r>
      <rPr>
        <b/>
        <sz val="12"/>
        <color rgb="FFFF0000"/>
        <rFont val="Arial"/>
        <family val="2"/>
      </rPr>
      <t>ESSE ORÇAMENTO ESTÁ BASEADO EM UMA ESTIMATIVA</t>
    </r>
    <r>
      <rPr>
        <sz val="12"/>
        <rFont val="Arial"/>
        <family val="2"/>
      </rPr>
      <t xml:space="preserve">
PRAZO de 50 dias trabalhados</t>
    </r>
  </si>
  <si>
    <t>1.7</t>
  </si>
  <si>
    <t xml:space="preserve">Pintura da estrutura do telhado e fundo de OSB do telhado shingle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</si>
</sst>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65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43" fontId="45" fillId="0" borderId="4" xfId="17" applyFont="1" applyBorder="1" applyAlignment="1" applyProtection="1">
      <alignment horizontal="center" vertical="center"/>
      <protection locked="0"/>
    </xf>
    <xf numFmtId="0" fontId="44" fillId="0" borderId="4" xfId="0" applyNumberFormat="1" applyFont="1" applyBorder="1" applyAlignment="1">
      <alignment horizontal="left" vertical="center" wrapText="1"/>
    </xf>
    <xf numFmtId="0" fontId="44" fillId="2" borderId="4" xfId="0" applyNumberFormat="1" applyFont="1" applyFill="1" applyBorder="1" applyAlignment="1">
      <alignment horizontal="left" vertical="center" wrapText="1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54" fillId="19" borderId="13" xfId="0" applyFont="1" applyFill="1" applyBorder="1" applyAlignment="1" applyProtection="1">
      <alignment vertical="center" wrapText="1"/>
      <protection locked="0"/>
    </xf>
    <xf numFmtId="167" fontId="54" fillId="19" borderId="9" xfId="0" applyFont="1" applyFill="1" applyBorder="1" applyAlignment="1" applyProtection="1">
      <alignment vertical="center" wrapText="1"/>
      <protection locked="0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6" fillId="9" borderId="0" xfId="0" applyFont="1" applyFill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54" fillId="19" borderId="20" xfId="0" applyFont="1" applyFill="1" applyBorder="1" applyAlignment="1" applyProtection="1">
      <alignment horizontal="center" vertical="center" wrapText="1"/>
      <protection locked="0"/>
    </xf>
    <xf numFmtId="167" fontId="54" fillId="19" borderId="10" xfId="0" applyFont="1" applyFill="1" applyBorder="1" applyAlignment="1" applyProtection="1">
      <alignment horizontal="center" vertical="center" wrapText="1"/>
      <protection locked="0"/>
    </xf>
    <xf numFmtId="167" fontId="54" fillId="19" borderId="21" xfId="0" applyFont="1" applyFill="1" applyBorder="1" applyAlignment="1" applyProtection="1">
      <alignment horizontal="center" vertical="center" wrapText="1"/>
      <protection locked="0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o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61532</xdr:colOff>
      <xdr:row>1</xdr:row>
      <xdr:rowOff>72839</xdr:rowOff>
    </xdr:from>
    <xdr:to>
      <xdr:col>14</xdr:col>
      <xdr:colOff>1543656</xdr:colOff>
      <xdr:row>1</xdr:row>
      <xdr:rowOff>1387929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97603" y="249732"/>
          <a:ext cx="13477576" cy="1315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27</xdr:row>
      <xdr:rowOff>216380</xdr:rowOff>
    </xdr:from>
    <xdr:to>
      <xdr:col>14</xdr:col>
      <xdr:colOff>228921</xdr:colOff>
      <xdr:row>27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2485066</xdr:colOff>
      <xdr:row>3</xdr:row>
      <xdr:rowOff>1352710</xdr:rowOff>
    </xdr:from>
    <xdr:to>
      <xdr:col>2</xdr:col>
      <xdr:colOff>2693715</xdr:colOff>
      <xdr:row>3</xdr:row>
      <xdr:rowOff>1559656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1684" y="3224092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2"/>
  <sheetViews>
    <sheetView showGridLines="0" tabSelected="1" view="pageBreakPreview" topLeftCell="A2" zoomScale="70" zoomScaleNormal="90" zoomScaleSheetLayoutView="70" workbookViewId="0">
      <selection activeCell="A17" sqref="A17:XFD17"/>
    </sheetView>
  </sheetViews>
  <sheetFormatPr defaultColWidth="9.140625" defaultRowHeight="12.75" outlineLevelCol="1"/>
  <cols>
    <col min="1" max="1" width="2" style="171" customWidth="1"/>
    <col min="2" max="2" width="15.5703125" style="171" bestFit="1" customWidth="1"/>
    <col min="3" max="3" width="87.28515625" style="171" customWidth="1"/>
    <col min="4" max="4" width="12.7109375" style="171" customWidth="1"/>
    <col min="5" max="5" width="12.7109375" style="229" customWidth="1"/>
    <col min="6" max="6" width="24" style="171" hidden="1" customWidth="1" outlineLevel="1"/>
    <col min="7" max="7" width="24.5703125" style="171" hidden="1" customWidth="1" outlineLevel="1"/>
    <col min="8" max="9" width="33.28515625" style="171" hidden="1" customWidth="1" outlineLevel="1"/>
    <col min="10" max="10" width="24.5703125" style="171" hidden="1" customWidth="1" outlineLevel="1"/>
    <col min="11" max="11" width="21.5703125" style="171" hidden="1" customWidth="1" outlineLevel="1"/>
    <col min="12" max="12" width="17.140625" style="171" hidden="1" customWidth="1" outlineLevel="1"/>
    <col min="13" max="13" width="24.5703125" style="171" customWidth="1" outlineLevel="1"/>
    <col min="14" max="14" width="27.140625" style="171" customWidth="1" outlineLevel="1"/>
    <col min="15" max="15" width="24.5703125" style="171" customWidth="1" outlineLevel="1"/>
    <col min="16" max="16" width="2.5703125" style="171" customWidth="1"/>
    <col min="17" max="18" width="27.28515625" style="171" bestFit="1" customWidth="1"/>
    <col min="19" max="19" width="26.42578125" style="171" bestFit="1" customWidth="1"/>
    <col min="20" max="20" width="21.140625" style="171" bestFit="1" customWidth="1"/>
    <col min="21" max="21" width="18.28515625" style="171" customWidth="1"/>
    <col min="22" max="22" width="23" style="171" hidden="1" customWidth="1"/>
    <col min="23" max="23" width="17.140625" style="171" hidden="1" customWidth="1"/>
    <col min="24" max="24" width="13" style="171" bestFit="1" customWidth="1"/>
    <col min="25" max="31" width="18.7109375" style="171" customWidth="1"/>
    <col min="32" max="33" width="9.140625" style="171"/>
    <col min="34" max="34" width="12" style="171" bestFit="1" customWidth="1"/>
    <col min="35" max="35" width="12.7109375" style="171" bestFit="1" customWidth="1"/>
    <col min="36" max="36" width="12.28515625" style="171" bestFit="1" customWidth="1"/>
    <col min="37" max="37" width="15.28515625" style="171" bestFit="1" customWidth="1"/>
    <col min="38" max="16384" width="9.140625" style="171"/>
  </cols>
  <sheetData>
    <row r="1" spans="1:37" ht="13.5" thickBot="1">
      <c r="A1" s="170"/>
      <c r="B1" s="367"/>
      <c r="C1" s="367"/>
      <c r="D1" s="367"/>
      <c r="E1" s="367"/>
      <c r="Q1" s="170"/>
    </row>
    <row r="2" spans="1:37" ht="115.5" customHeight="1" thickBot="1">
      <c r="B2" s="368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70"/>
      <c r="P2" s="172"/>
      <c r="Q2" s="173"/>
    </row>
    <row r="3" spans="1:37" s="174" customFormat="1" ht="18.75" customHeight="1" thickBot="1">
      <c r="A3" s="171"/>
      <c r="B3" s="371" t="s">
        <v>108</v>
      </c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3"/>
      <c r="P3" s="237"/>
      <c r="Q3" s="376" t="s">
        <v>91</v>
      </c>
      <c r="R3" s="376"/>
      <c r="S3" s="376"/>
      <c r="T3" s="376"/>
      <c r="U3" s="376"/>
      <c r="V3" s="376"/>
      <c r="W3" s="376"/>
      <c r="Y3" s="376" t="s">
        <v>92</v>
      </c>
      <c r="Z3" s="376"/>
      <c r="AA3" s="376"/>
      <c r="AB3" s="376"/>
      <c r="AC3" s="376"/>
      <c r="AD3" s="376"/>
      <c r="AE3" s="376"/>
    </row>
    <row r="4" spans="1:37" ht="132" customHeight="1" thickBot="1">
      <c r="B4" s="377" t="s">
        <v>396</v>
      </c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9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5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.75" thickBot="1">
      <c r="B6" s="384" t="s">
        <v>395</v>
      </c>
      <c r="C6" s="385"/>
      <c r="D6" s="385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6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8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80" t="s">
        <v>3</v>
      </c>
      <c r="R7" s="381"/>
      <c r="S7" s="381"/>
      <c r="T7" s="381"/>
      <c r="U7" s="381"/>
      <c r="V7" s="381"/>
      <c r="W7" s="382"/>
      <c r="Y7" s="184"/>
      <c r="Z7" s="383" t="s">
        <v>3</v>
      </c>
      <c r="AA7" s="383"/>
      <c r="AB7" s="383"/>
      <c r="AC7" s="383"/>
      <c r="AD7" s="383"/>
      <c r="AE7" s="383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2.25" thickBot="1">
      <c r="B8" s="358" t="s">
        <v>0</v>
      </c>
      <c r="C8" s="345" t="s">
        <v>114</v>
      </c>
      <c r="D8" s="345" t="s">
        <v>72</v>
      </c>
      <c r="E8" s="346" t="s">
        <v>73</v>
      </c>
      <c r="F8" s="347" t="s">
        <v>110</v>
      </c>
      <c r="G8" s="347" t="s">
        <v>109</v>
      </c>
      <c r="H8" s="347" t="s">
        <v>95</v>
      </c>
      <c r="I8" s="347" t="s">
        <v>111</v>
      </c>
      <c r="J8" s="347" t="s">
        <v>74</v>
      </c>
      <c r="K8" s="347" t="s">
        <v>112</v>
      </c>
      <c r="L8" s="347" t="s">
        <v>113</v>
      </c>
      <c r="M8" s="348" t="s">
        <v>275</v>
      </c>
      <c r="N8" s="348" t="s">
        <v>276</v>
      </c>
      <c r="O8" s="359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9">
        <v>1</v>
      </c>
      <c r="C9" s="350" t="s">
        <v>393</v>
      </c>
      <c r="D9" s="350"/>
      <c r="E9" s="351"/>
      <c r="F9" s="352"/>
      <c r="G9" s="352"/>
      <c r="H9" s="352"/>
      <c r="I9" s="352"/>
      <c r="J9" s="352"/>
      <c r="K9" s="353"/>
      <c r="L9" s="353"/>
      <c r="M9" s="353"/>
      <c r="N9" s="353"/>
      <c r="O9" s="354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185" customFormat="1" ht="25.5">
      <c r="B10" s="363" t="s">
        <v>387</v>
      </c>
      <c r="C10" s="240" t="s">
        <v>384</v>
      </c>
      <c r="D10" s="242" t="s">
        <v>383</v>
      </c>
      <c r="E10" s="243">
        <v>1</v>
      </c>
      <c r="F10" s="239">
        <f>(23000*13)+20000</f>
        <v>319000</v>
      </c>
      <c r="G10" s="360">
        <f>7*23000</f>
        <v>161000</v>
      </c>
      <c r="H10" s="360">
        <f t="shared" ref="H10:H16" si="0">ROUND(F10*E10,2)</f>
        <v>319000</v>
      </c>
      <c r="I10" s="360">
        <f t="shared" ref="I10:I16" si="1">ROUND(G10*E10,2)</f>
        <v>161000</v>
      </c>
      <c r="J10" s="360">
        <f t="shared" ref="J10:J16" si="2">ROUND((F10+G10)*E10,2)</f>
        <v>480000</v>
      </c>
      <c r="K10" s="360">
        <f t="shared" ref="K10:K16" si="3">U10</f>
        <v>425333.33333333331</v>
      </c>
      <c r="L10" s="360">
        <f t="shared" ref="L10:L16" si="4">AC10</f>
        <v>309615.38461538462</v>
      </c>
      <c r="M10" s="361">
        <f t="shared" ref="M10:M16" si="5">ROUND(K10*E10,2)</f>
        <v>425333.33</v>
      </c>
      <c r="N10" s="361">
        <f t="shared" ref="N10:N16" si="6">ROUND(L10*E10,2)</f>
        <v>309615.38</v>
      </c>
      <c r="O10" s="364">
        <f t="shared" ref="O10:O16" si="7">ROUND((K10+L10)*E10,2)</f>
        <v>734948.72</v>
      </c>
      <c r="P10" s="187"/>
      <c r="Q10" s="188">
        <f>(K10/F10)-1</f>
        <v>0.33333333333333326</v>
      </c>
      <c r="R10" s="189"/>
      <c r="S10" s="190">
        <v>0.25</v>
      </c>
      <c r="T10" s="210">
        <f t="shared" ref="T10:T16" si="8">F10</f>
        <v>319000</v>
      </c>
      <c r="U10" s="211">
        <f t="shared" ref="U10:U16" si="9">T10/(1-S10-R10)</f>
        <v>425333.33333333331</v>
      </c>
      <c r="V10" s="211">
        <f t="shared" ref="V10:V16" si="10">U10*R10</f>
        <v>0</v>
      </c>
      <c r="W10" s="211">
        <f t="shared" ref="W10:W16" si="11">U10-V10-T10</f>
        <v>106333.33333333331</v>
      </c>
      <c r="Y10" s="188">
        <f t="shared" ref="Y10:Y16" si="12">(L10/G10)-1</f>
        <v>0.92307692307692313</v>
      </c>
      <c r="Z10" s="189">
        <v>0.13</v>
      </c>
      <c r="AA10" s="190">
        <v>0.35</v>
      </c>
      <c r="AB10" s="191">
        <f t="shared" ref="AB10:AB16" si="13">G10</f>
        <v>161000</v>
      </c>
      <c r="AC10" s="192">
        <f t="shared" ref="AC10:AC16" si="14">AB10/(1-AA10-Z10)</f>
        <v>309615.38461538462</v>
      </c>
      <c r="AD10" s="192">
        <f t="shared" ref="AD10:AD16" si="15">AC10*Z10</f>
        <v>40250</v>
      </c>
      <c r="AE10" s="192">
        <f t="shared" ref="AE10:AE16" si="16">AC10-AD10-AB10</f>
        <v>108365.38461538462</v>
      </c>
      <c r="AH10" s="193"/>
      <c r="AI10" s="193"/>
      <c r="AJ10" s="193"/>
      <c r="AK10" s="193"/>
    </row>
    <row r="11" spans="1:37" s="185" customFormat="1" ht="15.75">
      <c r="B11" s="363" t="s">
        <v>388</v>
      </c>
      <c r="C11" s="241" t="s">
        <v>399</v>
      </c>
      <c r="D11" s="242" t="s">
        <v>245</v>
      </c>
      <c r="E11" s="243">
        <v>1700</v>
      </c>
      <c r="F11" s="244">
        <v>0</v>
      </c>
      <c r="G11" s="360">
        <v>35</v>
      </c>
      <c r="H11" s="360">
        <f t="shared" ref="H11" si="17">ROUND(F11*E11,2)</f>
        <v>0</v>
      </c>
      <c r="I11" s="360">
        <f t="shared" ref="I11" si="18">ROUND(G11*E11,2)</f>
        <v>59500</v>
      </c>
      <c r="J11" s="360">
        <f t="shared" ref="J11" si="19">ROUND((F11+G11)*E11,2)</f>
        <v>59500</v>
      </c>
      <c r="K11" s="360">
        <f t="shared" ref="K11" si="20">U11</f>
        <v>0</v>
      </c>
      <c r="L11" s="360">
        <f t="shared" ref="L11" si="21">AC11</f>
        <v>61.403508771929829</v>
      </c>
      <c r="M11" s="361">
        <f t="shared" ref="M11" si="22">ROUND(K11*E11,2)</f>
        <v>0</v>
      </c>
      <c r="N11" s="361">
        <f t="shared" ref="N11" si="23">ROUND(L11*E11,2)</f>
        <v>104385.96</v>
      </c>
      <c r="O11" s="364">
        <f t="shared" ref="O11" si="24">ROUND((K11+L11)*E11,2)</f>
        <v>104385.96</v>
      </c>
      <c r="P11" s="187"/>
      <c r="Q11" s="188" t="e">
        <f t="shared" ref="Q11" si="25">(K11/F11)-1</f>
        <v>#DIV/0!</v>
      </c>
      <c r="R11" s="189"/>
      <c r="S11" s="190">
        <v>0.2</v>
      </c>
      <c r="T11" s="210">
        <f t="shared" ref="T11" si="26">F11</f>
        <v>0</v>
      </c>
      <c r="U11" s="211">
        <f t="shared" ref="U11" si="27">T11/(1-S11-R11)</f>
        <v>0</v>
      </c>
      <c r="V11" s="211">
        <f t="shared" ref="V11" si="28">U11*R11</f>
        <v>0</v>
      </c>
      <c r="W11" s="211">
        <f t="shared" ref="W11" si="29">U11-V11-T11</f>
        <v>0</v>
      </c>
      <c r="Y11" s="188">
        <f t="shared" ref="Y11" si="30">(L11/G11)-1</f>
        <v>0.75438596491228083</v>
      </c>
      <c r="Z11" s="189">
        <v>0.13</v>
      </c>
      <c r="AA11" s="190">
        <v>0.3</v>
      </c>
      <c r="AB11" s="191">
        <f t="shared" ref="AB11" si="31">G11</f>
        <v>35</v>
      </c>
      <c r="AC11" s="192">
        <f t="shared" ref="AC11" si="32">AB11/(1-AA11-Z11)</f>
        <v>61.403508771929829</v>
      </c>
      <c r="AD11" s="192">
        <f t="shared" ref="AD11" si="33">AC11*Z11</f>
        <v>7.9824561403508785</v>
      </c>
      <c r="AE11" s="192">
        <f t="shared" ref="AE11" si="34">AC11-AD11-AB11</f>
        <v>18.421052631578952</v>
      </c>
      <c r="AH11" s="193"/>
      <c r="AI11" s="193"/>
      <c r="AJ11" s="193"/>
      <c r="AK11" s="193"/>
    </row>
    <row r="12" spans="1:37" s="185" customFormat="1" ht="15.75">
      <c r="B12" s="363" t="s">
        <v>389</v>
      </c>
      <c r="C12" s="241" t="s">
        <v>381</v>
      </c>
      <c r="D12" s="242" t="s">
        <v>245</v>
      </c>
      <c r="E12" s="243">
        <v>1700</v>
      </c>
      <c r="F12" s="244">
        <v>0</v>
      </c>
      <c r="G12" s="360">
        <v>63</v>
      </c>
      <c r="H12" s="360">
        <f t="shared" si="0"/>
        <v>0</v>
      </c>
      <c r="I12" s="360">
        <f t="shared" si="1"/>
        <v>107100</v>
      </c>
      <c r="J12" s="360">
        <f t="shared" si="2"/>
        <v>107100</v>
      </c>
      <c r="K12" s="360">
        <f t="shared" si="3"/>
        <v>0</v>
      </c>
      <c r="L12" s="360">
        <f t="shared" si="4"/>
        <v>110.5263157894737</v>
      </c>
      <c r="M12" s="361">
        <f t="shared" si="5"/>
        <v>0</v>
      </c>
      <c r="N12" s="361">
        <f t="shared" si="6"/>
        <v>187894.74</v>
      </c>
      <c r="O12" s="364">
        <f t="shared" si="7"/>
        <v>187894.74</v>
      </c>
      <c r="P12" s="187"/>
      <c r="Q12" s="188" t="e">
        <f t="shared" ref="Q12:Q16" si="35">(K12/F12)-1</f>
        <v>#DIV/0!</v>
      </c>
      <c r="R12" s="189"/>
      <c r="S12" s="190">
        <v>0.2</v>
      </c>
      <c r="T12" s="210">
        <f t="shared" si="8"/>
        <v>0</v>
      </c>
      <c r="U12" s="211">
        <f t="shared" si="9"/>
        <v>0</v>
      </c>
      <c r="V12" s="211">
        <f t="shared" si="10"/>
        <v>0</v>
      </c>
      <c r="W12" s="211">
        <f t="shared" si="11"/>
        <v>0</v>
      </c>
      <c r="Y12" s="188">
        <f t="shared" si="12"/>
        <v>0.75438596491228105</v>
      </c>
      <c r="Z12" s="189">
        <v>0.13</v>
      </c>
      <c r="AA12" s="190">
        <v>0.3</v>
      </c>
      <c r="AB12" s="191">
        <f t="shared" si="13"/>
        <v>63</v>
      </c>
      <c r="AC12" s="192">
        <f t="shared" si="14"/>
        <v>110.5263157894737</v>
      </c>
      <c r="AD12" s="192">
        <f t="shared" si="15"/>
        <v>14.368421052631581</v>
      </c>
      <c r="AE12" s="192">
        <f t="shared" si="16"/>
        <v>33.157894736842124</v>
      </c>
      <c r="AH12" s="193"/>
      <c r="AI12" s="193"/>
      <c r="AJ12" s="193"/>
      <c r="AK12" s="193"/>
    </row>
    <row r="13" spans="1:37" s="185" customFormat="1" ht="25.5">
      <c r="B13" s="363" t="s">
        <v>390</v>
      </c>
      <c r="C13" s="241" t="s">
        <v>385</v>
      </c>
      <c r="D13" s="242" t="s">
        <v>383</v>
      </c>
      <c r="E13" s="243">
        <v>1</v>
      </c>
      <c r="F13" s="244">
        <v>0</v>
      </c>
      <c r="G13" s="360">
        <v>50000</v>
      </c>
      <c r="H13" s="360">
        <f t="shared" si="0"/>
        <v>0</v>
      </c>
      <c r="I13" s="360">
        <f t="shared" si="1"/>
        <v>50000</v>
      </c>
      <c r="J13" s="360">
        <f t="shared" si="2"/>
        <v>50000</v>
      </c>
      <c r="K13" s="360">
        <f t="shared" si="3"/>
        <v>0</v>
      </c>
      <c r="L13" s="360">
        <f t="shared" si="4"/>
        <v>87719.298245614045</v>
      </c>
      <c r="M13" s="361">
        <f t="shared" si="5"/>
        <v>0</v>
      </c>
      <c r="N13" s="361">
        <f t="shared" si="6"/>
        <v>87719.3</v>
      </c>
      <c r="O13" s="364">
        <f t="shared" si="7"/>
        <v>87719.3</v>
      </c>
      <c r="P13" s="187"/>
      <c r="Q13" s="188" t="e">
        <f t="shared" si="35"/>
        <v>#DIV/0!</v>
      </c>
      <c r="R13" s="189"/>
      <c r="S13" s="190">
        <v>0.2</v>
      </c>
      <c r="T13" s="210">
        <f t="shared" si="8"/>
        <v>0</v>
      </c>
      <c r="U13" s="211">
        <f t="shared" si="9"/>
        <v>0</v>
      </c>
      <c r="V13" s="211">
        <f t="shared" si="10"/>
        <v>0</v>
      </c>
      <c r="W13" s="211">
        <f t="shared" si="11"/>
        <v>0</v>
      </c>
      <c r="Y13" s="188">
        <f t="shared" si="12"/>
        <v>0.75438596491228083</v>
      </c>
      <c r="Z13" s="189">
        <v>0.13</v>
      </c>
      <c r="AA13" s="190">
        <v>0.3</v>
      </c>
      <c r="AB13" s="191">
        <f t="shared" si="13"/>
        <v>50000</v>
      </c>
      <c r="AC13" s="192">
        <f t="shared" si="14"/>
        <v>87719.298245614045</v>
      </c>
      <c r="AD13" s="192">
        <f t="shared" si="15"/>
        <v>11403.508771929826</v>
      </c>
      <c r="AE13" s="192">
        <f t="shared" si="16"/>
        <v>26315.789473684214</v>
      </c>
      <c r="AH13" s="193"/>
      <c r="AI13" s="193"/>
      <c r="AJ13" s="193"/>
      <c r="AK13" s="193"/>
    </row>
    <row r="14" spans="1:37" s="185" customFormat="1" ht="25.5">
      <c r="B14" s="363" t="s">
        <v>391</v>
      </c>
      <c r="C14" s="241" t="s">
        <v>382</v>
      </c>
      <c r="D14" s="242" t="s">
        <v>383</v>
      </c>
      <c r="E14" s="243">
        <v>1</v>
      </c>
      <c r="F14" s="244">
        <f>1200*24.2</f>
        <v>29040</v>
      </c>
      <c r="G14" s="360">
        <f>484*35</f>
        <v>16940</v>
      </c>
      <c r="H14" s="360">
        <f t="shared" si="0"/>
        <v>29040</v>
      </c>
      <c r="I14" s="360">
        <f t="shared" si="1"/>
        <v>16940</v>
      </c>
      <c r="J14" s="360">
        <f t="shared" si="2"/>
        <v>45980</v>
      </c>
      <c r="K14" s="360">
        <f t="shared" si="3"/>
        <v>36300</v>
      </c>
      <c r="L14" s="360">
        <f t="shared" si="4"/>
        <v>29719.298245614038</v>
      </c>
      <c r="M14" s="361">
        <f t="shared" si="5"/>
        <v>36300</v>
      </c>
      <c r="N14" s="361">
        <f t="shared" si="6"/>
        <v>29719.3</v>
      </c>
      <c r="O14" s="364">
        <f t="shared" si="7"/>
        <v>66019.3</v>
      </c>
      <c r="P14" s="187"/>
      <c r="Q14" s="188">
        <f t="shared" si="35"/>
        <v>0.25</v>
      </c>
      <c r="R14" s="189"/>
      <c r="S14" s="190">
        <v>0.2</v>
      </c>
      <c r="T14" s="210">
        <f t="shared" si="8"/>
        <v>29040</v>
      </c>
      <c r="U14" s="211">
        <f t="shared" si="9"/>
        <v>36300</v>
      </c>
      <c r="V14" s="211">
        <f t="shared" si="10"/>
        <v>0</v>
      </c>
      <c r="W14" s="211">
        <f t="shared" si="11"/>
        <v>7260</v>
      </c>
      <c r="Y14" s="188">
        <f t="shared" si="12"/>
        <v>0.75438596491228083</v>
      </c>
      <c r="Z14" s="189">
        <v>0.13</v>
      </c>
      <c r="AA14" s="190">
        <v>0.3</v>
      </c>
      <c r="AB14" s="191">
        <f t="shared" si="13"/>
        <v>16940</v>
      </c>
      <c r="AC14" s="192">
        <f t="shared" si="14"/>
        <v>29719.298245614038</v>
      </c>
      <c r="AD14" s="192">
        <f t="shared" si="15"/>
        <v>3863.5087719298249</v>
      </c>
      <c r="AE14" s="192">
        <f t="shared" si="16"/>
        <v>8915.7894736842136</v>
      </c>
      <c r="AH14" s="193"/>
      <c r="AI14" s="193"/>
      <c r="AJ14" s="193"/>
      <c r="AK14" s="193"/>
    </row>
    <row r="15" spans="1:37" s="185" customFormat="1" ht="15.75">
      <c r="B15" s="363" t="s">
        <v>392</v>
      </c>
      <c r="C15" s="241" t="s">
        <v>379</v>
      </c>
      <c r="D15" s="242" t="s">
        <v>245</v>
      </c>
      <c r="E15" s="243">
        <v>80</v>
      </c>
      <c r="F15" s="244">
        <v>0</v>
      </c>
      <c r="G15" s="360">
        <v>230</v>
      </c>
      <c r="H15" s="360">
        <f t="shared" ref="H15" si="36">ROUND(F15*E15,2)</f>
        <v>0</v>
      </c>
      <c r="I15" s="360">
        <f t="shared" ref="I15" si="37">ROUND(G15*E15,2)</f>
        <v>18400</v>
      </c>
      <c r="J15" s="360">
        <f t="shared" ref="J15" si="38">ROUND((F15+G15)*E15,2)</f>
        <v>18400</v>
      </c>
      <c r="K15" s="360">
        <f t="shared" ref="K15" si="39">U15</f>
        <v>0</v>
      </c>
      <c r="L15" s="360">
        <f t="shared" ref="L15" si="40">AC15</f>
        <v>403.5087719298246</v>
      </c>
      <c r="M15" s="361">
        <f t="shared" ref="M15" si="41">ROUND(K15*E15,2)</f>
        <v>0</v>
      </c>
      <c r="N15" s="361">
        <f t="shared" ref="N15" si="42">ROUND(L15*E15,2)</f>
        <v>32280.7</v>
      </c>
      <c r="O15" s="364">
        <f t="shared" ref="O15" si="43">ROUND((K15+L15)*E15,2)</f>
        <v>32280.7</v>
      </c>
      <c r="P15" s="187"/>
      <c r="Q15" s="188" t="e">
        <f t="shared" ref="Q15" si="44">(K15/F15)-1</f>
        <v>#DIV/0!</v>
      </c>
      <c r="R15" s="189"/>
      <c r="S15" s="190">
        <v>0.2</v>
      </c>
      <c r="T15" s="210">
        <f t="shared" ref="T15" si="45">F15</f>
        <v>0</v>
      </c>
      <c r="U15" s="211">
        <f t="shared" ref="U15" si="46">T15/(1-S15-R15)</f>
        <v>0</v>
      </c>
      <c r="V15" s="211">
        <f t="shared" ref="V15" si="47">U15*R15</f>
        <v>0</v>
      </c>
      <c r="W15" s="211">
        <f t="shared" ref="W15" si="48">U15-V15-T15</f>
        <v>0</v>
      </c>
      <c r="Y15" s="188">
        <f t="shared" ref="Y15" si="49">(L15/G15)-1</f>
        <v>0.75438596491228083</v>
      </c>
      <c r="Z15" s="189">
        <v>0.13</v>
      </c>
      <c r="AA15" s="190">
        <v>0.3</v>
      </c>
      <c r="AB15" s="191">
        <f t="shared" ref="AB15" si="50">G15</f>
        <v>230</v>
      </c>
      <c r="AC15" s="192">
        <f t="shared" ref="AC15" si="51">AB15/(1-AA15-Z15)</f>
        <v>403.5087719298246</v>
      </c>
      <c r="AD15" s="192">
        <f t="shared" ref="AD15" si="52">AC15*Z15</f>
        <v>52.456140350877199</v>
      </c>
      <c r="AE15" s="192">
        <f t="shared" ref="AE15" si="53">AC15-AD15-AB15</f>
        <v>121.0526315789474</v>
      </c>
      <c r="AH15" s="193"/>
      <c r="AI15" s="193"/>
      <c r="AJ15" s="193"/>
      <c r="AK15" s="193"/>
    </row>
    <row r="16" spans="1:37" s="185" customFormat="1" ht="24.75" customHeight="1">
      <c r="B16" s="363" t="s">
        <v>398</v>
      </c>
      <c r="C16" s="241" t="s">
        <v>386</v>
      </c>
      <c r="D16" s="242" t="s">
        <v>380</v>
      </c>
      <c r="E16" s="243">
        <v>1</v>
      </c>
      <c r="F16" s="244">
        <v>0</v>
      </c>
      <c r="G16" s="360">
        <v>12000</v>
      </c>
      <c r="H16" s="360">
        <f t="shared" si="0"/>
        <v>0</v>
      </c>
      <c r="I16" s="360">
        <f t="shared" si="1"/>
        <v>12000</v>
      </c>
      <c r="J16" s="360">
        <f t="shared" si="2"/>
        <v>12000</v>
      </c>
      <c r="K16" s="360">
        <f t="shared" si="3"/>
        <v>0</v>
      </c>
      <c r="L16" s="360">
        <f t="shared" si="4"/>
        <v>21052.63157894737</v>
      </c>
      <c r="M16" s="361">
        <f t="shared" si="5"/>
        <v>0</v>
      </c>
      <c r="N16" s="361">
        <f t="shared" si="6"/>
        <v>21052.63</v>
      </c>
      <c r="O16" s="364">
        <f t="shared" si="7"/>
        <v>21052.63</v>
      </c>
      <c r="P16" s="187"/>
      <c r="Q16" s="188" t="e">
        <f t="shared" si="35"/>
        <v>#DIV/0!</v>
      </c>
      <c r="R16" s="189"/>
      <c r="S16" s="190">
        <v>0.2</v>
      </c>
      <c r="T16" s="210">
        <f t="shared" si="8"/>
        <v>0</v>
      </c>
      <c r="U16" s="211">
        <f t="shared" si="9"/>
        <v>0</v>
      </c>
      <c r="V16" s="211">
        <f t="shared" si="10"/>
        <v>0</v>
      </c>
      <c r="W16" s="211">
        <f t="shared" si="11"/>
        <v>0</v>
      </c>
      <c r="Y16" s="188">
        <f t="shared" si="12"/>
        <v>0.75438596491228083</v>
      </c>
      <c r="Z16" s="189">
        <v>0.13</v>
      </c>
      <c r="AA16" s="190">
        <v>0.3</v>
      </c>
      <c r="AB16" s="191">
        <f t="shared" si="13"/>
        <v>12000</v>
      </c>
      <c r="AC16" s="192">
        <f t="shared" si="14"/>
        <v>21052.63157894737</v>
      </c>
      <c r="AD16" s="192">
        <f t="shared" si="15"/>
        <v>2736.8421052631584</v>
      </c>
      <c r="AE16" s="192">
        <f t="shared" si="16"/>
        <v>6315.7894736842136</v>
      </c>
      <c r="AH16" s="193"/>
      <c r="AI16" s="193"/>
      <c r="AJ16" s="193"/>
      <c r="AK16" s="193"/>
    </row>
    <row r="17" spans="1:37" ht="19.5" hidden="1" thickBot="1">
      <c r="B17" s="365"/>
      <c r="C17" s="366"/>
      <c r="D17" s="366"/>
      <c r="E17" s="366"/>
      <c r="F17" s="366"/>
      <c r="G17" s="366"/>
      <c r="H17" s="362">
        <f>SUM(H9:H16)</f>
        <v>348040</v>
      </c>
      <c r="I17" s="362">
        <f>SUM(I9:I16)</f>
        <v>424940</v>
      </c>
      <c r="J17" s="362">
        <f>SUM(J9:J16)</f>
        <v>772980</v>
      </c>
      <c r="K17" s="362"/>
      <c r="L17" s="362"/>
      <c r="M17" s="362">
        <f>SUM(M9:M16)</f>
        <v>461633.33</v>
      </c>
      <c r="N17" s="362">
        <f>SUM(N9:N16)</f>
        <v>772668.01000000013</v>
      </c>
      <c r="O17" s="362">
        <f>SUM(O9:O16)</f>
        <v>1234301.3499999999</v>
      </c>
      <c r="P17" s="187"/>
      <c r="Q17" s="188"/>
      <c r="R17" s="189"/>
      <c r="S17" s="190"/>
      <c r="T17" s="210"/>
      <c r="U17" s="211"/>
      <c r="V17" s="211"/>
      <c r="W17" s="211"/>
      <c r="X17" s="185"/>
      <c r="Y17" s="188"/>
      <c r="Z17" s="189">
        <v>0.13</v>
      </c>
      <c r="AA17" s="190"/>
      <c r="AB17" s="191"/>
      <c r="AC17" s="192"/>
      <c r="AD17" s="192"/>
      <c r="AE17" s="192"/>
      <c r="AH17" s="174"/>
      <c r="AI17" s="174"/>
      <c r="AJ17" s="174"/>
      <c r="AK17" s="174"/>
    </row>
    <row r="18" spans="1:37" ht="9" customHeight="1" thickBot="1">
      <c r="A18" s="355"/>
      <c r="B18" s="356"/>
      <c r="C18" s="230"/>
      <c r="E18" s="231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194"/>
      <c r="Q18" s="2"/>
      <c r="R18" s="195"/>
      <c r="S18" s="190"/>
      <c r="T18" s="196"/>
      <c r="U18" s="197"/>
      <c r="V18" s="197"/>
      <c r="W18" s="197"/>
      <c r="AA18" s="190"/>
      <c r="AH18" s="171" t="s">
        <v>102</v>
      </c>
      <c r="AJ18" s="171">
        <v>1578.8</v>
      </c>
    </row>
    <row r="19" spans="1:37" ht="12.95" customHeight="1">
      <c r="A19" s="355"/>
      <c r="B19" s="356"/>
      <c r="C19" s="230"/>
      <c r="E19" s="231"/>
      <c r="F19" s="232"/>
      <c r="G19" s="232"/>
      <c r="H19" s="374" t="s">
        <v>95</v>
      </c>
      <c r="I19" s="374" t="s">
        <v>96</v>
      </c>
      <c r="J19" s="374" t="s">
        <v>97</v>
      </c>
      <c r="K19" s="232"/>
      <c r="L19" s="232"/>
      <c r="M19" s="374" t="s">
        <v>277</v>
      </c>
      <c r="N19" s="374" t="s">
        <v>278</v>
      </c>
      <c r="O19" s="374" t="s">
        <v>279</v>
      </c>
      <c r="P19" s="194"/>
      <c r="Q19" s="59" t="s">
        <v>103</v>
      </c>
      <c r="R19" s="59" t="s">
        <v>104</v>
      </c>
      <c r="S19" s="59" t="s">
        <v>105</v>
      </c>
      <c r="T19" s="59" t="s">
        <v>106</v>
      </c>
      <c r="U19" s="59" t="s">
        <v>107</v>
      </c>
      <c r="V19" s="197">
        <v>533.16</v>
      </c>
      <c r="W19" s="197">
        <f>V19</f>
        <v>533.16</v>
      </c>
    </row>
    <row r="20" spans="1:37" ht="12.95" customHeight="1" thickBot="1">
      <c r="A20" s="355"/>
      <c r="B20" s="357"/>
      <c r="C20" s="198"/>
      <c r="D20" s="198"/>
      <c r="E20" s="233"/>
      <c r="F20" s="232"/>
      <c r="G20" s="232"/>
      <c r="H20" s="375"/>
      <c r="I20" s="375"/>
      <c r="J20" s="375"/>
      <c r="K20" s="232"/>
      <c r="L20" s="232"/>
      <c r="M20" s="375"/>
      <c r="N20" s="375"/>
      <c r="O20" s="375"/>
      <c r="P20" s="1"/>
      <c r="Q20" s="59"/>
      <c r="R20" s="195"/>
      <c r="S20" s="195"/>
      <c r="T20" s="196"/>
      <c r="U20" s="197"/>
      <c r="V20" s="197">
        <f>O21/V19</f>
        <v>2315.0674281641532</v>
      </c>
      <c r="W20" s="197">
        <f>J21/W19</f>
        <v>1449.8086878235426</v>
      </c>
    </row>
    <row r="21" spans="1:37" s="174" customFormat="1" ht="49.5" customHeight="1" thickBot="1">
      <c r="A21" s="171"/>
      <c r="B21" s="397" t="s">
        <v>2</v>
      </c>
      <c r="C21" s="398"/>
      <c r="D21" s="398"/>
      <c r="E21" s="398"/>
      <c r="F21" s="398"/>
      <c r="G21" s="399"/>
      <c r="H21" s="340">
        <f>H17</f>
        <v>348040</v>
      </c>
      <c r="I21" s="340">
        <f>I17</f>
        <v>424940</v>
      </c>
      <c r="J21" s="340">
        <f>J17</f>
        <v>772980</v>
      </c>
      <c r="K21" s="341"/>
      <c r="L21" s="342"/>
      <c r="M21" s="340">
        <f>M17</f>
        <v>461633.33</v>
      </c>
      <c r="N21" s="342">
        <f>N17</f>
        <v>772668.01000000013</v>
      </c>
      <c r="O21" s="342">
        <f>O17</f>
        <v>1234301.3499999999</v>
      </c>
      <c r="P21" s="238"/>
      <c r="Q21" s="199">
        <f>O21*0.13</f>
        <v>160459.17549999998</v>
      </c>
      <c r="R21" s="199">
        <f>O21*0.1</f>
        <v>123430.13499999999</v>
      </c>
      <c r="S21" s="199">
        <f>O21-J21-Q21-R21-Q25</f>
        <v>177432.03949999984</v>
      </c>
      <c r="T21" s="218">
        <f>S21/O21</f>
        <v>0.1437509887678563</v>
      </c>
      <c r="U21" s="218">
        <f>(O21/J21)-1</f>
        <v>0.596808908380553</v>
      </c>
    </row>
    <row r="22" spans="1:37" ht="8.25" customHeight="1">
      <c r="B22" s="390"/>
      <c r="C22" s="391"/>
      <c r="D22" s="391"/>
      <c r="E22" s="391"/>
      <c r="F22" s="391"/>
      <c r="G22" s="391"/>
      <c r="H22" s="391"/>
      <c r="I22" s="391"/>
      <c r="J22" s="391"/>
      <c r="K22" s="391"/>
      <c r="L22" s="391"/>
      <c r="M22" s="391"/>
      <c r="N22" s="391"/>
      <c r="O22" s="392"/>
      <c r="P22" s="173"/>
    </row>
    <row r="23" spans="1:37" ht="15.75" customHeight="1">
      <c r="B23" s="393" t="s">
        <v>90</v>
      </c>
      <c r="C23" s="394"/>
      <c r="D23" s="394"/>
      <c r="E23" s="394"/>
      <c r="F23" s="394"/>
      <c r="G23" s="394"/>
      <c r="H23" s="330"/>
      <c r="I23" s="330"/>
      <c r="J23" s="330"/>
      <c r="K23" s="331"/>
      <c r="L23" s="331"/>
      <c r="M23" s="332"/>
      <c r="N23" s="332"/>
      <c r="O23" s="235"/>
      <c r="P23" s="201"/>
      <c r="Q23" s="202"/>
      <c r="R23" s="198"/>
      <c r="S23" s="198"/>
    </row>
    <row r="24" spans="1:37" ht="27.75" customHeight="1">
      <c r="B24" s="393" t="s">
        <v>394</v>
      </c>
      <c r="C24" s="394"/>
      <c r="D24" s="394"/>
      <c r="E24" s="394"/>
      <c r="F24" s="394"/>
      <c r="G24" s="394"/>
      <c r="H24" s="333"/>
      <c r="I24" s="333"/>
      <c r="J24" s="333"/>
      <c r="K24" s="333"/>
      <c r="L24" s="333"/>
      <c r="M24" s="333"/>
      <c r="N24" s="333"/>
      <c r="O24" s="343"/>
      <c r="P24" s="204"/>
      <c r="Q24" s="205" t="s">
        <v>281</v>
      </c>
      <c r="R24" s="198"/>
      <c r="S24" s="198"/>
    </row>
    <row r="25" spans="1:37" ht="17.25" customHeight="1">
      <c r="B25" s="395" t="s">
        <v>397</v>
      </c>
      <c r="C25" s="396"/>
      <c r="D25" s="396"/>
      <c r="E25" s="396"/>
      <c r="F25" s="396"/>
      <c r="G25" s="396"/>
      <c r="H25" s="339"/>
      <c r="I25" s="339"/>
      <c r="J25" s="339"/>
      <c r="K25" s="339"/>
      <c r="L25" s="339"/>
      <c r="M25" s="339"/>
      <c r="N25" s="339"/>
      <c r="O25" s="344"/>
      <c r="P25" s="204"/>
      <c r="Q25" s="329">
        <v>0</v>
      </c>
      <c r="R25" s="198"/>
      <c r="S25" s="198"/>
    </row>
    <row r="26" spans="1:37" ht="28.5" customHeight="1">
      <c r="B26" s="395"/>
      <c r="C26" s="396"/>
      <c r="D26" s="396"/>
      <c r="E26" s="396"/>
      <c r="F26" s="396"/>
      <c r="G26" s="396"/>
      <c r="H26" s="331"/>
      <c r="I26" s="331"/>
      <c r="J26" s="331"/>
      <c r="K26" s="331"/>
      <c r="L26" s="331"/>
      <c r="M26" s="331"/>
      <c r="N26" s="334"/>
      <c r="O26" s="234"/>
      <c r="P26" s="204"/>
      <c r="Q26" s="205"/>
      <c r="R26" s="198"/>
      <c r="S26" s="198"/>
    </row>
    <row r="27" spans="1:37" ht="6" customHeight="1">
      <c r="B27" s="168"/>
      <c r="C27" s="335"/>
      <c r="D27" s="336"/>
      <c r="E27" s="337"/>
      <c r="F27" s="336"/>
      <c r="G27" s="336"/>
      <c r="H27" s="336"/>
      <c r="I27" s="336"/>
      <c r="J27" s="336"/>
      <c r="K27" s="336"/>
      <c r="L27" s="336"/>
      <c r="M27" s="336"/>
      <c r="N27" s="338"/>
      <c r="O27" s="203"/>
      <c r="P27" s="204"/>
      <c r="Q27" s="205"/>
      <c r="R27" s="198"/>
      <c r="S27" s="198"/>
    </row>
    <row r="28" spans="1:37" ht="34.5" customHeight="1">
      <c r="B28" s="387" t="s">
        <v>274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9"/>
      <c r="P28" s="169"/>
      <c r="Q28" s="206"/>
    </row>
    <row r="29" spans="1:37" ht="7.5" customHeight="1" thickBot="1">
      <c r="B29" s="200"/>
      <c r="C29" s="207"/>
      <c r="D29" s="207"/>
      <c r="E29" s="228"/>
      <c r="F29" s="207"/>
      <c r="G29" s="207"/>
      <c r="H29" s="207"/>
      <c r="I29" s="207"/>
      <c r="J29" s="207"/>
      <c r="K29" s="207"/>
      <c r="L29" s="207"/>
      <c r="M29" s="207"/>
      <c r="N29" s="207"/>
      <c r="O29" s="208"/>
    </row>
    <row r="30" spans="1:37">
      <c r="A30" s="170"/>
      <c r="Q30" s="170"/>
    </row>
    <row r="31" spans="1:37">
      <c r="C31" s="198"/>
    </row>
    <row r="32" spans="1:37" ht="15">
      <c r="C32" s="185"/>
    </row>
    <row r="33" spans="3:3" ht="15">
      <c r="C33" s="185"/>
    </row>
    <row r="34" spans="3:3" ht="15">
      <c r="C34" s="185"/>
    </row>
    <row r="35" spans="3:3" ht="15">
      <c r="C35" s="185"/>
    </row>
    <row r="36" spans="3:3" ht="15">
      <c r="C36" s="185"/>
    </row>
    <row r="37" spans="3:3" ht="15">
      <c r="C37" s="185"/>
    </row>
    <row r="38" spans="3:3" ht="15">
      <c r="C38" s="185"/>
    </row>
    <row r="39" spans="3:3" ht="15">
      <c r="C39" s="185"/>
    </row>
    <row r="40" spans="3:3" ht="15">
      <c r="C40" s="185"/>
    </row>
    <row r="41" spans="3:3" ht="15">
      <c r="C41" s="185"/>
    </row>
    <row r="42" spans="3:3" ht="15">
      <c r="C42" s="185"/>
    </row>
    <row r="43" spans="3:3" ht="15">
      <c r="C43" s="185"/>
    </row>
    <row r="44" spans="3:3" ht="15">
      <c r="C44" s="185"/>
    </row>
    <row r="45" spans="3:3" ht="15">
      <c r="C45" s="185"/>
    </row>
    <row r="46" spans="3:3" ht="15">
      <c r="C46" s="185"/>
    </row>
    <row r="47" spans="3:3" ht="15">
      <c r="C47" s="185"/>
    </row>
    <row r="48" spans="3:3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185"/>
    </row>
    <row r="85" spans="3:3" ht="15">
      <c r="C85" s="209"/>
    </row>
    <row r="86" spans="3:3" ht="15">
      <c r="C86" s="209"/>
    </row>
    <row r="87" spans="3:3" ht="15">
      <c r="C87" s="209"/>
    </row>
    <row r="88" spans="3:3" ht="15">
      <c r="C88" s="209"/>
    </row>
    <row r="89" spans="3:3" ht="15">
      <c r="C89" s="185"/>
    </row>
    <row r="90" spans="3:3" ht="15">
      <c r="C90" s="185"/>
    </row>
    <row r="91" spans="3:3" ht="15">
      <c r="C91" s="185"/>
    </row>
    <row r="92" spans="3:3" ht="15">
      <c r="C92" s="185"/>
    </row>
  </sheetData>
  <sheetProtection formatCells="0" formatColumns="0" formatRows="0" insertColumns="0" insertRows="0" insertHyperlinks="0" deleteColumns="0" deleteRows="0" sort="0" autoFilter="0" pivotTables="0"/>
  <dataConsolidate/>
  <mergeCells count="21">
    <mergeCell ref="B28:O28"/>
    <mergeCell ref="B22:O22"/>
    <mergeCell ref="B24:G24"/>
    <mergeCell ref="B25:G26"/>
    <mergeCell ref="Q3:W3"/>
    <mergeCell ref="B21:G21"/>
    <mergeCell ref="B23:G23"/>
    <mergeCell ref="Y3:AE3"/>
    <mergeCell ref="B4:O4"/>
    <mergeCell ref="Q7:W7"/>
    <mergeCell ref="Z7:AE7"/>
    <mergeCell ref="B6:O6"/>
    <mergeCell ref="B1:E1"/>
    <mergeCell ref="B2:O2"/>
    <mergeCell ref="B3:O3"/>
    <mergeCell ref="H19:H20"/>
    <mergeCell ref="I19:I20"/>
    <mergeCell ref="J19:J20"/>
    <mergeCell ref="M19:M20"/>
    <mergeCell ref="N19:N20"/>
    <mergeCell ref="O19:O20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48" fitToHeight="0" orientation="portrait" r:id="rId1"/>
  <ignoredErrors>
    <ignoredError sqref="J21:L21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54" workbookViewId="0">
      <selection activeCell="L59" sqref="L59"/>
    </sheetView>
  </sheetViews>
  <sheetFormatPr defaultRowHeight="12.75"/>
  <cols>
    <col min="1" max="1" width="5.5703125" style="245" customWidth="1"/>
    <col min="2" max="2" width="27.28515625" style="245" bestFit="1" customWidth="1"/>
    <col min="3" max="3" width="13.28515625" style="245" bestFit="1" customWidth="1"/>
    <col min="4" max="4" width="14.42578125" style="245" bestFit="1" customWidth="1"/>
    <col min="5" max="5" width="12.140625" style="245" bestFit="1" customWidth="1"/>
    <col min="6" max="6" width="13.42578125" style="245" bestFit="1" customWidth="1"/>
    <col min="7" max="7" width="9.5703125" style="245" hidden="1" customWidth="1"/>
    <col min="8" max="8" width="18.5703125" style="245" bestFit="1" customWidth="1"/>
    <col min="9" max="9" width="19.7109375" style="245" bestFit="1" customWidth="1"/>
    <col min="10" max="10" width="14.28515625" style="245" bestFit="1" customWidth="1"/>
    <col min="11" max="11" width="15.42578125" style="245" bestFit="1" customWidth="1"/>
    <col min="12" max="12" width="13.5703125" style="245" bestFit="1" customWidth="1"/>
    <col min="13" max="16384" width="9.140625" style="245"/>
  </cols>
  <sheetData>
    <row r="2" spans="2:12" ht="13.5" thickBot="1"/>
    <row r="3" spans="2:12" ht="15.75" thickBot="1">
      <c r="B3" s="414" t="s">
        <v>341</v>
      </c>
      <c r="C3" s="415"/>
      <c r="D3" s="415"/>
      <c r="E3" s="415"/>
      <c r="F3" s="415"/>
      <c r="G3" s="415"/>
      <c r="H3" s="415"/>
      <c r="I3" s="415"/>
      <c r="J3" s="415"/>
      <c r="K3" s="415"/>
      <c r="L3" s="416"/>
    </row>
    <row r="4" spans="2:12">
      <c r="B4" s="266" t="s">
        <v>282</v>
      </c>
      <c r="C4" s="290">
        <v>1</v>
      </c>
      <c r="D4" s="271">
        <v>0.2</v>
      </c>
      <c r="E4" s="272">
        <f>D4*J6</f>
        <v>34.577999999999996</v>
      </c>
      <c r="F4" s="421" t="s">
        <v>378</v>
      </c>
      <c r="G4" s="421"/>
      <c r="H4" s="421"/>
      <c r="I4" s="421"/>
      <c r="J4" s="421"/>
      <c r="K4" s="421"/>
      <c r="L4" s="422"/>
    </row>
    <row r="5" spans="2:12">
      <c r="B5" s="259" t="s">
        <v>285</v>
      </c>
      <c r="C5" s="267" t="s">
        <v>284</v>
      </c>
      <c r="D5" s="260" t="s">
        <v>289</v>
      </c>
      <c r="E5" s="260" t="s">
        <v>283</v>
      </c>
      <c r="F5" s="268" t="s">
        <v>293</v>
      </c>
      <c r="G5"/>
      <c r="H5" s="124" t="s">
        <v>294</v>
      </c>
      <c r="I5" s="260" t="s">
        <v>291</v>
      </c>
      <c r="J5" s="260" t="s">
        <v>292</v>
      </c>
      <c r="K5" s="260" t="s">
        <v>1</v>
      </c>
      <c r="L5" s="261" t="s">
        <v>295</v>
      </c>
    </row>
    <row r="6" spans="2:12">
      <c r="B6" s="262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17">
        <f>SUM(I6:I8)</f>
        <v>172.89</v>
      </c>
      <c r="K6" s="417">
        <f>J6+E4</f>
        <v>207.46799999999999</v>
      </c>
      <c r="L6" s="419">
        <f>K6/C4</f>
        <v>207.46799999999999</v>
      </c>
    </row>
    <row r="7" spans="2:12">
      <c r="B7" s="262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17"/>
      <c r="K7" s="417"/>
      <c r="L7" s="419"/>
    </row>
    <row r="8" spans="2:12" ht="13.5" thickBot="1">
      <c r="B8" s="264" t="s">
        <v>288</v>
      </c>
      <c r="C8" s="263">
        <v>75</v>
      </c>
      <c r="D8" s="269">
        <v>5</v>
      </c>
      <c r="E8" s="270">
        <v>1</v>
      </c>
      <c r="F8" s="265">
        <f>E8*C4</f>
        <v>1</v>
      </c>
      <c r="G8" s="265">
        <f>F8/D8</f>
        <v>0.2</v>
      </c>
      <c r="H8" s="270">
        <f>CEILING(G8,1)</f>
        <v>1</v>
      </c>
      <c r="I8" s="263">
        <f>H8*C8</f>
        <v>75</v>
      </c>
      <c r="J8" s="418"/>
      <c r="K8" s="418"/>
      <c r="L8" s="420"/>
    </row>
    <row r="9" spans="2:12" ht="13.5" thickBot="1">
      <c r="B9" s="250"/>
    </row>
    <row r="10" spans="2:12" ht="15.75" thickBot="1">
      <c r="B10" s="414" t="s">
        <v>342</v>
      </c>
      <c r="C10" s="415"/>
      <c r="D10" s="415"/>
      <c r="E10" s="415"/>
      <c r="F10" s="415"/>
      <c r="G10" s="415"/>
      <c r="H10" s="415"/>
      <c r="I10" s="415"/>
      <c r="J10" s="415"/>
      <c r="K10" s="415"/>
      <c r="L10" s="416"/>
    </row>
    <row r="11" spans="2:12">
      <c r="B11" s="266" t="s">
        <v>282</v>
      </c>
      <c r="C11" s="290">
        <v>1</v>
      </c>
      <c r="D11" s="271">
        <v>0.2</v>
      </c>
      <c r="E11" s="272">
        <f>D11*J13</f>
        <v>32.098000000000006</v>
      </c>
      <c r="F11" s="421" t="s">
        <v>378</v>
      </c>
      <c r="G11" s="421"/>
      <c r="H11" s="421"/>
      <c r="I11" s="421"/>
      <c r="J11" s="421"/>
      <c r="K11" s="421"/>
      <c r="L11" s="422"/>
    </row>
    <row r="12" spans="2:12">
      <c r="B12" s="259" t="s">
        <v>285</v>
      </c>
      <c r="C12" s="267" t="s">
        <v>284</v>
      </c>
      <c r="D12" s="260" t="s">
        <v>289</v>
      </c>
      <c r="E12" s="260" t="s">
        <v>283</v>
      </c>
      <c r="F12" s="268" t="s">
        <v>293</v>
      </c>
      <c r="G12"/>
      <c r="H12" s="124" t="s">
        <v>294</v>
      </c>
      <c r="I12" s="260" t="s">
        <v>291</v>
      </c>
      <c r="J12" s="260" t="s">
        <v>292</v>
      </c>
      <c r="K12" s="260" t="s">
        <v>1</v>
      </c>
      <c r="L12" s="261" t="s">
        <v>295</v>
      </c>
    </row>
    <row r="13" spans="2:12">
      <c r="B13" s="262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17">
        <f>SUM(I13:I15)</f>
        <v>160.49</v>
      </c>
      <c r="K13" s="417">
        <f>J13+E11</f>
        <v>192.58800000000002</v>
      </c>
      <c r="L13" s="419">
        <f>K13/C11</f>
        <v>192.58800000000002</v>
      </c>
    </row>
    <row r="14" spans="2:12">
      <c r="B14" s="262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17"/>
      <c r="K14" s="417"/>
      <c r="L14" s="419"/>
    </row>
    <row r="15" spans="2:12" ht="13.5" thickBot="1">
      <c r="B15" s="264" t="s">
        <v>288</v>
      </c>
      <c r="C15" s="263">
        <v>75</v>
      </c>
      <c r="D15" s="269">
        <v>5</v>
      </c>
      <c r="E15" s="270">
        <v>1</v>
      </c>
      <c r="F15" s="265">
        <f>E15*C11</f>
        <v>1</v>
      </c>
      <c r="G15" s="265">
        <f>F15/D15</f>
        <v>0.2</v>
      </c>
      <c r="H15" s="270">
        <f>CEILING(G15,1)</f>
        <v>1</v>
      </c>
      <c r="I15" s="263">
        <f>H15*C15</f>
        <v>75</v>
      </c>
      <c r="J15" s="418"/>
      <c r="K15" s="418"/>
      <c r="L15" s="420"/>
    </row>
    <row r="16" spans="2:12">
      <c r="B16" s="250"/>
      <c r="D16" s="247"/>
      <c r="E16" s="248"/>
      <c r="F16" s="249"/>
      <c r="G16" s="249"/>
      <c r="H16" s="248"/>
      <c r="J16" s="251"/>
      <c r="K16" s="251"/>
      <c r="L16" s="251"/>
    </row>
    <row r="17" spans="2:12">
      <c r="B17" s="250"/>
      <c r="D17" s="247"/>
      <c r="E17" s="248"/>
      <c r="F17" s="249"/>
      <c r="G17" s="249"/>
      <c r="H17" s="248"/>
      <c r="J17" s="251"/>
      <c r="K17" s="251"/>
      <c r="L17" s="251"/>
    </row>
    <row r="18" spans="2:12" ht="13.5" thickBot="1">
      <c r="B18" s="250"/>
      <c r="D18" s="247"/>
      <c r="E18" s="248"/>
      <c r="F18" s="249"/>
      <c r="G18" s="249"/>
      <c r="H18" s="248"/>
      <c r="J18" s="251"/>
      <c r="K18" s="251"/>
      <c r="L18" s="251"/>
    </row>
    <row r="19" spans="2:12" ht="15.75" thickBot="1">
      <c r="B19" s="414" t="s">
        <v>315</v>
      </c>
      <c r="C19" s="415"/>
      <c r="D19" s="415"/>
      <c r="E19" s="416"/>
      <c r="F19" s="427"/>
      <c r="G19" s="427"/>
      <c r="H19" s="427"/>
      <c r="I19" s="427"/>
      <c r="J19" s="428"/>
      <c r="K19" s="428"/>
      <c r="L19" s="428"/>
    </row>
    <row r="20" spans="2:12">
      <c r="B20" s="291" t="s">
        <v>296</v>
      </c>
      <c r="C20" s="292" t="s">
        <v>309</v>
      </c>
      <c r="D20" s="293" t="s">
        <v>310</v>
      </c>
      <c r="E20" s="294" t="s">
        <v>311</v>
      </c>
      <c r="I20" s="246"/>
    </row>
    <row r="21" spans="2:12">
      <c r="B21" s="295" t="s">
        <v>306</v>
      </c>
      <c r="C21" s="304">
        <v>20.2</v>
      </c>
      <c r="D21" s="305">
        <v>9.7100000000000009</v>
      </c>
      <c r="E21" s="298">
        <f>C21*D21</f>
        <v>196.14200000000002</v>
      </c>
      <c r="H21" s="253"/>
    </row>
    <row r="22" spans="2:12">
      <c r="B22" s="295" t="s">
        <v>307</v>
      </c>
      <c r="C22" s="304">
        <f>(20.2*2)+(9.71*2)</f>
        <v>59.82</v>
      </c>
      <c r="D22" s="305">
        <v>5.67</v>
      </c>
      <c r="E22" s="298">
        <f t="shared" ref="E22" si="2">C22*D22</f>
        <v>339.17939999999999</v>
      </c>
      <c r="H22" s="253"/>
    </row>
    <row r="23" spans="2:12">
      <c r="B23" s="295" t="s">
        <v>308</v>
      </c>
      <c r="C23" s="304">
        <f>(9.71*8)+(4*2)+(2.4*2)+(20.2*2)+(2.5*4)+(1.5*2)+(2.5*2)+(1.6*2)</f>
        <v>152.07999999999998</v>
      </c>
      <c r="D23" s="305">
        <v>4.09</v>
      </c>
      <c r="E23" s="298">
        <f>C23*D23</f>
        <v>622.0071999999999</v>
      </c>
      <c r="H23" s="253"/>
    </row>
    <row r="24" spans="2:12">
      <c r="B24" s="299" t="s">
        <v>312</v>
      </c>
      <c r="C24" s="306">
        <f>(3*2)+(4.2*2)+(2.5*4)+(1.5*4)</f>
        <v>30.4</v>
      </c>
      <c r="D24" s="306">
        <v>3.92</v>
      </c>
      <c r="E24" s="300">
        <f>C24*D24</f>
        <v>119.16799999999999</v>
      </c>
      <c r="H24" s="253"/>
    </row>
    <row r="25" spans="2:12">
      <c r="B25" s="299" t="s">
        <v>313</v>
      </c>
      <c r="C25" s="306">
        <f>C23-C24</f>
        <v>121.67999999999998</v>
      </c>
      <c r="D25" s="306" t="s">
        <v>290</v>
      </c>
      <c r="E25" s="300">
        <f>E23-E24</f>
        <v>502.83919999999989</v>
      </c>
      <c r="H25" s="253"/>
    </row>
    <row r="26" spans="2:12" ht="13.5" thickBot="1">
      <c r="B26" s="301" t="s">
        <v>314</v>
      </c>
      <c r="C26" s="307">
        <v>20.2</v>
      </c>
      <c r="D26" s="308">
        <v>9.7100000000000009</v>
      </c>
      <c r="E26" s="303">
        <f>C26*D26</f>
        <v>196.14200000000002</v>
      </c>
      <c r="F26" s="253"/>
      <c r="H26" s="253"/>
    </row>
    <row r="27" spans="2:12">
      <c r="B27" s="250"/>
      <c r="C27" s="249"/>
      <c r="D27" s="252"/>
      <c r="E27" s="249"/>
    </row>
    <row r="28" spans="2:12">
      <c r="B28" s="250"/>
      <c r="D28" s="247"/>
      <c r="F28" s="249"/>
      <c r="G28" s="249"/>
      <c r="H28" s="248"/>
      <c r="J28" s="251"/>
      <c r="K28" s="251"/>
      <c r="L28" s="251"/>
    </row>
    <row r="29" spans="2:12" ht="13.5" thickBot="1">
      <c r="B29" s="250"/>
      <c r="D29" s="247"/>
      <c r="E29" s="248"/>
      <c r="F29" s="249"/>
      <c r="G29" s="249"/>
      <c r="H29" s="248"/>
      <c r="J29" s="251"/>
      <c r="K29" s="251"/>
      <c r="L29" s="251"/>
    </row>
    <row r="30" spans="2:12" ht="15.75" thickBot="1">
      <c r="B30" s="414" t="s">
        <v>305</v>
      </c>
      <c r="C30" s="415"/>
      <c r="D30" s="415"/>
      <c r="E30" s="415"/>
      <c r="F30" s="415"/>
      <c r="G30" s="415"/>
      <c r="H30" s="416"/>
    </row>
    <row r="31" spans="2:12">
      <c r="B31" s="291" t="s">
        <v>296</v>
      </c>
      <c r="C31" s="292" t="s">
        <v>297</v>
      </c>
      <c r="D31" s="292" t="s">
        <v>298</v>
      </c>
      <c r="E31" s="292" t="s">
        <v>299</v>
      </c>
      <c r="F31" s="292" t="s">
        <v>300</v>
      </c>
      <c r="G31" s="292"/>
      <c r="H31" s="309" t="s">
        <v>301</v>
      </c>
    </row>
    <row r="32" spans="2:12">
      <c r="B32" s="310" t="s">
        <v>343</v>
      </c>
      <c r="C32" s="297" t="s">
        <v>290</v>
      </c>
      <c r="D32" s="297" t="s">
        <v>290</v>
      </c>
      <c r="E32" s="296">
        <v>15</v>
      </c>
      <c r="F32" s="429">
        <f>SUM(E32:E39)</f>
        <v>88.345533333333321</v>
      </c>
      <c r="G32" s="429">
        <f>F32/22</f>
        <v>4.0157060606060604</v>
      </c>
      <c r="H32" s="431">
        <f>ROUNDUP(G32/1,0)</f>
        <v>5</v>
      </c>
    </row>
    <row r="33" spans="2:11">
      <c r="B33" s="310" t="s">
        <v>302</v>
      </c>
      <c r="C33" s="304">
        <v>5600</v>
      </c>
      <c r="D33" s="296">
        <v>700</v>
      </c>
      <c r="E33" s="296">
        <f>C33/D33</f>
        <v>8</v>
      </c>
      <c r="F33" s="429"/>
      <c r="G33" s="429"/>
      <c r="H33" s="431"/>
    </row>
    <row r="34" spans="2:11">
      <c r="B34" s="310" t="s">
        <v>303</v>
      </c>
      <c r="C34" s="304">
        <f>E22</f>
        <v>339.17939999999999</v>
      </c>
      <c r="D34" s="296">
        <v>15</v>
      </c>
      <c r="E34" s="296">
        <f>C34/D34</f>
        <v>22.61196</v>
      </c>
      <c r="F34" s="429"/>
      <c r="G34" s="429"/>
      <c r="H34" s="431"/>
    </row>
    <row r="35" spans="2:11">
      <c r="B35" s="310" t="s">
        <v>304</v>
      </c>
      <c r="C35" s="304">
        <f>E23</f>
        <v>622.0071999999999</v>
      </c>
      <c r="D35" s="296">
        <v>30</v>
      </c>
      <c r="E35" s="296">
        <f>C35/D35</f>
        <v>20.733573333333329</v>
      </c>
      <c r="F35" s="429"/>
      <c r="G35" s="429"/>
      <c r="H35" s="431"/>
    </row>
    <row r="36" spans="2:11">
      <c r="B36" s="310" t="s">
        <v>316</v>
      </c>
      <c r="C36" s="297" t="s">
        <v>290</v>
      </c>
      <c r="D36" s="297" t="s">
        <v>290</v>
      </c>
      <c r="E36" s="433">
        <v>22</v>
      </c>
      <c r="F36" s="429"/>
      <c r="G36" s="429"/>
      <c r="H36" s="431"/>
    </row>
    <row r="37" spans="2:11">
      <c r="B37" s="310" t="s">
        <v>344</v>
      </c>
      <c r="C37" s="297" t="s">
        <v>290</v>
      </c>
      <c r="D37" s="297" t="s">
        <v>290</v>
      </c>
      <c r="E37" s="433"/>
      <c r="F37" s="429"/>
      <c r="G37" s="429"/>
      <c r="H37" s="431"/>
    </row>
    <row r="38" spans="2:11">
      <c r="B38" s="310" t="s">
        <v>345</v>
      </c>
      <c r="C38" s="297" t="s">
        <v>290</v>
      </c>
      <c r="D38" s="297" t="s">
        <v>290</v>
      </c>
      <c r="E38" s="433"/>
      <c r="F38" s="429"/>
      <c r="G38" s="429"/>
      <c r="H38" s="431"/>
    </row>
    <row r="39" spans="2:11" ht="13.5" thickBot="1">
      <c r="B39" s="301" t="s">
        <v>346</v>
      </c>
      <c r="C39" s="302" t="s">
        <v>290</v>
      </c>
      <c r="D39" s="302" t="s">
        <v>290</v>
      </c>
      <c r="E39" s="434"/>
      <c r="F39" s="430"/>
      <c r="G39" s="430"/>
      <c r="H39" s="432"/>
    </row>
    <row r="40" spans="2:11">
      <c r="G40" s="254"/>
    </row>
    <row r="41" spans="2:11" ht="13.5" thickBot="1">
      <c r="G41" s="254"/>
    </row>
    <row r="42" spans="2:11" ht="13.5" thickBot="1">
      <c r="B42" s="406" t="s">
        <v>317</v>
      </c>
      <c r="C42" s="407"/>
      <c r="D42" s="407"/>
      <c r="E42" s="407"/>
      <c r="F42" s="407"/>
      <c r="G42" s="407"/>
      <c r="H42" s="407"/>
      <c r="I42" s="407"/>
      <c r="J42" s="407"/>
      <c r="K42" s="408"/>
    </row>
    <row r="43" spans="2:11">
      <c r="B43" s="312" t="s">
        <v>296</v>
      </c>
      <c r="C43" s="257" t="s">
        <v>328</v>
      </c>
      <c r="D43" s="257" t="s">
        <v>73</v>
      </c>
      <c r="E43" s="257" t="s">
        <v>370</v>
      </c>
      <c r="F43" s="257" t="s">
        <v>369</v>
      </c>
      <c r="G43" s="144"/>
      <c r="H43" s="257" t="s">
        <v>371</v>
      </c>
      <c r="I43" s="257" t="s">
        <v>372</v>
      </c>
      <c r="J43" s="435" t="s">
        <v>101</v>
      </c>
      <c r="K43" s="436"/>
    </row>
    <row r="44" spans="2:11" ht="25.5">
      <c r="B44" s="313" t="s">
        <v>318</v>
      </c>
      <c r="C44" s="314" t="s">
        <v>327</v>
      </c>
      <c r="D44" s="311">
        <v>8</v>
      </c>
      <c r="E44" s="315">
        <v>610</v>
      </c>
      <c r="F44" s="315">
        <f>E44*D44</f>
        <v>4880</v>
      </c>
      <c r="G44" s="144"/>
      <c r="H44" s="316">
        <v>150</v>
      </c>
      <c r="I44" s="316">
        <f>H44*D44</f>
        <v>1200</v>
      </c>
      <c r="J44" s="400">
        <f>I44+F44</f>
        <v>6080</v>
      </c>
      <c r="K44" s="401"/>
    </row>
    <row r="45" spans="2:11" ht="25.5">
      <c r="B45" s="317" t="s">
        <v>323</v>
      </c>
      <c r="C45" s="314" t="s">
        <v>327</v>
      </c>
      <c r="D45" s="311">
        <v>6</v>
      </c>
      <c r="E45" s="315">
        <v>150</v>
      </c>
      <c r="F45" s="315">
        <f t="shared" ref="F45:F55" si="3">E45*D45</f>
        <v>900</v>
      </c>
      <c r="G45" s="144"/>
      <c r="H45" s="316">
        <v>50</v>
      </c>
      <c r="I45" s="316">
        <f t="shared" ref="I45:I55" si="4">H45*D45</f>
        <v>300</v>
      </c>
      <c r="J45" s="400">
        <f t="shared" ref="J45:J55" si="5">I45+F45</f>
        <v>1200</v>
      </c>
      <c r="K45" s="401"/>
    </row>
    <row r="46" spans="2:11" ht="25.5">
      <c r="B46" s="318" t="s">
        <v>324</v>
      </c>
      <c r="C46" s="319" t="s">
        <v>311</v>
      </c>
      <c r="D46" s="311">
        <v>4.24</v>
      </c>
      <c r="E46" s="315">
        <v>838.66</v>
      </c>
      <c r="F46" s="315">
        <f t="shared" si="3"/>
        <v>3555.9184</v>
      </c>
      <c r="G46" s="144"/>
      <c r="H46" s="316">
        <v>150</v>
      </c>
      <c r="I46" s="316">
        <f t="shared" si="4"/>
        <v>636</v>
      </c>
      <c r="J46" s="400">
        <f t="shared" si="5"/>
        <v>4191.9184000000005</v>
      </c>
      <c r="K46" s="401"/>
    </row>
    <row r="47" spans="2:11">
      <c r="B47" s="317" t="s">
        <v>329</v>
      </c>
      <c r="C47" s="314" t="s">
        <v>327</v>
      </c>
      <c r="D47" s="311">
        <v>1</v>
      </c>
      <c r="E47" s="315">
        <v>350</v>
      </c>
      <c r="F47" s="315">
        <f t="shared" si="3"/>
        <v>350</v>
      </c>
      <c r="G47" s="144"/>
      <c r="H47" s="316">
        <v>150</v>
      </c>
      <c r="I47" s="316">
        <f t="shared" si="4"/>
        <v>150</v>
      </c>
      <c r="J47" s="400">
        <f t="shared" si="5"/>
        <v>500</v>
      </c>
      <c r="K47" s="401"/>
    </row>
    <row r="48" spans="2:11" ht="25.5">
      <c r="B48" s="317" t="s">
        <v>325</v>
      </c>
      <c r="C48" s="314" t="s">
        <v>327</v>
      </c>
      <c r="D48" s="311">
        <v>7</v>
      </c>
      <c r="E48" s="315">
        <v>200</v>
      </c>
      <c r="F48" s="315">
        <f t="shared" si="3"/>
        <v>1400</v>
      </c>
      <c r="G48" s="144"/>
      <c r="H48" s="316">
        <v>5</v>
      </c>
      <c r="I48" s="316">
        <f t="shared" si="4"/>
        <v>35</v>
      </c>
      <c r="J48" s="400">
        <f t="shared" si="5"/>
        <v>1435</v>
      </c>
      <c r="K48" s="401"/>
    </row>
    <row r="49" spans="2:11" ht="38.25">
      <c r="B49" s="317" t="s">
        <v>326</v>
      </c>
      <c r="C49" s="314" t="s">
        <v>327</v>
      </c>
      <c r="D49" s="311">
        <v>2</v>
      </c>
      <c r="E49" s="315">
        <v>650</v>
      </c>
      <c r="F49" s="315">
        <f t="shared" si="3"/>
        <v>1300</v>
      </c>
      <c r="G49" s="144"/>
      <c r="H49" s="316">
        <v>150</v>
      </c>
      <c r="I49" s="316">
        <f t="shared" si="4"/>
        <v>300</v>
      </c>
      <c r="J49" s="400">
        <f t="shared" si="5"/>
        <v>1600</v>
      </c>
      <c r="K49" s="401"/>
    </row>
    <row r="50" spans="2:11">
      <c r="B50" s="295" t="s">
        <v>330</v>
      </c>
      <c r="C50" s="314" t="s">
        <v>327</v>
      </c>
      <c r="D50" s="311">
        <v>4</v>
      </c>
      <c r="E50" s="315">
        <v>40</v>
      </c>
      <c r="F50" s="315">
        <f t="shared" si="3"/>
        <v>160</v>
      </c>
      <c r="G50" s="144"/>
      <c r="H50" s="316">
        <v>5</v>
      </c>
      <c r="I50" s="316">
        <f t="shared" si="4"/>
        <v>20</v>
      </c>
      <c r="J50" s="400">
        <f t="shared" si="5"/>
        <v>180</v>
      </c>
      <c r="K50" s="401"/>
    </row>
    <row r="51" spans="2:11" ht="38.25">
      <c r="B51" s="318" t="s">
        <v>333</v>
      </c>
      <c r="C51" s="320" t="s">
        <v>72</v>
      </c>
      <c r="D51" s="327">
        <v>8</v>
      </c>
      <c r="E51" s="315">
        <v>115</v>
      </c>
      <c r="F51" s="315">
        <f t="shared" si="3"/>
        <v>920</v>
      </c>
      <c r="G51" s="315"/>
      <c r="H51" s="316">
        <v>5</v>
      </c>
      <c r="I51" s="316">
        <f t="shared" si="4"/>
        <v>40</v>
      </c>
      <c r="J51" s="400">
        <f t="shared" si="5"/>
        <v>960</v>
      </c>
      <c r="K51" s="401"/>
    </row>
    <row r="52" spans="2:11" ht="25.5">
      <c r="B52" s="318" t="s">
        <v>334</v>
      </c>
      <c r="C52" s="320" t="s">
        <v>72</v>
      </c>
      <c r="D52" s="327">
        <v>4</v>
      </c>
      <c r="E52" s="315">
        <v>210</v>
      </c>
      <c r="F52" s="315">
        <f t="shared" si="3"/>
        <v>840</v>
      </c>
      <c r="G52" s="315"/>
      <c r="H52" s="316">
        <v>5</v>
      </c>
      <c r="I52" s="316">
        <f t="shared" si="4"/>
        <v>20</v>
      </c>
      <c r="J52" s="400">
        <f t="shared" si="5"/>
        <v>860</v>
      </c>
      <c r="K52" s="401"/>
    </row>
    <row r="53" spans="2:11" ht="38.25">
      <c r="B53" s="318" t="s">
        <v>335</v>
      </c>
      <c r="C53" s="320" t="s">
        <v>72</v>
      </c>
      <c r="D53" s="327">
        <v>3</v>
      </c>
      <c r="E53" s="315">
        <v>150</v>
      </c>
      <c r="F53" s="315">
        <f t="shared" si="3"/>
        <v>450</v>
      </c>
      <c r="G53" s="315"/>
      <c r="H53" s="316">
        <v>5</v>
      </c>
      <c r="I53" s="316">
        <f t="shared" si="4"/>
        <v>15</v>
      </c>
      <c r="J53" s="400">
        <f t="shared" si="5"/>
        <v>465</v>
      </c>
      <c r="K53" s="401"/>
    </row>
    <row r="54" spans="2:11" ht="38.25">
      <c r="B54" s="318" t="s">
        <v>336</v>
      </c>
      <c r="C54" s="320" t="s">
        <v>72</v>
      </c>
      <c r="D54" s="327">
        <v>6</v>
      </c>
      <c r="E54" s="315">
        <v>555</v>
      </c>
      <c r="F54" s="315">
        <f t="shared" si="3"/>
        <v>3330</v>
      </c>
      <c r="G54" s="315"/>
      <c r="H54" s="316">
        <v>120</v>
      </c>
      <c r="I54" s="316">
        <f t="shared" si="4"/>
        <v>720</v>
      </c>
      <c r="J54" s="400">
        <f t="shared" si="5"/>
        <v>4050</v>
      </c>
      <c r="K54" s="401"/>
    </row>
    <row r="55" spans="2:11" ht="38.25">
      <c r="B55" s="318" t="s">
        <v>337</v>
      </c>
      <c r="C55" s="320" t="s">
        <v>280</v>
      </c>
      <c r="D55" s="327">
        <v>35.159999999999997</v>
      </c>
      <c r="E55" s="315">
        <v>650</v>
      </c>
      <c r="F55" s="315">
        <f t="shared" si="3"/>
        <v>22853.999999999996</v>
      </c>
      <c r="G55" s="315"/>
      <c r="H55" s="316">
        <v>0</v>
      </c>
      <c r="I55" s="316">
        <f t="shared" si="4"/>
        <v>0</v>
      </c>
      <c r="J55" s="400">
        <f t="shared" si="5"/>
        <v>22853.999999999996</v>
      </c>
      <c r="K55" s="401"/>
    </row>
    <row r="56" spans="2:11" ht="13.5" thickBot="1">
      <c r="B56" s="321" t="s">
        <v>101</v>
      </c>
      <c r="C56" s="322"/>
      <c r="D56" s="323"/>
      <c r="E56" s="324"/>
      <c r="F56" s="325">
        <f>SUM(F44:F55)</f>
        <v>40939.918399999995</v>
      </c>
      <c r="G56" s="324"/>
      <c r="H56" s="324"/>
      <c r="I56" s="325">
        <f>SUM(I44:I55)</f>
        <v>3436</v>
      </c>
      <c r="J56" s="412">
        <f>SUM(J44:K55)</f>
        <v>44375.918399999995</v>
      </c>
      <c r="K56" s="413"/>
    </row>
    <row r="57" spans="2:11" ht="13.5" thickBot="1">
      <c r="B57" s="406" t="s">
        <v>339</v>
      </c>
      <c r="C57" s="407"/>
      <c r="D57" s="407"/>
      <c r="E57" s="407"/>
      <c r="F57" s="407"/>
      <c r="G57" s="407"/>
      <c r="H57" s="407"/>
      <c r="I57" s="407"/>
      <c r="J57" s="407" t="s">
        <v>340</v>
      </c>
      <c r="K57" s="408"/>
    </row>
    <row r="58" spans="2:11">
      <c r="B58" s="312" t="s">
        <v>296</v>
      </c>
      <c r="C58" s="257" t="s">
        <v>328</v>
      </c>
      <c r="D58" s="257" t="s">
        <v>73</v>
      </c>
      <c r="E58" s="257" t="s">
        <v>319</v>
      </c>
      <c r="F58" s="257" t="s">
        <v>320</v>
      </c>
      <c r="G58" s="144"/>
      <c r="H58" s="257" t="s">
        <v>321</v>
      </c>
      <c r="I58" s="257" t="s">
        <v>322</v>
      </c>
      <c r="J58" s="257" t="s">
        <v>319</v>
      </c>
      <c r="K58" s="328" t="s">
        <v>322</v>
      </c>
    </row>
    <row r="59" spans="2:11">
      <c r="B59" s="310" t="s">
        <v>331</v>
      </c>
      <c r="C59" s="314" t="s">
        <v>327</v>
      </c>
      <c r="D59" s="311">
        <v>7</v>
      </c>
      <c r="E59" s="315">
        <v>391.96</v>
      </c>
      <c r="F59" s="315">
        <f>E59*D59</f>
        <v>2743.72</v>
      </c>
      <c r="G59" s="144"/>
      <c r="H59" s="315"/>
      <c r="I59" s="315">
        <f>F59+H59</f>
        <v>2743.72</v>
      </c>
      <c r="J59" s="144">
        <v>150</v>
      </c>
      <c r="K59" s="255">
        <f>J59*D59</f>
        <v>1050</v>
      </c>
    </row>
    <row r="60" spans="2:11">
      <c r="B60" s="310" t="s">
        <v>332</v>
      </c>
      <c r="C60" s="314" t="s">
        <v>327</v>
      </c>
      <c r="D60" s="311">
        <v>1</v>
      </c>
      <c r="E60" s="315">
        <v>1390</v>
      </c>
      <c r="F60" s="315">
        <f>E60*D60</f>
        <v>1390</v>
      </c>
      <c r="G60" s="144"/>
      <c r="H60" s="315"/>
      <c r="I60" s="315">
        <f>F60+H60</f>
        <v>1390</v>
      </c>
      <c r="J60" s="144">
        <v>150</v>
      </c>
      <c r="K60" s="255">
        <f t="shared" ref="K60:K61" si="6">J60*D60</f>
        <v>150</v>
      </c>
    </row>
    <row r="61" spans="2:11">
      <c r="B61" s="310" t="s">
        <v>338</v>
      </c>
      <c r="C61" s="314" t="s">
        <v>327</v>
      </c>
      <c r="D61" s="311">
        <v>3</v>
      </c>
      <c r="E61" s="144">
        <v>2000</v>
      </c>
      <c r="F61" s="315">
        <f>E61*D61</f>
        <v>6000</v>
      </c>
      <c r="G61" s="144"/>
      <c r="H61" s="315"/>
      <c r="I61" s="315">
        <f>F61+H61</f>
        <v>6000</v>
      </c>
      <c r="J61" s="144">
        <v>200</v>
      </c>
      <c r="K61" s="255">
        <f t="shared" si="6"/>
        <v>600</v>
      </c>
    </row>
    <row r="62" spans="2:11" ht="13.5" thickBot="1">
      <c r="B62" s="321" t="s">
        <v>101</v>
      </c>
      <c r="C62" s="322"/>
      <c r="D62" s="323"/>
      <c r="E62" s="324"/>
      <c r="F62" s="324"/>
      <c r="G62" s="324"/>
      <c r="H62" s="324"/>
      <c r="I62" s="324">
        <f>SUM(I59:I61)</f>
        <v>10133.719999999999</v>
      </c>
      <c r="J62" s="256"/>
      <c r="K62" s="326">
        <f>SUM(K59:K61)</f>
        <v>1800</v>
      </c>
    </row>
    <row r="65" spans="2:11" ht="13.5" thickBot="1"/>
    <row r="66" spans="2:11" ht="13.5" thickBot="1">
      <c r="B66" s="406" t="s">
        <v>365</v>
      </c>
      <c r="C66" s="407"/>
      <c r="D66" s="407"/>
      <c r="E66" s="407"/>
      <c r="F66" s="407"/>
      <c r="G66" s="407"/>
      <c r="H66" s="407"/>
      <c r="I66" s="407"/>
      <c r="J66" s="407"/>
      <c r="K66" s="408"/>
    </row>
    <row r="67" spans="2:11" ht="13.5" thickBot="1">
      <c r="B67" s="404" t="s">
        <v>363</v>
      </c>
      <c r="C67" s="405"/>
      <c r="D67" s="405"/>
      <c r="E67" s="402" t="s">
        <v>364</v>
      </c>
      <c r="F67" s="402"/>
      <c r="G67" s="402"/>
      <c r="H67" s="402"/>
      <c r="I67" s="409" t="s">
        <v>368</v>
      </c>
      <c r="J67" s="410"/>
      <c r="K67" s="411"/>
    </row>
    <row r="68" spans="2:11">
      <c r="B68" s="274" t="s">
        <v>347</v>
      </c>
      <c r="C68" s="275">
        <v>116.54</v>
      </c>
      <c r="D68" s="258" t="s">
        <v>311</v>
      </c>
      <c r="E68" s="276" t="s">
        <v>351</v>
      </c>
      <c r="F68" s="277">
        <v>3.4119999999999999</v>
      </c>
      <c r="G68" s="258"/>
      <c r="H68" s="258" t="s">
        <v>352</v>
      </c>
      <c r="I68" s="274" t="s">
        <v>367</v>
      </c>
      <c r="J68" s="257" t="s">
        <v>366</v>
      </c>
      <c r="K68" s="284" t="s">
        <v>322</v>
      </c>
    </row>
    <row r="69" spans="2:11">
      <c r="B69" s="274" t="s">
        <v>348</v>
      </c>
      <c r="C69" s="275">
        <v>200</v>
      </c>
      <c r="D69" s="258" t="s">
        <v>359</v>
      </c>
      <c r="E69" s="276" t="s">
        <v>353</v>
      </c>
      <c r="F69" s="277">
        <v>12000</v>
      </c>
      <c r="G69" s="258"/>
      <c r="H69" s="258" t="s">
        <v>352</v>
      </c>
      <c r="I69" s="285">
        <v>30000</v>
      </c>
      <c r="J69" s="144">
        <v>6000</v>
      </c>
      <c r="K69" s="255">
        <f>J69*H74</f>
        <v>24000</v>
      </c>
    </row>
    <row r="70" spans="2:11">
      <c r="B70" s="274" t="s">
        <v>349</v>
      </c>
      <c r="C70" s="275">
        <v>90</v>
      </c>
      <c r="D70" s="258"/>
      <c r="E70" s="144"/>
      <c r="F70" s="144"/>
      <c r="G70" s="144"/>
      <c r="H70" s="144"/>
      <c r="I70" s="274" t="s">
        <v>373</v>
      </c>
      <c r="J70" s="144">
        <v>3966</v>
      </c>
      <c r="K70" s="255">
        <f>(J70*0.2)+J70</f>
        <v>4759.2</v>
      </c>
    </row>
    <row r="71" spans="2:11" ht="13.5" thickBot="1">
      <c r="B71" s="274" t="s">
        <v>350</v>
      </c>
      <c r="C71" s="275">
        <v>100</v>
      </c>
      <c r="D71" s="258" t="s">
        <v>360</v>
      </c>
      <c r="E71" s="144"/>
      <c r="F71" s="144"/>
      <c r="G71" s="144"/>
      <c r="H71" s="258"/>
      <c r="I71" s="425" t="s">
        <v>376</v>
      </c>
      <c r="J71" s="426"/>
      <c r="K71" s="284">
        <f>SUM(K69:K70)</f>
        <v>28759.200000000001</v>
      </c>
    </row>
    <row r="72" spans="2:11" ht="13.5" thickBot="1">
      <c r="B72" s="403" t="s">
        <v>362</v>
      </c>
      <c r="C72" s="402"/>
      <c r="D72" s="402"/>
      <c r="E72" s="402" t="s">
        <v>361</v>
      </c>
      <c r="F72" s="402"/>
      <c r="G72" s="144"/>
      <c r="H72" s="286"/>
      <c r="I72" s="409" t="s">
        <v>377</v>
      </c>
      <c r="J72" s="410"/>
      <c r="K72" s="411"/>
    </row>
    <row r="73" spans="2:11">
      <c r="B73" s="274" t="s">
        <v>355</v>
      </c>
      <c r="C73" s="278">
        <f>C68*C69</f>
        <v>23308</v>
      </c>
      <c r="D73" s="258" t="s">
        <v>358</v>
      </c>
      <c r="E73" s="279">
        <f>C75*F68</f>
        <v>110234.89599999999</v>
      </c>
      <c r="F73" s="258" t="s">
        <v>352</v>
      </c>
      <c r="G73" s="144"/>
      <c r="H73" s="287">
        <f>E73/I69</f>
        <v>3.674496533333333</v>
      </c>
      <c r="I73" s="274" t="s">
        <v>374</v>
      </c>
      <c r="J73" s="144">
        <v>2800</v>
      </c>
      <c r="K73" s="255">
        <f>J73</f>
        <v>2800</v>
      </c>
    </row>
    <row r="74" spans="2:11">
      <c r="B74" s="274" t="s">
        <v>356</v>
      </c>
      <c r="C74" s="278">
        <f>C70*C71</f>
        <v>9000</v>
      </c>
      <c r="D74" s="258" t="s">
        <v>358</v>
      </c>
      <c r="E74" s="280"/>
      <c r="F74" s="144"/>
      <c r="G74" s="144"/>
      <c r="H74" s="287">
        <f>ROUNDUP(H73/1,0)</f>
        <v>4</v>
      </c>
      <c r="I74" s="274" t="s">
        <v>375</v>
      </c>
      <c r="J74" s="144">
        <f>2000*4</f>
        <v>8000</v>
      </c>
      <c r="K74" s="255">
        <f>J74</f>
        <v>8000</v>
      </c>
    </row>
    <row r="75" spans="2:11" ht="13.5" thickBot="1">
      <c r="B75" s="281" t="s">
        <v>357</v>
      </c>
      <c r="C75" s="282">
        <f>C73+C74</f>
        <v>32308</v>
      </c>
      <c r="D75" s="283" t="s">
        <v>358</v>
      </c>
      <c r="E75" s="282">
        <f>E73/F69</f>
        <v>9.1862413333333333</v>
      </c>
      <c r="F75" s="283" t="s">
        <v>354</v>
      </c>
      <c r="G75" s="256"/>
      <c r="H75" s="288"/>
      <c r="I75" s="423" t="s">
        <v>376</v>
      </c>
      <c r="J75" s="424"/>
      <c r="K75" s="289">
        <f>SUM(K73:K74)</f>
        <v>10800</v>
      </c>
    </row>
    <row r="76" spans="2:11">
      <c r="C76" s="273"/>
    </row>
  </sheetData>
  <mergeCells count="44"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</mergeCells>
  <pageMargins left="0.511811024" right="0.511811024" top="0.78740157499999996" bottom="0.78740157499999996" header="0.31496062000000002" footer="0.31496062000000002"/>
  <ignoredErrors>
    <ignoredError sqref="E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2.75"/>
  <cols>
    <col min="1" max="1" width="2.7109375" customWidth="1"/>
    <col min="2" max="2" width="28" bestFit="1" customWidth="1"/>
    <col min="3" max="3" width="17.7109375" bestFit="1" customWidth="1"/>
    <col min="4" max="4" width="18.28515625" bestFit="1" customWidth="1"/>
    <col min="5" max="5" width="13.28515625" bestFit="1" customWidth="1"/>
    <col min="6" max="6" width="10.5703125" bestFit="1" customWidth="1"/>
    <col min="7" max="7" width="17.5703125" bestFit="1" customWidth="1"/>
    <col min="8" max="8" width="7" bestFit="1" customWidth="1"/>
    <col min="9" max="9" width="10.5703125" bestFit="1" customWidth="1"/>
  </cols>
  <sheetData>
    <row r="1" spans="2:8" ht="13.5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5" thickBot="1">
      <c r="B6" s="132" t="s">
        <v>1</v>
      </c>
      <c r="C6" s="236">
        <v>0</v>
      </c>
      <c r="D6" s="133" t="s">
        <v>122</v>
      </c>
    </row>
    <row r="7" spans="2:8" ht="13.5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5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8.25">
      <c r="B16" s="437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37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20.7109375" bestFit="1" customWidth="1"/>
    <col min="6" max="6" width="22.28515625" bestFit="1" customWidth="1"/>
    <col min="7" max="7" width="27.140625" bestFit="1" customWidth="1"/>
    <col min="8" max="8" width="13.28515625" bestFit="1" customWidth="1"/>
  </cols>
  <sheetData>
    <row r="2" spans="1:9">
      <c r="A2" s="438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38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38"/>
      <c r="B4" s="67" t="s">
        <v>133</v>
      </c>
      <c r="C4" s="147">
        <v>0.8</v>
      </c>
      <c r="D4" s="71"/>
      <c r="G4" s="60"/>
      <c r="H4" s="62"/>
      <c r="I4" s="60"/>
    </row>
    <row r="5" spans="1:9">
      <c r="A5" s="438"/>
      <c r="B5" s="67" t="s">
        <v>134</v>
      </c>
      <c r="C5" s="72">
        <f>C4*C3</f>
        <v>0</v>
      </c>
      <c r="D5" s="71"/>
    </row>
    <row r="6" spans="1:9">
      <c r="A6" s="438"/>
      <c r="B6" s="67" t="s">
        <v>135</v>
      </c>
      <c r="C6" s="72">
        <f>C4*C3</f>
        <v>0</v>
      </c>
      <c r="D6" s="71"/>
    </row>
    <row r="7" spans="1:9">
      <c r="A7" s="438"/>
      <c r="B7" s="67" t="s">
        <v>136</v>
      </c>
      <c r="C7" s="147">
        <f>'RESUMO CUSTOS '!D13</f>
        <v>14</v>
      </c>
      <c r="D7" s="71"/>
    </row>
    <row r="8" spans="1:9">
      <c r="A8" s="438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5.5">
      <c r="A10" s="438"/>
      <c r="B10" s="439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8"/>
      <c r="B11" s="440"/>
      <c r="C11" s="70">
        <v>0</v>
      </c>
      <c r="D11" s="78">
        <v>1</v>
      </c>
      <c r="E11" s="71">
        <f>C11*D11</f>
        <v>0</v>
      </c>
    </row>
    <row r="12" spans="1:9">
      <c r="A12" s="438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8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8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8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38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38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38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38"/>
      <c r="B21" s="67"/>
      <c r="C21" s="82"/>
      <c r="D21" s="82"/>
      <c r="E21" s="72"/>
      <c r="F21" s="72"/>
      <c r="G21" s="71"/>
    </row>
    <row r="22" spans="1:7">
      <c r="A22" s="438"/>
      <c r="B22" s="84" t="s">
        <v>118</v>
      </c>
      <c r="C22" s="85"/>
      <c r="D22" s="85"/>
      <c r="E22" s="72"/>
      <c r="F22" s="72"/>
      <c r="G22" s="71"/>
    </row>
    <row r="23" spans="1:7">
      <c r="A23" s="438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38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38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38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38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38"/>
      <c r="B28" s="67"/>
      <c r="C28" s="82"/>
      <c r="D28" s="82"/>
      <c r="E28" s="86"/>
      <c r="F28" s="72"/>
      <c r="G28" s="71"/>
    </row>
    <row r="29" spans="1:7">
      <c r="A29" s="438"/>
      <c r="B29" s="67"/>
      <c r="C29" s="82"/>
      <c r="D29" s="82"/>
      <c r="E29" s="86"/>
      <c r="F29" s="72"/>
      <c r="G29" s="71"/>
    </row>
    <row r="30" spans="1:7">
      <c r="A30" s="438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38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38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8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8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8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8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38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0.5703125" bestFit="1" customWidth="1"/>
  </cols>
  <sheetData>
    <row r="2" spans="1:9">
      <c r="A2" s="438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38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38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38"/>
      <c r="B5" s="67" t="s">
        <v>134</v>
      </c>
      <c r="C5" s="72">
        <f>C4*C3</f>
        <v>24</v>
      </c>
      <c r="D5" s="71"/>
    </row>
    <row r="6" spans="1:9">
      <c r="A6" s="438"/>
      <c r="B6" s="67" t="s">
        <v>135</v>
      </c>
      <c r="C6" s="72">
        <f>C4*C3</f>
        <v>24</v>
      </c>
      <c r="D6" s="71"/>
    </row>
    <row r="7" spans="1:9">
      <c r="A7" s="438"/>
      <c r="B7" s="67" t="s">
        <v>136</v>
      </c>
      <c r="C7" s="150">
        <v>0</v>
      </c>
      <c r="D7" s="71"/>
    </row>
    <row r="8" spans="1:9">
      <c r="A8" s="438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5.5">
      <c r="A10" s="438"/>
      <c r="B10" s="439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8"/>
      <c r="B11" s="440"/>
      <c r="C11" s="70">
        <v>3500</v>
      </c>
      <c r="D11" s="78">
        <v>0</v>
      </c>
      <c r="E11" s="71">
        <f>C11*D11</f>
        <v>0</v>
      </c>
    </row>
    <row r="12" spans="1:9">
      <c r="A12" s="438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8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8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38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38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38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38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38"/>
      <c r="B21" s="67"/>
      <c r="C21" s="82"/>
      <c r="D21" s="82"/>
      <c r="E21" s="72"/>
      <c r="F21" s="72"/>
      <c r="G21" s="71"/>
    </row>
    <row r="22" spans="1:7">
      <c r="A22" s="438"/>
      <c r="B22" s="84" t="s">
        <v>118</v>
      </c>
      <c r="C22" s="85"/>
      <c r="D22" s="85"/>
      <c r="E22" s="72"/>
      <c r="F22" s="72"/>
      <c r="G22" s="71"/>
    </row>
    <row r="23" spans="1:7">
      <c r="A23" s="438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38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38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38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38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38"/>
      <c r="B28" s="67"/>
      <c r="C28" s="82"/>
      <c r="D28" s="82"/>
      <c r="E28" s="86"/>
      <c r="F28" s="72"/>
      <c r="G28" s="71"/>
    </row>
    <row r="29" spans="1:7">
      <c r="A29" s="438"/>
      <c r="B29" s="67"/>
      <c r="C29" s="82"/>
      <c r="D29" s="82"/>
      <c r="E29" s="86"/>
      <c r="F29" s="72"/>
      <c r="G29" s="71"/>
    </row>
    <row r="30" spans="1:7">
      <c r="A30" s="438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38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38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8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8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8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8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38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8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38"/>
      <c r="B3" s="67" t="s">
        <v>258</v>
      </c>
      <c r="C3" s="146">
        <f>'RESUMO CUSTOS '!D9</f>
        <v>30</v>
      </c>
      <c r="D3" s="69" t="s">
        <v>132</v>
      </c>
    </row>
    <row r="4" spans="1:8">
      <c r="A4" s="438"/>
      <c r="B4" s="67" t="s">
        <v>133</v>
      </c>
      <c r="C4" s="147">
        <v>0.8</v>
      </c>
      <c r="D4" s="71"/>
    </row>
    <row r="5" spans="1:8">
      <c r="A5" s="438"/>
      <c r="B5" s="67" t="s">
        <v>134</v>
      </c>
      <c r="C5" s="72">
        <f>C4*C3</f>
        <v>24</v>
      </c>
      <c r="D5" s="71"/>
    </row>
    <row r="6" spans="1:8">
      <c r="A6" s="438"/>
      <c r="B6" s="67" t="s">
        <v>135</v>
      </c>
      <c r="C6" s="72">
        <f>C4*C3</f>
        <v>24</v>
      </c>
      <c r="D6" s="71"/>
    </row>
    <row r="7" spans="1:8">
      <c r="A7" s="438"/>
      <c r="B7" s="67" t="s">
        <v>136</v>
      </c>
      <c r="C7" s="147">
        <v>14</v>
      </c>
      <c r="D7" s="71"/>
    </row>
    <row r="8" spans="1:8">
      <c r="A8" s="438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5.5">
      <c r="A10" s="438"/>
      <c r="B10" s="439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8"/>
      <c r="B11" s="440"/>
      <c r="C11" s="70">
        <v>3500</v>
      </c>
      <c r="D11" s="78">
        <v>0</v>
      </c>
      <c r="E11" s="71">
        <f>C11*D11</f>
        <v>0</v>
      </c>
    </row>
    <row r="12" spans="1:8">
      <c r="A12" s="438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8.25">
      <c r="A15" s="438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8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38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38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38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38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38"/>
      <c r="B21" s="67"/>
      <c r="C21" s="82"/>
      <c r="D21" s="82"/>
      <c r="E21" s="72"/>
      <c r="F21" s="72"/>
      <c r="G21" s="71"/>
    </row>
    <row r="22" spans="1:7">
      <c r="A22" s="438"/>
      <c r="B22" s="84" t="s">
        <v>118</v>
      </c>
      <c r="C22" s="85"/>
      <c r="D22" s="85"/>
      <c r="E22" s="72"/>
      <c r="F22" s="72"/>
      <c r="G22" s="71"/>
    </row>
    <row r="23" spans="1:7">
      <c r="A23" s="438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38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38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38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38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38"/>
      <c r="B28" s="67"/>
      <c r="C28" s="82"/>
      <c r="D28" s="82"/>
      <c r="E28" s="86"/>
      <c r="F28" s="72"/>
      <c r="G28" s="71"/>
    </row>
    <row r="29" spans="1:7">
      <c r="A29" s="438"/>
      <c r="B29" s="67"/>
      <c r="C29" s="82"/>
      <c r="D29" s="82"/>
      <c r="E29" s="86"/>
      <c r="F29" s="72"/>
      <c r="G29" s="71"/>
    </row>
    <row r="30" spans="1:7">
      <c r="A30" s="438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38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38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8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38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8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8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38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2.140625" bestFit="1" customWidth="1"/>
    <col min="9" max="9" width="13.85546875" bestFit="1" customWidth="1"/>
    <col min="10" max="10" width="10.5703125" bestFit="1" customWidth="1"/>
    <col min="11" max="11" width="14.140625" bestFit="1" customWidth="1"/>
    <col min="13" max="13" width="9.5703125" bestFit="1" customWidth="1"/>
    <col min="14" max="14" width="12.140625" bestFit="1" customWidth="1"/>
  </cols>
  <sheetData>
    <row r="2" spans="1:15">
      <c r="A2" s="438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38"/>
      <c r="B3" s="67" t="s">
        <v>258</v>
      </c>
      <c r="C3" s="68">
        <v>30</v>
      </c>
      <c r="D3" s="69" t="s">
        <v>132</v>
      </c>
    </row>
    <row r="4" spans="1:15">
      <c r="A4" s="438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38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38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38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38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5.5">
      <c r="A10" s="438"/>
      <c r="B10" s="439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38"/>
      <c r="B11" s="440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38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8.25">
      <c r="A15" s="438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38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38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38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38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38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38"/>
      <c r="B21" s="67"/>
      <c r="C21" s="82"/>
      <c r="D21" s="82"/>
      <c r="E21" s="72"/>
      <c r="F21" s="72"/>
      <c r="G21" s="71"/>
    </row>
    <row r="22" spans="1:7">
      <c r="A22" s="438"/>
      <c r="B22" s="84" t="s">
        <v>118</v>
      </c>
      <c r="C22" s="85"/>
      <c r="D22" s="85"/>
      <c r="E22" s="72"/>
      <c r="F22" s="72"/>
      <c r="G22" s="71"/>
    </row>
    <row r="23" spans="1:7">
      <c r="A23" s="438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38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38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38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38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38"/>
      <c r="B28" s="67"/>
      <c r="C28" s="82"/>
      <c r="D28" s="82"/>
      <c r="E28" s="86"/>
      <c r="F28" s="72"/>
      <c r="G28" s="71"/>
    </row>
    <row r="29" spans="1:7">
      <c r="A29" s="438"/>
      <c r="B29" s="67"/>
      <c r="C29" s="82"/>
      <c r="D29" s="82"/>
      <c r="E29" s="86"/>
      <c r="F29" s="72"/>
      <c r="G29" s="71"/>
    </row>
    <row r="30" spans="1:7">
      <c r="A30" s="438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38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38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8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38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38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8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38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1" t="s">
        <v>179</v>
      </c>
      <c r="E53" s="441"/>
      <c r="F53" s="441"/>
      <c r="G53" s="441"/>
      <c r="H53" s="441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1" t="s">
        <v>185</v>
      </c>
      <c r="E62" s="441"/>
      <c r="F62" s="441"/>
      <c r="G62" s="441"/>
      <c r="H62" s="441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1"/>
      <c r="E71" s="441"/>
      <c r="F71" s="441"/>
      <c r="G71" s="441"/>
      <c r="H71" s="441"/>
    </row>
    <row r="72" spans="4:8">
      <c r="D72" s="441" t="s">
        <v>228</v>
      </c>
      <c r="E72" s="442"/>
      <c r="F72" s="442"/>
      <c r="G72" s="442"/>
      <c r="H72" s="442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41" t="s">
        <v>229</v>
      </c>
      <c r="E85" s="441"/>
      <c r="F85" s="441"/>
      <c r="G85" s="441"/>
      <c r="H85" s="441"/>
    </row>
    <row r="86" spans="3:11" ht="25.5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41" t="s">
        <v>210</v>
      </c>
      <c r="E138" s="441"/>
      <c r="F138" s="441"/>
      <c r="G138" s="441"/>
      <c r="H138" s="441"/>
    </row>
    <row r="139" spans="4:10">
      <c r="D139" s="62"/>
    </row>
    <row r="140" spans="4:10" ht="25.5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41" t="s">
        <v>212</v>
      </c>
      <c r="E180" s="441"/>
      <c r="F180" s="441"/>
      <c r="G180" s="441"/>
      <c r="H180" s="441"/>
    </row>
    <row r="181" spans="4:8">
      <c r="D181" s="62"/>
    </row>
    <row r="182" spans="4:8" ht="25.5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41" t="s">
        <v>215</v>
      </c>
      <c r="E222" s="441"/>
      <c r="F222" s="441"/>
      <c r="G222" s="441"/>
      <c r="H222" s="441"/>
    </row>
    <row r="223" spans="4:8">
      <c r="D223" s="62"/>
    </row>
    <row r="224" spans="4:8" ht="25.5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A2:A8"/>
    <mergeCell ref="A10:A12"/>
    <mergeCell ref="B10:B11"/>
    <mergeCell ref="A15:A31"/>
    <mergeCell ref="A34:A39"/>
    <mergeCell ref="D180:H180"/>
    <mergeCell ref="D222:H222"/>
    <mergeCell ref="D53:H53"/>
    <mergeCell ref="D62:H62"/>
    <mergeCell ref="D71:H71"/>
    <mergeCell ref="D85:H85"/>
    <mergeCell ref="D138:H138"/>
    <mergeCell ref="D72:H7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4.28515625" bestFit="1" customWidth="1"/>
  </cols>
  <sheetData>
    <row r="2" spans="1:9">
      <c r="A2" s="438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38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38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38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38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38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38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5.5">
      <c r="A10" s="438"/>
      <c r="B10" s="439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38"/>
      <c r="B11" s="440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38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8.25">
      <c r="A15" s="438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8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38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38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38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38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38"/>
      <c r="B21" s="67"/>
      <c r="C21" s="82"/>
      <c r="D21" s="82"/>
      <c r="E21" s="72"/>
      <c r="F21" s="72"/>
      <c r="G21" s="71"/>
    </row>
    <row r="22" spans="1:7">
      <c r="A22" s="438"/>
      <c r="B22" s="84" t="s">
        <v>118</v>
      </c>
      <c r="C22" s="85"/>
      <c r="D22" s="85"/>
      <c r="E22" s="72"/>
      <c r="F22" s="72"/>
      <c r="G22" s="71"/>
    </row>
    <row r="23" spans="1:7">
      <c r="A23" s="438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38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38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38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38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38"/>
      <c r="B28" s="67"/>
      <c r="C28" s="82"/>
      <c r="D28" s="82"/>
      <c r="E28" s="86"/>
      <c r="F28" s="72"/>
      <c r="G28" s="71"/>
    </row>
    <row r="29" spans="1:7">
      <c r="A29" s="438"/>
      <c r="B29" s="67"/>
      <c r="C29" s="82"/>
      <c r="D29" s="82"/>
      <c r="E29" s="86"/>
      <c r="F29" s="72"/>
      <c r="G29" s="71"/>
    </row>
    <row r="30" spans="1:7">
      <c r="A30" s="438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38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38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8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8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8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8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38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1" t="s">
        <v>179</v>
      </c>
      <c r="E53" s="441"/>
      <c r="F53" s="441"/>
      <c r="G53" s="441"/>
      <c r="H53" s="441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1" t="s">
        <v>185</v>
      </c>
      <c r="E62" s="441"/>
      <c r="F62" s="441"/>
      <c r="G62" s="441"/>
      <c r="H62" s="441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1" t="s">
        <v>186</v>
      </c>
      <c r="E71" s="441"/>
      <c r="F71" s="441"/>
      <c r="G71" s="441"/>
      <c r="H71" s="441"/>
    </row>
    <row r="72" spans="4:8">
      <c r="D72" s="62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41" t="s">
        <v>191</v>
      </c>
      <c r="E107" s="441"/>
      <c r="F107" s="441"/>
      <c r="G107" s="441"/>
      <c r="H107" s="441"/>
    </row>
    <row r="108" spans="3:8">
      <c r="D108" s="62"/>
    </row>
    <row r="109" spans="3:8" ht="25.5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41" t="s">
        <v>192</v>
      </c>
      <c r="E170" s="441"/>
      <c r="F170" s="441"/>
      <c r="G170" s="441"/>
      <c r="H170" s="441"/>
    </row>
    <row r="171" spans="4:8">
      <c r="D171" s="62"/>
    </row>
    <row r="172" spans="4:8" ht="25.5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2.75"/>
  <cols>
    <col min="1" max="1" width="2.7109375" customWidth="1"/>
    <col min="2" max="2" width="36.7109375" bestFit="1" customWidth="1"/>
    <col min="3" max="3" width="21.140625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8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8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8"/>
      <c r="B4" s="67" t="s">
        <v>133</v>
      </c>
      <c r="C4" s="70">
        <v>0.8</v>
      </c>
      <c r="D4" s="71"/>
    </row>
    <row r="5" spans="1:8">
      <c r="A5" s="438"/>
      <c r="B5" s="67" t="s">
        <v>134</v>
      </c>
      <c r="C5" s="72">
        <f>C4*C3</f>
        <v>0</v>
      </c>
      <c r="D5" s="71"/>
    </row>
    <row r="6" spans="1:8">
      <c r="A6" s="438"/>
      <c r="B6" s="67" t="s">
        <v>135</v>
      </c>
      <c r="C6" s="72">
        <f>C4*C3</f>
        <v>0</v>
      </c>
      <c r="D6" s="71"/>
    </row>
    <row r="7" spans="1:8">
      <c r="A7" s="438"/>
      <c r="B7" s="67" t="s">
        <v>136</v>
      </c>
      <c r="C7" s="70">
        <f>91.6*2</f>
        <v>183.2</v>
      </c>
      <c r="D7" s="71"/>
    </row>
    <row r="8" spans="1:8">
      <c r="A8" s="438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8"/>
      <c r="B10" s="439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8"/>
      <c r="B11" s="440"/>
      <c r="C11" s="70">
        <v>3500</v>
      </c>
      <c r="D11" s="78">
        <v>0.5</v>
      </c>
      <c r="E11" s="71">
        <f>C11*D11</f>
        <v>1750</v>
      </c>
    </row>
    <row r="12" spans="1:8">
      <c r="A12" s="438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8.25">
      <c r="A15" s="438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8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38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8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38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38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38"/>
      <c r="B21" s="67"/>
      <c r="C21" s="82"/>
      <c r="D21" s="82"/>
      <c r="E21" s="72"/>
      <c r="F21" s="72"/>
      <c r="G21" s="71"/>
    </row>
    <row r="22" spans="1:7">
      <c r="A22" s="438"/>
      <c r="B22" s="84" t="s">
        <v>118</v>
      </c>
      <c r="C22" s="85"/>
      <c r="D22" s="85"/>
      <c r="E22" s="72"/>
      <c r="F22" s="72"/>
      <c r="G22" s="71"/>
    </row>
    <row r="23" spans="1:7">
      <c r="A23" s="438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38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38"/>
      <c r="B25" s="67" t="s">
        <v>124</v>
      </c>
      <c r="C25" s="82"/>
      <c r="D25" s="82"/>
      <c r="E25" s="86"/>
      <c r="F25" s="72"/>
      <c r="G25" s="87"/>
    </row>
    <row r="26" spans="1:7">
      <c r="A26" s="438"/>
      <c r="B26" s="67" t="s">
        <v>125</v>
      </c>
      <c r="C26" s="82"/>
      <c r="D26" s="82"/>
      <c r="E26" s="86"/>
      <c r="F26" s="72"/>
      <c r="G26" s="87"/>
    </row>
    <row r="27" spans="1:7">
      <c r="A27" s="438"/>
      <c r="B27" s="67" t="s">
        <v>126</v>
      </c>
      <c r="C27" s="82"/>
      <c r="D27" s="82"/>
      <c r="E27" s="86"/>
      <c r="F27" s="72"/>
      <c r="G27" s="87"/>
    </row>
    <row r="28" spans="1:7">
      <c r="A28" s="438"/>
      <c r="B28" s="67"/>
      <c r="C28" s="82"/>
      <c r="D28" s="82"/>
      <c r="E28" s="86"/>
      <c r="F28" s="72"/>
      <c r="G28" s="71"/>
    </row>
    <row r="29" spans="1:7">
      <c r="A29" s="438"/>
      <c r="B29" s="67"/>
      <c r="C29" s="82"/>
      <c r="D29" s="82"/>
      <c r="E29" s="86"/>
      <c r="F29" s="72"/>
      <c r="G29" s="71"/>
    </row>
    <row r="30" spans="1:7">
      <c r="A30" s="438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38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38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8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8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8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8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38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9" width="13.28515625" bestFit="1" customWidth="1"/>
  </cols>
  <sheetData>
    <row r="2" spans="1:9">
      <c r="A2" s="438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38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38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38"/>
      <c r="B5" s="67" t="s">
        <v>134</v>
      </c>
      <c r="C5" s="72">
        <f>C4*C3</f>
        <v>0</v>
      </c>
      <c r="D5" s="71"/>
    </row>
    <row r="6" spans="1:9">
      <c r="A6" s="438"/>
      <c r="B6" s="67" t="s">
        <v>135</v>
      </c>
      <c r="C6" s="72">
        <f>C4*C3</f>
        <v>0</v>
      </c>
      <c r="D6" s="71"/>
    </row>
    <row r="7" spans="1:9">
      <c r="A7" s="438"/>
      <c r="B7" s="67" t="s">
        <v>136</v>
      </c>
      <c r="C7" s="70">
        <f>91.6*2</f>
        <v>183.2</v>
      </c>
      <c r="D7" s="71"/>
    </row>
    <row r="8" spans="1:9">
      <c r="A8" s="438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5.5">
      <c r="A10" s="438"/>
      <c r="B10" s="439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8"/>
      <c r="B11" s="440"/>
      <c r="C11" s="70">
        <v>0</v>
      </c>
      <c r="D11" s="78">
        <v>1</v>
      </c>
      <c r="E11" s="71">
        <f>C11*D11</f>
        <v>0</v>
      </c>
    </row>
    <row r="12" spans="1:9">
      <c r="A12" s="438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8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8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8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38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38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38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38"/>
      <c r="B21" s="67"/>
      <c r="C21" s="82"/>
      <c r="D21" s="82"/>
      <c r="E21" s="72"/>
      <c r="F21" s="72"/>
      <c r="G21" s="71"/>
    </row>
    <row r="22" spans="1:7">
      <c r="A22" s="438"/>
      <c r="B22" s="84" t="s">
        <v>118</v>
      </c>
      <c r="C22" s="85"/>
      <c r="D22" s="85"/>
      <c r="E22" s="72"/>
      <c r="F22" s="72"/>
      <c r="G22" s="71"/>
    </row>
    <row r="23" spans="1:7">
      <c r="A23" s="438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38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38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38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38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38"/>
      <c r="B28" s="67"/>
      <c r="C28" s="82"/>
      <c r="D28" s="82"/>
      <c r="E28" s="86"/>
      <c r="F28" s="72"/>
      <c r="G28" s="71"/>
    </row>
    <row r="29" spans="1:7">
      <c r="A29" s="438"/>
      <c r="B29" s="67"/>
      <c r="C29" s="82"/>
      <c r="D29" s="82"/>
      <c r="E29" s="86"/>
      <c r="F29" s="72"/>
      <c r="G29" s="71"/>
    </row>
    <row r="30" spans="1:7">
      <c r="A30" s="438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38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38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38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38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38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38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38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5.5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8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38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8"/>
      <c r="B4" s="67" t="s">
        <v>133</v>
      </c>
      <c r="C4" s="70">
        <v>0.8</v>
      </c>
      <c r="D4" s="71"/>
    </row>
    <row r="5" spans="1:8">
      <c r="A5" s="438"/>
      <c r="B5" s="67" t="s">
        <v>134</v>
      </c>
      <c r="C5" s="72">
        <f>C4*C3</f>
        <v>0</v>
      </c>
      <c r="D5" s="71"/>
    </row>
    <row r="6" spans="1:8">
      <c r="A6" s="438"/>
      <c r="B6" s="67" t="s">
        <v>135</v>
      </c>
      <c r="C6" s="72">
        <f>C4*C3</f>
        <v>0</v>
      </c>
      <c r="D6" s="71"/>
    </row>
    <row r="7" spans="1:8">
      <c r="A7" s="438"/>
      <c r="B7" s="67" t="s">
        <v>136</v>
      </c>
      <c r="C7" s="70">
        <f>91.6*2</f>
        <v>183.2</v>
      </c>
      <c r="D7" s="71"/>
    </row>
    <row r="8" spans="1:8">
      <c r="A8" s="438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8"/>
      <c r="B10" s="439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8"/>
      <c r="B11" s="440"/>
      <c r="C11" s="70">
        <v>3500</v>
      </c>
      <c r="D11" s="78">
        <v>0.4</v>
      </c>
      <c r="E11" s="71">
        <f>C11*D11</f>
        <v>1400</v>
      </c>
    </row>
    <row r="12" spans="1:8">
      <c r="A12" s="438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38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8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8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8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8"/>
      <c r="B19" s="67"/>
      <c r="C19" s="82"/>
      <c r="D19" s="83"/>
      <c r="E19" s="72"/>
      <c r="F19" s="72"/>
      <c r="G19" s="71"/>
    </row>
    <row r="20" spans="1:7">
      <c r="A20" s="438"/>
      <c r="B20" s="67" t="s">
        <v>126</v>
      </c>
      <c r="C20" s="82"/>
      <c r="D20" s="83"/>
      <c r="E20" s="72"/>
      <c r="F20" s="72"/>
      <c r="G20" s="71"/>
    </row>
    <row r="21" spans="1:7">
      <c r="A21" s="438"/>
      <c r="B21" s="67"/>
      <c r="C21" s="82"/>
      <c r="D21" s="82"/>
      <c r="E21" s="72"/>
      <c r="F21" s="72"/>
      <c r="G21" s="71"/>
    </row>
    <row r="22" spans="1:7">
      <c r="A22" s="438"/>
      <c r="B22" s="84" t="s">
        <v>118</v>
      </c>
      <c r="C22" s="85"/>
      <c r="D22" s="85"/>
      <c r="E22" s="72"/>
      <c r="F22" s="72"/>
      <c r="G22" s="71"/>
    </row>
    <row r="23" spans="1:7">
      <c r="A23" s="438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8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38"/>
      <c r="B25" s="67"/>
      <c r="C25" s="82"/>
      <c r="D25" s="82"/>
      <c r="E25" s="86"/>
      <c r="F25" s="72"/>
      <c r="G25" s="87"/>
    </row>
    <row r="26" spans="1:7">
      <c r="A26" s="438"/>
      <c r="B26" s="67"/>
      <c r="C26" s="82"/>
      <c r="D26" s="82"/>
      <c r="E26" s="86"/>
      <c r="F26" s="72"/>
      <c r="G26" s="87"/>
    </row>
    <row r="27" spans="1:7">
      <c r="A27" s="438"/>
      <c r="B27" s="67"/>
      <c r="C27" s="82"/>
      <c r="D27" s="82"/>
      <c r="E27" s="86"/>
      <c r="F27" s="72"/>
      <c r="G27" s="87"/>
    </row>
    <row r="28" spans="1:7">
      <c r="A28" s="438"/>
      <c r="B28" s="67"/>
      <c r="C28" s="82"/>
      <c r="D28" s="82"/>
      <c r="E28" s="86"/>
      <c r="F28" s="72"/>
      <c r="G28" s="71"/>
    </row>
    <row r="29" spans="1:7">
      <c r="A29" s="438"/>
      <c r="B29" s="67"/>
      <c r="C29" s="82"/>
      <c r="D29" s="82"/>
      <c r="E29" s="86"/>
      <c r="F29" s="72"/>
      <c r="G29" s="71"/>
    </row>
    <row r="30" spans="1:7">
      <c r="A30" s="438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38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38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8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8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8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8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8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8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8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38"/>
      <c r="B4" s="67" t="s">
        <v>259</v>
      </c>
      <c r="C4" s="70">
        <v>0.8</v>
      </c>
      <c r="D4" s="71"/>
    </row>
    <row r="5" spans="1:8">
      <c r="A5" s="438"/>
      <c r="B5" s="67" t="s">
        <v>134</v>
      </c>
      <c r="C5" s="72">
        <f>C4*C3</f>
        <v>0</v>
      </c>
      <c r="D5" s="71"/>
    </row>
    <row r="6" spans="1:8">
      <c r="A6" s="438"/>
      <c r="B6" s="67" t="s">
        <v>135</v>
      </c>
      <c r="C6" s="72">
        <f>C4*C3</f>
        <v>0</v>
      </c>
      <c r="D6" s="71"/>
    </row>
    <row r="7" spans="1:8">
      <c r="A7" s="438"/>
      <c r="B7" s="67" t="s">
        <v>136</v>
      </c>
      <c r="C7" s="70">
        <f>91.6*2</f>
        <v>183.2</v>
      </c>
      <c r="D7" s="71"/>
    </row>
    <row r="8" spans="1:8">
      <c r="A8" s="438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8"/>
      <c r="B10" s="439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8"/>
      <c r="B11" s="440"/>
      <c r="C11" s="70">
        <v>3500</v>
      </c>
      <c r="D11" s="78">
        <v>1</v>
      </c>
      <c r="E11" s="71">
        <f>C11*D11</f>
        <v>3500</v>
      </c>
    </row>
    <row r="12" spans="1:8">
      <c r="A12" s="438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38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8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8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8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8"/>
      <c r="B19" s="67"/>
      <c r="C19" s="82"/>
      <c r="D19" s="83"/>
      <c r="E19" s="72"/>
      <c r="F19" s="72"/>
      <c r="G19" s="71"/>
    </row>
    <row r="20" spans="1:7">
      <c r="A20" s="438"/>
      <c r="B20" s="67" t="s">
        <v>126</v>
      </c>
      <c r="C20" s="82"/>
      <c r="D20" s="83"/>
      <c r="E20" s="72"/>
      <c r="F20" s="72"/>
      <c r="G20" s="71"/>
    </row>
    <row r="21" spans="1:7">
      <c r="A21" s="438"/>
      <c r="B21" s="67"/>
      <c r="C21" s="82"/>
      <c r="D21" s="82"/>
      <c r="E21" s="72"/>
      <c r="F21" s="72"/>
      <c r="G21" s="71"/>
    </row>
    <row r="22" spans="1:7">
      <c r="A22" s="438"/>
      <c r="B22" s="84" t="s">
        <v>118</v>
      </c>
      <c r="C22" s="85"/>
      <c r="D22" s="85"/>
      <c r="E22" s="72"/>
      <c r="F22" s="72"/>
      <c r="G22" s="71"/>
    </row>
    <row r="23" spans="1:7">
      <c r="A23" s="438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8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38"/>
      <c r="B25" s="67"/>
      <c r="C25" s="82"/>
      <c r="D25" s="82"/>
      <c r="E25" s="86"/>
      <c r="F25" s="72"/>
      <c r="G25" s="87"/>
    </row>
    <row r="26" spans="1:7">
      <c r="A26" s="438"/>
      <c r="B26" s="67"/>
      <c r="C26" s="82"/>
      <c r="D26" s="82"/>
      <c r="E26" s="86"/>
      <c r="F26" s="72"/>
      <c r="G26" s="87"/>
    </row>
    <row r="27" spans="1:7">
      <c r="A27" s="438"/>
      <c r="B27" s="67"/>
      <c r="C27" s="82"/>
      <c r="D27" s="82"/>
      <c r="E27" s="86"/>
      <c r="F27" s="72"/>
      <c r="G27" s="87"/>
    </row>
    <row r="28" spans="1:7">
      <c r="A28" s="438"/>
      <c r="B28" s="67"/>
      <c r="C28" s="82"/>
      <c r="D28" s="82"/>
      <c r="E28" s="86"/>
      <c r="F28" s="72"/>
      <c r="G28" s="71"/>
    </row>
    <row r="29" spans="1:7">
      <c r="A29" s="438"/>
      <c r="B29" s="67"/>
      <c r="C29" s="82"/>
      <c r="D29" s="82"/>
      <c r="E29" s="86"/>
      <c r="F29" s="72"/>
      <c r="G29" s="71"/>
    </row>
    <row r="30" spans="1:7">
      <c r="A30" s="438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38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38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8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8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8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8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8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2.75"/>
  <cols>
    <col min="1" max="1" width="2.85546875" customWidth="1"/>
    <col min="2" max="2" width="25.140625" style="62" bestFit="1" customWidth="1"/>
    <col min="3" max="3" width="9.140625" style="212"/>
    <col min="4" max="4" width="13.28515625" bestFit="1" customWidth="1"/>
    <col min="6" max="6" width="28.28515625" customWidth="1"/>
    <col min="7" max="7" width="13.28515625" bestFit="1" customWidth="1"/>
  </cols>
  <sheetData>
    <row r="2" spans="2:13">
      <c r="B2" s="153" t="s">
        <v>251</v>
      </c>
      <c r="D2" s="443" t="s">
        <v>252</v>
      </c>
      <c r="E2" s="443"/>
      <c r="F2">
        <f>G14+D17</f>
        <v>2500</v>
      </c>
      <c r="J2" s="60"/>
      <c r="M2" s="60"/>
    </row>
    <row r="3" spans="2:13">
      <c r="B3" s="153"/>
      <c r="D3" s="443" t="s">
        <v>253</v>
      </c>
      <c r="E3" s="443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43" t="s">
        <v>252</v>
      </c>
      <c r="E22" s="443"/>
      <c r="F22">
        <f>D35</f>
        <v>0</v>
      </c>
    </row>
    <row r="23" spans="2:6">
      <c r="D23" s="443" t="s">
        <v>253</v>
      </c>
      <c r="E23" s="443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62"/>
      <c r="B1" s="462"/>
      <c r="C1" s="464" t="s">
        <v>18</v>
      </c>
      <c r="D1" s="464"/>
      <c r="E1" s="464"/>
      <c r="F1" s="464"/>
      <c r="G1" s="464"/>
      <c r="H1" s="464"/>
      <c r="I1" s="464"/>
      <c r="J1" s="464"/>
      <c r="K1" s="464"/>
      <c r="L1" s="464"/>
    </row>
    <row r="2" spans="1:26" ht="20.100000000000001" customHeight="1">
      <c r="A2" s="462"/>
      <c r="B2" s="462"/>
      <c r="C2" s="464"/>
      <c r="D2" s="464"/>
      <c r="E2" s="464"/>
      <c r="F2" s="464"/>
      <c r="G2" s="464"/>
      <c r="H2" s="464"/>
      <c r="I2" s="464"/>
      <c r="J2" s="464"/>
      <c r="K2" s="464"/>
      <c r="L2" s="464"/>
    </row>
    <row r="3" spans="1:26" ht="20.100000000000001" customHeight="1">
      <c r="A3" s="462"/>
      <c r="B3" s="462"/>
      <c r="C3" s="464"/>
      <c r="D3" s="464"/>
      <c r="E3" s="464"/>
      <c r="F3" s="464"/>
      <c r="G3" s="464"/>
      <c r="H3" s="464"/>
      <c r="I3" s="464"/>
      <c r="J3" s="464"/>
      <c r="K3" s="464"/>
      <c r="L3" s="464"/>
    </row>
    <row r="4" spans="1:26" ht="20.100000000000001" customHeight="1">
      <c r="A4" s="463"/>
      <c r="B4" s="462"/>
      <c r="C4" s="464"/>
      <c r="D4" s="464"/>
      <c r="E4" s="464"/>
      <c r="F4" s="464"/>
      <c r="G4" s="464"/>
      <c r="H4" s="464"/>
      <c r="I4" s="464"/>
      <c r="J4" s="464"/>
      <c r="K4" s="464"/>
      <c r="L4" s="464"/>
    </row>
    <row r="5" spans="1:26" ht="20.100000000000001" customHeight="1">
      <c r="A5" s="10"/>
      <c r="B5" s="452" t="s">
        <v>19</v>
      </c>
      <c r="C5" s="453"/>
      <c r="D5" s="453"/>
      <c r="E5" s="453"/>
      <c r="F5" s="453"/>
      <c r="G5" s="453"/>
      <c r="H5" s="454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4" t="s">
        <v>24</v>
      </c>
      <c r="B11" s="444"/>
      <c r="C11" s="444"/>
      <c r="D11" s="22"/>
      <c r="E11" s="444" t="s">
        <v>25</v>
      </c>
      <c r="F11" s="456" t="s">
        <v>64</v>
      </c>
      <c r="G11" s="456" t="s">
        <v>26</v>
      </c>
      <c r="H11" s="444" t="s">
        <v>16</v>
      </c>
      <c r="I11" s="24"/>
      <c r="J11" s="461"/>
      <c r="K11" s="461"/>
      <c r="L11" s="461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4"/>
      <c r="F12" s="456"/>
      <c r="G12" s="456"/>
      <c r="H12" s="444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4" t="s">
        <v>10</v>
      </c>
      <c r="B15" s="444"/>
      <c r="C15" s="444"/>
      <c r="D15" s="24"/>
      <c r="E15" s="457" t="s">
        <v>70</v>
      </c>
      <c r="F15" s="459" t="s">
        <v>71</v>
      </c>
      <c r="G15" s="454" t="s">
        <v>29</v>
      </c>
      <c r="H15" s="444"/>
      <c r="I15" s="444"/>
      <c r="J15" s="444"/>
      <c r="K15" s="444"/>
      <c r="L15" s="444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58"/>
      <c r="F16" s="460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4" t="s">
        <v>35</v>
      </c>
      <c r="B19" s="444"/>
      <c r="C19" s="444"/>
      <c r="D19" s="444"/>
      <c r="E19" s="444"/>
      <c r="F19" s="24"/>
      <c r="G19" s="461"/>
      <c r="H19" s="461"/>
      <c r="I19" s="461"/>
      <c r="J19" s="461"/>
      <c r="K19" s="461"/>
      <c r="L19" s="461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61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4" t="s">
        <v>36</v>
      </c>
      <c r="H25" s="444"/>
      <c r="I25" s="444"/>
      <c r="J25" s="444"/>
      <c r="K25" s="444"/>
      <c r="L25" s="444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5"/>
      <c r="J28" s="455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6" t="s">
        <v>42</v>
      </c>
      <c r="K29" s="456" t="s">
        <v>43</v>
      </c>
      <c r="L29" s="456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6" t="s">
        <v>40</v>
      </c>
      <c r="H30" s="456" t="s">
        <v>41</v>
      </c>
      <c r="I30" s="456" t="s">
        <v>44</v>
      </c>
      <c r="J30" s="456"/>
      <c r="K30" s="456"/>
      <c r="L30" s="456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6"/>
      <c r="H31" s="456"/>
      <c r="I31" s="456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4" t="s">
        <v>46</v>
      </c>
      <c r="B34" s="444"/>
      <c r="C34" s="444"/>
      <c r="D34" s="444"/>
      <c r="E34" s="444"/>
      <c r="F34" s="444"/>
      <c r="G34" s="444"/>
      <c r="H34" s="444"/>
      <c r="I34" s="444"/>
      <c r="J34" s="444"/>
      <c r="K34" s="444"/>
      <c r="L34" s="444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5" t="s">
        <v>61</v>
      </c>
      <c r="I44" s="445"/>
      <c r="J44" s="445"/>
      <c r="K44" s="445"/>
      <c r="L44" s="445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46"/>
      <c r="I45" s="447"/>
      <c r="J45" s="447"/>
      <c r="K45" s="447"/>
      <c r="L45" s="448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49"/>
      <c r="I46" s="450"/>
      <c r="J46" s="450"/>
      <c r="K46" s="450"/>
      <c r="L46" s="451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62"/>
      <c r="B1" s="462"/>
      <c r="C1" s="464" t="s">
        <v>18</v>
      </c>
      <c r="D1" s="464"/>
      <c r="E1" s="464"/>
      <c r="F1" s="464"/>
      <c r="G1" s="464"/>
      <c r="H1" s="464"/>
      <c r="I1" s="464"/>
      <c r="J1" s="464"/>
      <c r="K1" s="464"/>
      <c r="L1" s="464"/>
    </row>
    <row r="2" spans="1:26" ht="20.100000000000001" customHeight="1">
      <c r="A2" s="462"/>
      <c r="B2" s="462"/>
      <c r="C2" s="464"/>
      <c r="D2" s="464"/>
      <c r="E2" s="464"/>
      <c r="F2" s="464"/>
      <c r="G2" s="464"/>
      <c r="H2" s="464"/>
      <c r="I2" s="464"/>
      <c r="J2" s="464"/>
      <c r="K2" s="464"/>
      <c r="L2" s="464"/>
    </row>
    <row r="3" spans="1:26" ht="20.100000000000001" customHeight="1">
      <c r="A3" s="462"/>
      <c r="B3" s="462"/>
      <c r="C3" s="464"/>
      <c r="D3" s="464"/>
      <c r="E3" s="464"/>
      <c r="F3" s="464"/>
      <c r="G3" s="464"/>
      <c r="H3" s="464"/>
      <c r="I3" s="464"/>
      <c r="J3" s="464"/>
      <c r="K3" s="464"/>
      <c r="L3" s="464"/>
    </row>
    <row r="4" spans="1:26" ht="20.100000000000001" customHeight="1">
      <c r="A4" s="463"/>
      <c r="B4" s="462"/>
      <c r="C4" s="464"/>
      <c r="D4" s="464"/>
      <c r="E4" s="464"/>
      <c r="F4" s="464"/>
      <c r="G4" s="464"/>
      <c r="H4" s="464"/>
      <c r="I4" s="464"/>
      <c r="J4" s="464"/>
      <c r="K4" s="464"/>
      <c r="L4" s="464"/>
    </row>
    <row r="5" spans="1:26" ht="20.100000000000001" customHeight="1">
      <c r="A5" s="10"/>
      <c r="B5" s="452" t="s">
        <v>19</v>
      </c>
      <c r="C5" s="453"/>
      <c r="D5" s="453"/>
      <c r="E5" s="453"/>
      <c r="F5" s="453"/>
      <c r="G5" s="453"/>
      <c r="H5" s="453"/>
      <c r="I5" s="453"/>
      <c r="J5" s="454"/>
      <c r="K5" s="12"/>
      <c r="L5" s="12"/>
    </row>
    <row r="6" spans="1:26" ht="30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4" t="s">
        <v>24</v>
      </c>
      <c r="B11" s="444"/>
      <c r="C11" s="444"/>
      <c r="D11" s="22"/>
      <c r="E11" s="444" t="s">
        <v>25</v>
      </c>
      <c r="F11" s="456" t="s">
        <v>64</v>
      </c>
      <c r="G11" s="456" t="s">
        <v>26</v>
      </c>
      <c r="H11" s="444" t="s">
        <v>16</v>
      </c>
      <c r="I11" s="24"/>
      <c r="J11" s="461"/>
      <c r="K11" s="461"/>
      <c r="L11" s="461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4"/>
      <c r="F12" s="456"/>
      <c r="G12" s="456"/>
      <c r="H12" s="444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4" t="s">
        <v>10</v>
      </c>
      <c r="B15" s="444"/>
      <c r="C15" s="444"/>
      <c r="D15" s="24"/>
      <c r="E15" s="457" t="s">
        <v>70</v>
      </c>
      <c r="F15" s="459" t="s">
        <v>71</v>
      </c>
      <c r="G15" s="454" t="s">
        <v>29</v>
      </c>
      <c r="H15" s="444"/>
      <c r="I15" s="444"/>
      <c r="J15" s="444"/>
      <c r="K15" s="444"/>
      <c r="L15" s="444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58"/>
      <c r="F16" s="460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4" t="s">
        <v>35</v>
      </c>
      <c r="B19" s="444"/>
      <c r="C19" s="444"/>
      <c r="D19" s="444"/>
      <c r="E19" s="444"/>
      <c r="F19" s="24"/>
      <c r="G19" s="461"/>
      <c r="H19" s="461"/>
      <c r="I19" s="461"/>
      <c r="J19" s="461"/>
      <c r="K19" s="461"/>
      <c r="L19" s="461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61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4" t="s">
        <v>36</v>
      </c>
      <c r="H25" s="444"/>
      <c r="I25" s="444"/>
      <c r="J25" s="444"/>
      <c r="K25" s="444"/>
      <c r="L25" s="444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30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5"/>
      <c r="J28" s="455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6" t="s">
        <v>42</v>
      </c>
      <c r="K29" s="456" t="s">
        <v>43</v>
      </c>
      <c r="L29" s="456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6" t="s">
        <v>40</v>
      </c>
      <c r="H30" s="456" t="s">
        <v>41</v>
      </c>
      <c r="I30" s="456" t="s">
        <v>44</v>
      </c>
      <c r="J30" s="456"/>
      <c r="K30" s="456"/>
      <c r="L30" s="456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6"/>
      <c r="H31" s="456"/>
      <c r="I31" s="456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4" t="s">
        <v>46</v>
      </c>
      <c r="B34" s="444"/>
      <c r="C34" s="444"/>
      <c r="D34" s="444"/>
      <c r="E34" s="444"/>
      <c r="F34" s="444"/>
      <c r="G34" s="444"/>
      <c r="H34" s="444"/>
      <c r="I34" s="444"/>
      <c r="J34" s="444"/>
      <c r="K34" s="444"/>
      <c r="L34" s="444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30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5" t="s">
        <v>61</v>
      </c>
      <c r="I44" s="445"/>
      <c r="J44" s="445"/>
      <c r="K44" s="445"/>
      <c r="L44" s="445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46"/>
      <c r="I45" s="447"/>
      <c r="J45" s="447"/>
      <c r="K45" s="447"/>
      <c r="L45" s="448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49"/>
      <c r="I46" s="450"/>
      <c r="J46" s="450"/>
      <c r="K46" s="450"/>
      <c r="L46" s="451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2026-02-11T18:04:16Z</cp:lastPrinted>
  <dcterms:created xsi:type="dcterms:W3CDTF">2009-11-06T14:29:30Z</dcterms:created>
  <dcterms:modified xsi:type="dcterms:W3CDTF">2026-02-11T18:04:20Z</dcterms:modified>
</cp:coreProperties>
</file>