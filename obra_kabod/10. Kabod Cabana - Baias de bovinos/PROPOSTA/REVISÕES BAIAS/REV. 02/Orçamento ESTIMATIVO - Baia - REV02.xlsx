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Drives compartilhados\SERVIDOR\VEKS ENGENHARIA\COMERCIAL\1. PROPOSTAS\01. ORÇAMENTOS VEKS\40. KABOD CABANAS\Baia\Propostas\"/>
    </mc:Choice>
  </mc:AlternateContent>
  <xr:revisionPtr revIDLastSave="0" documentId="13_ncr:1_{E7744183-C82D-4BBD-9FB2-0B889067E293}" xr6:coauthVersionLast="47" xr6:coauthVersionMax="47" xr10:uidLastSave="{00000000-0000-0000-0000-000000000000}"/>
  <bookViews>
    <workbookView xWindow="30" yWindow="30" windowWidth="20460" windowHeight="10770" tabRatio="899" xr2:uid="{00000000-000D-0000-FFFF-FFFF00000000}"/>
  </bookViews>
  <sheets>
    <sheet name="Proposta Comercial " sheetId="33" r:id="rId1"/>
    <sheet name="Memorial de calculo" sheetId="46" r:id="rId2"/>
    <sheet name="RESUMO CUSTOS " sheetId="36" r:id="rId3"/>
    <sheet name="Fundação " sheetId="38" r:id="rId4"/>
    <sheet name="Aço " sheetId="29" r:id="rId5"/>
    <sheet name="Cobertura" sheetId="37" r:id="rId6"/>
    <sheet name="Plaqueamento Interno " sheetId="35" r:id="rId7"/>
    <sheet name="Plaqueamento Externo" sheetId="43" r:id="rId8"/>
    <sheet name="Revestimento " sheetId="39" r:id="rId9"/>
    <sheet name="Muro" sheetId="42" r:id="rId10"/>
    <sheet name="Instalação Portas" sheetId="40" r:id="rId11"/>
    <sheet name="Pintura " sheetId="41" r:id="rId12"/>
    <sheet name="Instalações" sheetId="45" r:id="rId13"/>
    <sheet name="PROJETO" sheetId="24" state="hidden" r:id="rId14"/>
    <sheet name="TOPOGRAFIA" sheetId="25" state="hidden" r:id="rId15"/>
  </sheets>
  <definedNames>
    <definedName name="_xlnm.Print_Area" localSheetId="0">'Proposta Comercial '!$B$2:$O$32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13" i="33" l="1"/>
  <c r="AC13" i="33" s="1"/>
  <c r="T13" i="33"/>
  <c r="U13" i="33" s="1"/>
  <c r="J13" i="33"/>
  <c r="I13" i="33"/>
  <c r="H13" i="33"/>
  <c r="AB14" i="33"/>
  <c r="AC14" i="33" s="1"/>
  <c r="T14" i="33"/>
  <c r="U14" i="33" s="1"/>
  <c r="J14" i="33"/>
  <c r="I14" i="33"/>
  <c r="H14" i="33"/>
  <c r="AB11" i="33"/>
  <c r="AC11" i="33" s="1"/>
  <c r="T11" i="33"/>
  <c r="U11" i="33" s="1"/>
  <c r="J11" i="33"/>
  <c r="I11" i="33"/>
  <c r="H11" i="33"/>
  <c r="F10" i="33"/>
  <c r="T10" i="33" s="1"/>
  <c r="U10" i="33" s="1"/>
  <c r="AB12" i="33"/>
  <c r="AC12" i="33" s="1"/>
  <c r="T12" i="33"/>
  <c r="U12" i="33" s="1"/>
  <c r="J12" i="33"/>
  <c r="I12" i="33"/>
  <c r="H12" i="33"/>
  <c r="G10" i="33"/>
  <c r="AB10" i="33" s="1"/>
  <c r="AC10" i="33" s="1"/>
  <c r="F17" i="33"/>
  <c r="T17" i="33" s="1"/>
  <c r="U17" i="33" s="1"/>
  <c r="G17" i="33"/>
  <c r="AB17" i="33" s="1"/>
  <c r="AC17" i="33" s="1"/>
  <c r="AB18" i="33"/>
  <c r="AC18" i="33" s="1"/>
  <c r="T18" i="33"/>
  <c r="U18" i="33" s="1"/>
  <c r="J18" i="33"/>
  <c r="I18" i="33"/>
  <c r="H18" i="33"/>
  <c r="AB19" i="33"/>
  <c r="AC19" i="33" s="1"/>
  <c r="AD19" i="33" s="1"/>
  <c r="AE19" i="33" s="1"/>
  <c r="T19" i="33"/>
  <c r="U19" i="33" s="1"/>
  <c r="J19" i="33"/>
  <c r="I19" i="33"/>
  <c r="H19" i="33"/>
  <c r="AB16" i="33"/>
  <c r="AC16" i="33" s="1"/>
  <c r="T16" i="33"/>
  <c r="U16" i="33" s="1"/>
  <c r="J16" i="33"/>
  <c r="I16" i="33"/>
  <c r="H16" i="33"/>
  <c r="AB15" i="33"/>
  <c r="AC15" i="33" s="1"/>
  <c r="T15" i="33"/>
  <c r="U15" i="33" s="1"/>
  <c r="J15" i="33"/>
  <c r="I15" i="33"/>
  <c r="H15" i="33"/>
  <c r="K13" i="33" l="1"/>
  <c r="V13" i="33"/>
  <c r="W13" i="33" s="1"/>
  <c r="AD13" i="33"/>
  <c r="AE13" i="33" s="1"/>
  <c r="L13" i="33"/>
  <c r="K14" i="33"/>
  <c r="V14" i="33"/>
  <c r="W14" i="33" s="1"/>
  <c r="AD14" i="33"/>
  <c r="AE14" i="33" s="1"/>
  <c r="L14" i="33"/>
  <c r="V11" i="33"/>
  <c r="W11" i="33" s="1"/>
  <c r="K11" i="33"/>
  <c r="L11" i="33"/>
  <c r="AD11" i="33"/>
  <c r="AE11" i="33" s="1"/>
  <c r="K12" i="33"/>
  <c r="V12" i="33"/>
  <c r="W12" i="33" s="1"/>
  <c r="AD12" i="33"/>
  <c r="AE12" i="33" s="1"/>
  <c r="L12" i="33"/>
  <c r="J17" i="33"/>
  <c r="H10" i="33"/>
  <c r="H17" i="33"/>
  <c r="I17" i="33"/>
  <c r="I10" i="33"/>
  <c r="I20" i="33" s="1"/>
  <c r="I24" i="33" s="1"/>
  <c r="J10" i="33"/>
  <c r="K18" i="33"/>
  <c r="V18" i="33"/>
  <c r="W18" i="33" s="1"/>
  <c r="AD18" i="33"/>
  <c r="AE18" i="33" s="1"/>
  <c r="L18" i="33"/>
  <c r="K19" i="33"/>
  <c r="V19" i="33"/>
  <c r="W19" i="33" s="1"/>
  <c r="L19" i="33"/>
  <c r="AD15" i="33"/>
  <c r="AE15" i="33" s="1"/>
  <c r="L15" i="33"/>
  <c r="K10" i="33"/>
  <c r="V10" i="33"/>
  <c r="W10" i="33" s="1"/>
  <c r="AD10" i="33"/>
  <c r="AE10" i="33" s="1"/>
  <c r="L10" i="33"/>
  <c r="K16" i="33"/>
  <c r="V16" i="33"/>
  <c r="W16" i="33" s="1"/>
  <c r="AD16" i="33"/>
  <c r="AE16" i="33" s="1"/>
  <c r="L16" i="33"/>
  <c r="K15" i="33"/>
  <c r="V15" i="33"/>
  <c r="W15" i="33" s="1"/>
  <c r="V17" i="33"/>
  <c r="W17" i="33" s="1"/>
  <c r="K17" i="33"/>
  <c r="AD17" i="33"/>
  <c r="AE17" i="33" s="1"/>
  <c r="L17" i="33"/>
  <c r="Y13" i="33" l="1"/>
  <c r="N13" i="33"/>
  <c r="Q13" i="33"/>
  <c r="O13" i="33"/>
  <c r="M13" i="33"/>
  <c r="Y14" i="33"/>
  <c r="N14" i="33"/>
  <c r="H20" i="33"/>
  <c r="H24" i="33" s="1"/>
  <c r="M14" i="33"/>
  <c r="Q14" i="33"/>
  <c r="O14" i="33"/>
  <c r="Y11" i="33"/>
  <c r="N11" i="33"/>
  <c r="J20" i="33"/>
  <c r="M11" i="33"/>
  <c r="Q11" i="33"/>
  <c r="O11" i="33"/>
  <c r="Y12" i="33"/>
  <c r="N12" i="33"/>
  <c r="M12" i="33"/>
  <c r="Q12" i="33"/>
  <c r="O12" i="33"/>
  <c r="Y18" i="33"/>
  <c r="N18" i="33"/>
  <c r="Q18" i="33"/>
  <c r="O18" i="33"/>
  <c r="M18" i="33"/>
  <c r="O19" i="33"/>
  <c r="Q19" i="33"/>
  <c r="M19" i="33"/>
  <c r="N19" i="33"/>
  <c r="Y19" i="33"/>
  <c r="N16" i="33"/>
  <c r="Y16" i="33"/>
  <c r="N10" i="33"/>
  <c r="Y10" i="33"/>
  <c r="Y17" i="33"/>
  <c r="N17" i="33"/>
  <c r="O16" i="33"/>
  <c r="M16" i="33"/>
  <c r="Q16" i="33"/>
  <c r="N15" i="33"/>
  <c r="Y15" i="33"/>
  <c r="Q17" i="33"/>
  <c r="O17" i="33"/>
  <c r="M17" i="33"/>
  <c r="Q10" i="33"/>
  <c r="M10" i="33"/>
  <c r="O10" i="33"/>
  <c r="M15" i="33"/>
  <c r="O15" i="33"/>
  <c r="Q15" i="33"/>
  <c r="N20" i="33" l="1"/>
  <c r="O20" i="33"/>
  <c r="M20" i="33"/>
  <c r="G44" i="43"/>
  <c r="H46" i="43"/>
  <c r="H5" i="43"/>
  <c r="F20" i="35"/>
  <c r="F19" i="35"/>
  <c r="F17" i="35"/>
  <c r="F16" i="35"/>
  <c r="F18" i="35"/>
  <c r="F17" i="43"/>
  <c r="F20" i="43"/>
  <c r="F19" i="43"/>
  <c r="F18" i="43"/>
  <c r="F16" i="43"/>
  <c r="D44" i="29"/>
  <c r="M15" i="35"/>
  <c r="H5" i="35"/>
  <c r="F19" i="29"/>
  <c r="F20" i="29"/>
  <c r="F18" i="29"/>
  <c r="F17" i="29"/>
  <c r="F16" i="29"/>
  <c r="D50" i="29"/>
  <c r="C5" i="29"/>
  <c r="K75" i="46" l="1"/>
  <c r="K74" i="46"/>
  <c r="K73" i="46"/>
  <c r="J74" i="46"/>
  <c r="K70" i="46"/>
  <c r="K71" i="46" s="1"/>
  <c r="H73" i="46"/>
  <c r="I56" i="46"/>
  <c r="F56" i="46"/>
  <c r="J56" i="46"/>
  <c r="J45" i="46"/>
  <c r="J46" i="46"/>
  <c r="J47" i="46"/>
  <c r="J48" i="46"/>
  <c r="J49" i="46"/>
  <c r="J50" i="46"/>
  <c r="J51" i="46"/>
  <c r="J52" i="46"/>
  <c r="J53" i="46"/>
  <c r="J54" i="46"/>
  <c r="J55" i="46"/>
  <c r="J44" i="46"/>
  <c r="I45" i="46"/>
  <c r="I46" i="46"/>
  <c r="I47" i="46"/>
  <c r="I48" i="46"/>
  <c r="I49" i="46"/>
  <c r="I50" i="46"/>
  <c r="I51" i="46"/>
  <c r="I52" i="46"/>
  <c r="I53" i="46"/>
  <c r="I54" i="46"/>
  <c r="I55" i="46"/>
  <c r="I44" i="46"/>
  <c r="F45" i="46"/>
  <c r="F46" i="46"/>
  <c r="F47" i="46"/>
  <c r="F48" i="46"/>
  <c r="F49" i="46"/>
  <c r="F50" i="46"/>
  <c r="F51" i="46"/>
  <c r="F52" i="46"/>
  <c r="F53" i="46"/>
  <c r="F54" i="46"/>
  <c r="F55" i="46"/>
  <c r="F44" i="46"/>
  <c r="F59" i="46" l="1"/>
  <c r="I59" i="46" s="1"/>
  <c r="H74" i="46"/>
  <c r="H32" i="46"/>
  <c r="C74" i="46"/>
  <c r="C73" i="46"/>
  <c r="C75" i="46" s="1"/>
  <c r="E73" i="46" s="1"/>
  <c r="E75" i="46" s="1"/>
  <c r="K69" i="46" l="1"/>
  <c r="E33" i="46" l="1"/>
  <c r="K60" i="46"/>
  <c r="K61" i="46"/>
  <c r="K59" i="46"/>
  <c r="F61" i="46"/>
  <c r="I61" i="46" s="1"/>
  <c r="K62" i="46" l="1"/>
  <c r="F60" i="46" l="1"/>
  <c r="I60" i="46" s="1"/>
  <c r="I62" i="46" l="1"/>
  <c r="D15" i="45" l="1"/>
  <c r="G12" i="45"/>
  <c r="G15" i="45"/>
  <c r="E26" i="46" l="1"/>
  <c r="C24" i="46"/>
  <c r="C23" i="46"/>
  <c r="E23" i="46" s="1"/>
  <c r="C35" i="46" s="1"/>
  <c r="E35" i="46" s="1"/>
  <c r="C22" i="46"/>
  <c r="E22" i="46" s="1"/>
  <c r="E21" i="46"/>
  <c r="C34" i="46" l="1"/>
  <c r="E34" i="46" s="1"/>
  <c r="C25" i="46"/>
  <c r="E24" i="46"/>
  <c r="E25" i="46" s="1"/>
  <c r="O24" i="33" l="1"/>
  <c r="Q24" i="33" s="1"/>
  <c r="R24" i="33" l="1"/>
  <c r="F15" i="46"/>
  <c r="G15" i="46" s="1"/>
  <c r="H15" i="46" s="1"/>
  <c r="I15" i="46" s="1"/>
  <c r="F14" i="46"/>
  <c r="G14" i="46" s="1"/>
  <c r="H14" i="46" s="1"/>
  <c r="I14" i="46" s="1"/>
  <c r="H13" i="46"/>
  <c r="G13" i="46"/>
  <c r="F13" i="46"/>
  <c r="I13" i="46" s="1"/>
  <c r="F6" i="46"/>
  <c r="I6" i="46" s="1"/>
  <c r="G6" i="46"/>
  <c r="H6" i="46"/>
  <c r="F8" i="46"/>
  <c r="G8" i="46" s="1"/>
  <c r="H8" i="46" s="1"/>
  <c r="I8" i="46" s="1"/>
  <c r="F7" i="46"/>
  <c r="G7" i="46" s="1"/>
  <c r="H7" i="46" s="1"/>
  <c r="I7" i="46" s="1"/>
  <c r="J13" i="46" l="1"/>
  <c r="E11" i="46" s="1"/>
  <c r="K13" i="46" s="1"/>
  <c r="L13" i="46" s="1"/>
  <c r="J6" i="46"/>
  <c r="E4" i="46" s="1"/>
  <c r="K6" i="46" s="1"/>
  <c r="L6" i="46" s="1"/>
  <c r="W22" i="33" l="1"/>
  <c r="N24" i="33" l="1"/>
  <c r="M24" i="33"/>
  <c r="V23" i="33" l="1"/>
  <c r="H2" i="29" l="1"/>
  <c r="H3" i="29" s="1"/>
  <c r="D60" i="39"/>
  <c r="D59" i="39"/>
  <c r="D61" i="39" s="1"/>
  <c r="D68" i="39" s="1"/>
  <c r="D78" i="39"/>
  <c r="F78" i="39" s="1"/>
  <c r="D77" i="39"/>
  <c r="F77" i="39" s="1"/>
  <c r="D76" i="39"/>
  <c r="F76" i="39" s="1"/>
  <c r="D75" i="39"/>
  <c r="F75" i="39" s="1"/>
  <c r="D74" i="39"/>
  <c r="F74" i="39" s="1"/>
  <c r="D73" i="39"/>
  <c r="F73" i="39" s="1"/>
  <c r="B3" i="41"/>
  <c r="B3" i="40"/>
  <c r="B3" i="42"/>
  <c r="B3" i="39"/>
  <c r="B3" i="43"/>
  <c r="D31" i="45"/>
  <c r="D33" i="45" s="1"/>
  <c r="G10" i="45"/>
  <c r="F79" i="39" l="1"/>
  <c r="D67" i="39"/>
  <c r="D32" i="45"/>
  <c r="G11" i="45"/>
  <c r="G14" i="45" s="1"/>
  <c r="F2" i="45" s="1"/>
  <c r="C13" i="45" l="1"/>
  <c r="C10" i="45"/>
  <c r="D79" i="35" l="1"/>
  <c r="D78" i="35"/>
  <c r="D77" i="35"/>
  <c r="D76" i="35"/>
  <c r="F17" i="38" l="1"/>
  <c r="F18" i="38"/>
  <c r="F19" i="38"/>
  <c r="F20" i="38"/>
  <c r="F16" i="38"/>
  <c r="C62" i="38" l="1"/>
  <c r="F62" i="38" s="1"/>
  <c r="F67" i="38"/>
  <c r="F66" i="38"/>
  <c r="F64" i="38"/>
  <c r="F63" i="38"/>
  <c r="C65" i="38"/>
  <c r="F65" i="38" s="1"/>
  <c r="G46" i="43"/>
  <c r="G17" i="43"/>
  <c r="F24" i="43" s="1"/>
  <c r="G24" i="43" s="1"/>
  <c r="G16" i="43"/>
  <c r="F23" i="43" s="1"/>
  <c r="G23" i="43" s="1"/>
  <c r="G17" i="35"/>
  <c r="F24" i="35" s="1"/>
  <c r="G24" i="35" s="1"/>
  <c r="F17" i="37"/>
  <c r="G17" i="37" s="1"/>
  <c r="F24" i="37" s="1"/>
  <c r="G24" i="37" s="1"/>
  <c r="F18" i="37"/>
  <c r="F19" i="37"/>
  <c r="F20" i="37"/>
  <c r="F16" i="37"/>
  <c r="G16" i="37" s="1"/>
  <c r="F23" i="37" s="1"/>
  <c r="G23" i="37" s="1"/>
  <c r="G17" i="38"/>
  <c r="F24" i="38" s="1"/>
  <c r="G24" i="38" s="1"/>
  <c r="G16" i="38"/>
  <c r="F23" i="38" s="1"/>
  <c r="G23" i="38" s="1"/>
  <c r="F232" i="35"/>
  <c r="G232" i="35" s="1"/>
  <c r="F231" i="35"/>
  <c r="F230" i="35"/>
  <c r="G230" i="35" s="1"/>
  <c r="F229" i="35"/>
  <c r="F251" i="35"/>
  <c r="G251" i="35" s="1"/>
  <c r="F250" i="35"/>
  <c r="G250" i="35" s="1"/>
  <c r="F249" i="35"/>
  <c r="F248" i="35"/>
  <c r="F247" i="35"/>
  <c r="F246" i="35"/>
  <c r="G246" i="35" s="1"/>
  <c r="F245" i="35"/>
  <c r="G245" i="35" s="1"/>
  <c r="F244" i="35"/>
  <c r="G244" i="35" s="1"/>
  <c r="F243" i="35"/>
  <c r="G243" i="35" s="1"/>
  <c r="F242" i="35"/>
  <c r="F241" i="35"/>
  <c r="F240" i="35"/>
  <c r="G240" i="35" s="1"/>
  <c r="F239" i="35"/>
  <c r="G239" i="35" s="1"/>
  <c r="F238" i="35"/>
  <c r="G238" i="35" s="1"/>
  <c r="F237" i="35"/>
  <c r="G237" i="35" s="1"/>
  <c r="F236" i="35"/>
  <c r="G236" i="35" s="1"/>
  <c r="F235" i="35"/>
  <c r="G235" i="35" s="1"/>
  <c r="F234" i="35"/>
  <c r="G234" i="35" s="1"/>
  <c r="F233" i="35"/>
  <c r="F228" i="35"/>
  <c r="G228" i="35" s="1"/>
  <c r="F227" i="35"/>
  <c r="F226" i="35"/>
  <c r="G226" i="35" s="1"/>
  <c r="F225" i="35"/>
  <c r="F218" i="35"/>
  <c r="G218" i="35" s="1"/>
  <c r="F217" i="35"/>
  <c r="G217" i="35" s="1"/>
  <c r="F216" i="35"/>
  <c r="D215" i="35"/>
  <c r="F215" i="35" s="1"/>
  <c r="D214" i="35"/>
  <c r="F214" i="35" s="1"/>
  <c r="D213" i="35"/>
  <c r="F213" i="35" s="1"/>
  <c r="D212" i="35"/>
  <c r="F212" i="35" s="1"/>
  <c r="D211" i="35"/>
  <c r="F211" i="35" s="1"/>
  <c r="D210" i="35"/>
  <c r="F210" i="35" s="1"/>
  <c r="D209" i="35"/>
  <c r="F209" i="35" s="1"/>
  <c r="D208" i="35"/>
  <c r="F208" i="35" s="1"/>
  <c r="D207" i="35"/>
  <c r="F207" i="35" s="1"/>
  <c r="D206" i="35"/>
  <c r="F206" i="35" s="1"/>
  <c r="D205" i="35"/>
  <c r="F205" i="35" s="1"/>
  <c r="F204" i="35"/>
  <c r="G204" i="35" s="1"/>
  <c r="F203" i="35"/>
  <c r="G203" i="35" s="1"/>
  <c r="F202" i="35"/>
  <c r="G202" i="35" s="1"/>
  <c r="F201" i="35"/>
  <c r="G201" i="35" s="1"/>
  <c r="F200" i="35"/>
  <c r="F199" i="35"/>
  <c r="F198" i="35"/>
  <c r="F197" i="35"/>
  <c r="F196" i="35"/>
  <c r="F195" i="35"/>
  <c r="G195" i="35" s="1"/>
  <c r="F194" i="35"/>
  <c r="F193" i="35"/>
  <c r="G193" i="35" s="1"/>
  <c r="F192" i="35"/>
  <c r="F191" i="35"/>
  <c r="F190" i="35"/>
  <c r="G190" i="35" s="1"/>
  <c r="F189" i="35"/>
  <c r="G189" i="35" s="1"/>
  <c r="F188" i="35"/>
  <c r="G188" i="35" s="1"/>
  <c r="F187" i="35"/>
  <c r="G187" i="35" s="1"/>
  <c r="F186" i="35"/>
  <c r="F185" i="35"/>
  <c r="F184" i="35"/>
  <c r="F183" i="35"/>
  <c r="F174" i="35"/>
  <c r="F175" i="35"/>
  <c r="G175" i="35" s="1"/>
  <c r="D173" i="35"/>
  <c r="F173" i="35" s="1"/>
  <c r="D172" i="35"/>
  <c r="F172" i="35" s="1"/>
  <c r="D171" i="35"/>
  <c r="F171" i="35" s="1"/>
  <c r="D170" i="35"/>
  <c r="F170" i="35" s="1"/>
  <c r="D169" i="35"/>
  <c r="F169" i="35" s="1"/>
  <c r="D168" i="35"/>
  <c r="F168" i="35" s="1"/>
  <c r="D167" i="35"/>
  <c r="F167" i="35" s="1"/>
  <c r="D166" i="35"/>
  <c r="F166" i="35" s="1"/>
  <c r="D165" i="35"/>
  <c r="F165" i="35" s="1"/>
  <c r="D164" i="35"/>
  <c r="F164" i="35" s="1"/>
  <c r="D163" i="35"/>
  <c r="F163" i="35" s="1"/>
  <c r="F162" i="35"/>
  <c r="G162" i="35" s="1"/>
  <c r="F161" i="35"/>
  <c r="G161" i="35" s="1"/>
  <c r="F160" i="35"/>
  <c r="G160" i="35" s="1"/>
  <c r="F159" i="35"/>
  <c r="G159" i="35" s="1"/>
  <c r="F158" i="35"/>
  <c r="F157" i="35"/>
  <c r="F156" i="35"/>
  <c r="F155" i="35"/>
  <c r="I38" i="29"/>
  <c r="C50" i="38"/>
  <c r="C35" i="38"/>
  <c r="E35" i="38" s="1"/>
  <c r="F35" i="38" s="1"/>
  <c r="G35" i="38" s="1"/>
  <c r="G45" i="43"/>
  <c r="F190" i="43"/>
  <c r="F189" i="43"/>
  <c r="F188" i="43"/>
  <c r="F187" i="43"/>
  <c r="F186" i="43"/>
  <c r="F185" i="43"/>
  <c r="F184" i="43"/>
  <c r="F183" i="43"/>
  <c r="F182" i="43"/>
  <c r="F181" i="43"/>
  <c r="F180" i="43"/>
  <c r="F179" i="43"/>
  <c r="F178" i="43"/>
  <c r="F177" i="43"/>
  <c r="F176" i="43"/>
  <c r="F175" i="43"/>
  <c r="F174" i="43"/>
  <c r="F173" i="43"/>
  <c r="G168" i="43"/>
  <c r="F167" i="43"/>
  <c r="F166" i="43"/>
  <c r="F165" i="43"/>
  <c r="F164" i="43"/>
  <c r="F163" i="43"/>
  <c r="F162" i="43"/>
  <c r="F161" i="43"/>
  <c r="F160" i="43"/>
  <c r="F159" i="43"/>
  <c r="F158" i="43"/>
  <c r="F157" i="43"/>
  <c r="F156" i="43"/>
  <c r="F155" i="43"/>
  <c r="F154" i="43"/>
  <c r="F153" i="43"/>
  <c r="F152" i="43"/>
  <c r="F151" i="43"/>
  <c r="F150" i="43"/>
  <c r="F149" i="43"/>
  <c r="F148" i="43"/>
  <c r="F147" i="43"/>
  <c r="F146" i="43"/>
  <c r="F145" i="43"/>
  <c r="F144" i="43"/>
  <c r="F143" i="43"/>
  <c r="F142" i="43"/>
  <c r="F141" i="43"/>
  <c r="F140" i="43"/>
  <c r="F139" i="43"/>
  <c r="F138" i="43"/>
  <c r="F137" i="43"/>
  <c r="F136" i="43"/>
  <c r="F135" i="43"/>
  <c r="F134" i="43"/>
  <c r="F133" i="43"/>
  <c r="F132" i="43"/>
  <c r="F131" i="43"/>
  <c r="F130" i="43"/>
  <c r="F129" i="43"/>
  <c r="F128" i="43"/>
  <c r="F127" i="43"/>
  <c r="F126" i="43"/>
  <c r="F125" i="43"/>
  <c r="F124" i="43"/>
  <c r="F123" i="43"/>
  <c r="F122" i="43"/>
  <c r="F121" i="43"/>
  <c r="F120" i="43"/>
  <c r="F119" i="43"/>
  <c r="F118" i="43"/>
  <c r="F117" i="43"/>
  <c r="F116" i="43"/>
  <c r="F115" i="43"/>
  <c r="F114" i="43"/>
  <c r="F113" i="43"/>
  <c r="F112" i="43"/>
  <c r="F111" i="43"/>
  <c r="F110" i="43"/>
  <c r="F104" i="43"/>
  <c r="G104" i="43" s="1"/>
  <c r="F103" i="43"/>
  <c r="G103" i="43" s="1"/>
  <c r="F102" i="43"/>
  <c r="G102" i="43" s="1"/>
  <c r="F101" i="43"/>
  <c r="G101" i="43" s="1"/>
  <c r="F100" i="43"/>
  <c r="G100" i="43" s="1"/>
  <c r="F99" i="43"/>
  <c r="F98" i="43"/>
  <c r="F97" i="43"/>
  <c r="F96" i="43"/>
  <c r="F95" i="43"/>
  <c r="F94" i="43"/>
  <c r="F93" i="43"/>
  <c r="F92" i="43"/>
  <c r="F91" i="43"/>
  <c r="F90" i="43"/>
  <c r="F89" i="43"/>
  <c r="F88" i="43"/>
  <c r="G88" i="43" s="1"/>
  <c r="F87" i="43"/>
  <c r="G87" i="43" s="1"/>
  <c r="F86" i="43"/>
  <c r="G86" i="43" s="1"/>
  <c r="F85" i="43"/>
  <c r="G85" i="43" s="1"/>
  <c r="F84" i="43"/>
  <c r="G84" i="43" s="1"/>
  <c r="F83" i="43"/>
  <c r="G83" i="43" s="1"/>
  <c r="F82" i="43"/>
  <c r="G82" i="43" s="1"/>
  <c r="F81" i="43"/>
  <c r="G81" i="43" s="1"/>
  <c r="F80" i="43"/>
  <c r="G80" i="43" s="1"/>
  <c r="F79" i="43"/>
  <c r="G79" i="43" s="1"/>
  <c r="F78" i="43"/>
  <c r="G78" i="43" s="1"/>
  <c r="F77" i="43"/>
  <c r="G77" i="43" s="1"/>
  <c r="F76" i="43"/>
  <c r="G76" i="43" s="1"/>
  <c r="F75" i="43"/>
  <c r="G75" i="43" s="1"/>
  <c r="F74" i="43"/>
  <c r="G74" i="43" s="1"/>
  <c r="F68" i="43"/>
  <c r="F67" i="43"/>
  <c r="F66" i="43"/>
  <c r="F65" i="43"/>
  <c r="F59" i="43"/>
  <c r="F58" i="43"/>
  <c r="F57" i="43"/>
  <c r="F56" i="43"/>
  <c r="D43" i="43"/>
  <c r="G38" i="43"/>
  <c r="E20" i="43"/>
  <c r="E19" i="43"/>
  <c r="E18" i="43"/>
  <c r="E11" i="43"/>
  <c r="E12" i="43" s="1"/>
  <c r="C3" i="37"/>
  <c r="C35" i="37" s="1"/>
  <c r="E35" i="37" s="1"/>
  <c r="F35" i="37" s="1"/>
  <c r="G35" i="37" s="1"/>
  <c r="C7" i="38"/>
  <c r="G36" i="35" s="1"/>
  <c r="C18" i="36"/>
  <c r="D11" i="36"/>
  <c r="E17" i="36"/>
  <c r="E19" i="36" s="1"/>
  <c r="D12" i="36"/>
  <c r="G48" i="42"/>
  <c r="I48" i="42" s="1"/>
  <c r="I51" i="42" s="1"/>
  <c r="E51" i="42"/>
  <c r="E50" i="42"/>
  <c r="C47" i="42"/>
  <c r="G38" i="42"/>
  <c r="C35" i="42"/>
  <c r="E35" i="42" s="1"/>
  <c r="F35" i="42" s="1"/>
  <c r="G35" i="42" s="1"/>
  <c r="F20" i="42"/>
  <c r="E20" i="42"/>
  <c r="F19" i="42"/>
  <c r="E19" i="42"/>
  <c r="G19" i="42" s="1"/>
  <c r="F26" i="42" s="1"/>
  <c r="G26" i="42" s="1"/>
  <c r="F18" i="42"/>
  <c r="E18" i="42"/>
  <c r="F17" i="42"/>
  <c r="G17" i="42" s="1"/>
  <c r="F24" i="42" s="1"/>
  <c r="G24" i="42" s="1"/>
  <c r="F16" i="42"/>
  <c r="G16" i="42" s="1"/>
  <c r="F23" i="42" s="1"/>
  <c r="G23" i="42" s="1"/>
  <c r="E11" i="42"/>
  <c r="E12" i="42" s="1"/>
  <c r="D43" i="42" s="1"/>
  <c r="C7" i="42"/>
  <c r="G36" i="42" s="1"/>
  <c r="C6" i="42"/>
  <c r="C5" i="42"/>
  <c r="H4" i="42"/>
  <c r="F153" i="35"/>
  <c r="G153" i="35" s="1"/>
  <c r="F154" i="35"/>
  <c r="F176" i="35"/>
  <c r="G176" i="35" s="1"/>
  <c r="F65" i="35"/>
  <c r="F152" i="35"/>
  <c r="F148" i="35"/>
  <c r="G148" i="35" s="1"/>
  <c r="F149" i="35"/>
  <c r="F150" i="35"/>
  <c r="F151" i="35"/>
  <c r="G151" i="35" s="1"/>
  <c r="F145" i="35"/>
  <c r="G145" i="35" s="1"/>
  <c r="F146" i="35"/>
  <c r="G146" i="35" s="1"/>
  <c r="F147" i="35"/>
  <c r="G147" i="35" s="1"/>
  <c r="F144" i="35"/>
  <c r="F143" i="35"/>
  <c r="F142" i="35"/>
  <c r="F141" i="35"/>
  <c r="F107" i="35"/>
  <c r="F106" i="35"/>
  <c r="F105" i="35"/>
  <c r="F104" i="35"/>
  <c r="F103" i="35"/>
  <c r="F102" i="35"/>
  <c r="F101" i="35"/>
  <c r="F100" i="35"/>
  <c r="F99" i="35"/>
  <c r="F98" i="35"/>
  <c r="F97" i="35"/>
  <c r="F96" i="35"/>
  <c r="F95" i="35"/>
  <c r="F94" i="35"/>
  <c r="F93" i="35"/>
  <c r="F92" i="35"/>
  <c r="F91" i="35"/>
  <c r="F90" i="35"/>
  <c r="F89" i="35"/>
  <c r="F88" i="35"/>
  <c r="F87" i="35"/>
  <c r="F78" i="35"/>
  <c r="F79" i="35"/>
  <c r="F77" i="35"/>
  <c r="F76" i="35"/>
  <c r="F75" i="35"/>
  <c r="F74" i="35"/>
  <c r="F68" i="35"/>
  <c r="F67" i="35"/>
  <c r="F66" i="35"/>
  <c r="F57" i="35"/>
  <c r="F58" i="35"/>
  <c r="F59" i="35"/>
  <c r="F56" i="35"/>
  <c r="D43" i="41"/>
  <c r="G38" i="41"/>
  <c r="C35" i="41"/>
  <c r="E35" i="41" s="1"/>
  <c r="F35" i="41" s="1"/>
  <c r="G35" i="41" s="1"/>
  <c r="G30" i="41"/>
  <c r="G31" i="41" s="1"/>
  <c r="D23" i="41"/>
  <c r="F18" i="41"/>
  <c r="E18" i="41"/>
  <c r="F17" i="41"/>
  <c r="G17" i="41" s="1"/>
  <c r="F16" i="41"/>
  <c r="G16" i="41" s="1"/>
  <c r="E11" i="41"/>
  <c r="E12" i="41" s="1"/>
  <c r="C7" i="41"/>
  <c r="G36" i="41" s="1"/>
  <c r="C6" i="41"/>
  <c r="C5" i="41"/>
  <c r="G24" i="40"/>
  <c r="D23" i="40"/>
  <c r="F16" i="40"/>
  <c r="G16" i="40" s="1"/>
  <c r="F17" i="40"/>
  <c r="G17" i="40" s="1"/>
  <c r="E18" i="40"/>
  <c r="F18" i="40"/>
  <c r="D43" i="40"/>
  <c r="G38" i="40"/>
  <c r="C35" i="40"/>
  <c r="E35" i="40" s="1"/>
  <c r="F35" i="40" s="1"/>
  <c r="G35" i="40" s="1"/>
  <c r="E11" i="40"/>
  <c r="E12" i="40" s="1"/>
  <c r="C7" i="40"/>
  <c r="G36" i="40" s="1"/>
  <c r="C6" i="40"/>
  <c r="C5" i="40"/>
  <c r="E49" i="39"/>
  <c r="D43" i="39"/>
  <c r="E51" i="39" s="1"/>
  <c r="G38" i="39"/>
  <c r="C35" i="39"/>
  <c r="E35" i="39" s="1"/>
  <c r="F35" i="39" s="1"/>
  <c r="G35" i="39" s="1"/>
  <c r="F20" i="39"/>
  <c r="E20" i="39"/>
  <c r="F19" i="39"/>
  <c r="E19" i="39"/>
  <c r="F18" i="39"/>
  <c r="E18" i="39"/>
  <c r="F17" i="39"/>
  <c r="G17" i="39" s="1"/>
  <c r="F24" i="39" s="1"/>
  <c r="G24" i="39" s="1"/>
  <c r="F16" i="39"/>
  <c r="G16" i="39" s="1"/>
  <c r="F23" i="39" s="1"/>
  <c r="G23" i="39" s="1"/>
  <c r="E11" i="39"/>
  <c r="E12" i="39" s="1"/>
  <c r="C7" i="39"/>
  <c r="G36" i="39" s="1"/>
  <c r="C6" i="39"/>
  <c r="C5" i="39"/>
  <c r="E51" i="38"/>
  <c r="D43" i="35"/>
  <c r="D43" i="29"/>
  <c r="G38" i="38"/>
  <c r="E20" i="38"/>
  <c r="G20" i="38" s="1"/>
  <c r="F27" i="38" s="1"/>
  <c r="G27" i="38" s="1"/>
  <c r="E19" i="38"/>
  <c r="E18" i="38"/>
  <c r="E11" i="38"/>
  <c r="E12" i="38" s="1"/>
  <c r="D43" i="38" s="1"/>
  <c r="G38" i="37"/>
  <c r="E20" i="37"/>
  <c r="E19" i="37"/>
  <c r="E18" i="37"/>
  <c r="E11" i="37"/>
  <c r="E12" i="37" s="1"/>
  <c r="D43" i="37" s="1"/>
  <c r="G36" i="37"/>
  <c r="G38" i="35"/>
  <c r="E20" i="35"/>
  <c r="E19" i="35"/>
  <c r="E18" i="35"/>
  <c r="G16" i="35"/>
  <c r="F23" i="35" s="1"/>
  <c r="G23" i="35" s="1"/>
  <c r="E11" i="35"/>
  <c r="E12" i="35" s="1"/>
  <c r="G38" i="29"/>
  <c r="E11" i="29"/>
  <c r="E12" i="29" s="1"/>
  <c r="G36" i="29"/>
  <c r="E20" i="29"/>
  <c r="E19" i="29"/>
  <c r="E18" i="29"/>
  <c r="G17" i="29"/>
  <c r="F24" i="29" s="1"/>
  <c r="G18" i="37" l="1"/>
  <c r="F25" i="37" s="1"/>
  <c r="G25" i="37" s="1"/>
  <c r="G20" i="43"/>
  <c r="F27" i="43" s="1"/>
  <c r="G27" i="43" s="1"/>
  <c r="G18" i="41"/>
  <c r="G39" i="40"/>
  <c r="D45" i="40" s="1"/>
  <c r="G39" i="39"/>
  <c r="D45" i="39" s="1"/>
  <c r="E52" i="39" s="1"/>
  <c r="G19" i="37"/>
  <c r="F26" i="37" s="1"/>
  <c r="G26" i="37" s="1"/>
  <c r="G20" i="37"/>
  <c r="F27" i="37" s="1"/>
  <c r="G27" i="37" s="1"/>
  <c r="G18" i="42"/>
  <c r="F25" i="42" s="1"/>
  <c r="G25" i="42" s="1"/>
  <c r="G20" i="39"/>
  <c r="G19" i="39"/>
  <c r="C8" i="40"/>
  <c r="D42" i="40" s="1"/>
  <c r="G20" i="42"/>
  <c r="F27" i="42" s="1"/>
  <c r="G27" i="42" s="1"/>
  <c r="G18" i="39"/>
  <c r="G39" i="41"/>
  <c r="D45" i="41" s="1"/>
  <c r="F69" i="38"/>
  <c r="C8" i="39"/>
  <c r="D42" i="39" s="1"/>
  <c r="E50" i="39" s="1"/>
  <c r="C8" i="41"/>
  <c r="D42" i="41" s="1"/>
  <c r="D44" i="41"/>
  <c r="G18" i="40"/>
  <c r="G19" i="43"/>
  <c r="F26" i="43" s="1"/>
  <c r="G26" i="43" s="1"/>
  <c r="F60" i="43"/>
  <c r="F69" i="43"/>
  <c r="G69" i="43" s="1"/>
  <c r="H69" i="43" s="1"/>
  <c r="F105" i="43"/>
  <c r="G36" i="38"/>
  <c r="G39" i="38" s="1"/>
  <c r="D45" i="38" s="1"/>
  <c r="E50" i="38"/>
  <c r="C47" i="38"/>
  <c r="F177" i="35"/>
  <c r="G177" i="35"/>
  <c r="G18" i="38"/>
  <c r="F25" i="38" s="1"/>
  <c r="G25" i="38" s="1"/>
  <c r="G19" i="38"/>
  <c r="F26" i="38" s="1"/>
  <c r="G26" i="38" s="1"/>
  <c r="G18" i="43"/>
  <c r="F25" i="43" s="1"/>
  <c r="G25" i="43" s="1"/>
  <c r="F191" i="43"/>
  <c r="H191" i="43" s="1"/>
  <c r="F168" i="43"/>
  <c r="H168" i="43" s="1"/>
  <c r="F252" i="35"/>
  <c r="G252" i="35"/>
  <c r="F219" i="35"/>
  <c r="G219" i="35"/>
  <c r="D14" i="36"/>
  <c r="C5" i="38"/>
  <c r="C5" i="43"/>
  <c r="C6" i="38"/>
  <c r="G36" i="43"/>
  <c r="G60" i="43"/>
  <c r="H60" i="43" s="1"/>
  <c r="G105" i="43"/>
  <c r="C5" i="37"/>
  <c r="C6" i="37"/>
  <c r="G39" i="42"/>
  <c r="D45" i="42" s="1"/>
  <c r="C8" i="42"/>
  <c r="D42" i="42" s="1"/>
  <c r="F136" i="35"/>
  <c r="G136" i="35"/>
  <c r="G82" i="35"/>
  <c r="F81" i="35"/>
  <c r="G20" i="35"/>
  <c r="F27" i="35" s="1"/>
  <c r="G27" i="35" s="1"/>
  <c r="F60" i="35"/>
  <c r="G60" i="35" s="1"/>
  <c r="H60" i="35" s="1"/>
  <c r="G19" i="35"/>
  <c r="F26" i="35" s="1"/>
  <c r="G26" i="35" s="1"/>
  <c r="G18" i="35"/>
  <c r="F25" i="35" s="1"/>
  <c r="G25" i="35" s="1"/>
  <c r="F69" i="35"/>
  <c r="G69" i="35" s="1"/>
  <c r="G30" i="40"/>
  <c r="G30" i="39"/>
  <c r="G39" i="37"/>
  <c r="D45" i="37" s="1"/>
  <c r="G18" i="29"/>
  <c r="F25" i="29" s="1"/>
  <c r="G19" i="29"/>
  <c r="G20" i="29"/>
  <c r="G16" i="29"/>
  <c r="F23" i="29" s="1"/>
  <c r="G23" i="29" s="1"/>
  <c r="AK8" i="33"/>
  <c r="G30" i="37" l="1"/>
  <c r="G31" i="37" s="1"/>
  <c r="D44" i="37" s="1"/>
  <c r="E55" i="39"/>
  <c r="F55" i="39" s="1"/>
  <c r="H105" i="43"/>
  <c r="G30" i="42"/>
  <c r="G31" i="42" s="1"/>
  <c r="D44" i="42" s="1"/>
  <c r="C8" i="37"/>
  <c r="D42" i="37" s="1"/>
  <c r="G30" i="43"/>
  <c r="G31" i="43" s="1"/>
  <c r="D44" i="43" s="1"/>
  <c r="D46" i="41"/>
  <c r="D47" i="41" s="1"/>
  <c r="G31" i="40"/>
  <c r="D44" i="40"/>
  <c r="H44" i="43"/>
  <c r="H45" i="43" s="1"/>
  <c r="I45" i="43" s="1"/>
  <c r="H12" i="43"/>
  <c r="I12" i="43" s="1"/>
  <c r="H177" i="35"/>
  <c r="N7" i="35" s="1"/>
  <c r="F3" i="45"/>
  <c r="D36" i="45"/>
  <c r="F23" i="45" s="1"/>
  <c r="D35" i="45"/>
  <c r="F22" i="45" s="1"/>
  <c r="C35" i="43"/>
  <c r="E35" i="43" s="1"/>
  <c r="F35" i="43" s="1"/>
  <c r="G35" i="43" s="1"/>
  <c r="G39" i="43" s="1"/>
  <c r="D45" i="43" s="1"/>
  <c r="G30" i="38"/>
  <c r="G31" i="38" s="1"/>
  <c r="D44" i="38" s="1"/>
  <c r="D28" i="36"/>
  <c r="D27" i="36"/>
  <c r="D26" i="36"/>
  <c r="D24" i="36"/>
  <c r="D25" i="36"/>
  <c r="C47" i="37"/>
  <c r="H11" i="43"/>
  <c r="I11" i="43" s="1"/>
  <c r="H10" i="43"/>
  <c r="I10" i="43" s="1"/>
  <c r="H252" i="35"/>
  <c r="H219" i="35"/>
  <c r="C6" i="43"/>
  <c r="C8" i="43" s="1"/>
  <c r="D42" i="43" s="1"/>
  <c r="C35" i="35"/>
  <c r="E35" i="35" s="1"/>
  <c r="F35" i="35" s="1"/>
  <c r="G35" i="35" s="1"/>
  <c r="G39" i="35" s="1"/>
  <c r="D45" i="35" s="1"/>
  <c r="C6" i="35"/>
  <c r="C5" i="35"/>
  <c r="C35" i="29"/>
  <c r="E35" i="29" s="1"/>
  <c r="F35" i="29" s="1"/>
  <c r="G35" i="29" s="1"/>
  <c r="G39" i="29" s="1"/>
  <c r="D45" i="29" s="1"/>
  <c r="C6" i="29"/>
  <c r="C8" i="38"/>
  <c r="D42" i="38" s="1"/>
  <c r="D46" i="42"/>
  <c r="D47" i="42" s="1"/>
  <c r="H136" i="35"/>
  <c r="I136" i="35" s="1"/>
  <c r="G30" i="35"/>
  <c r="G31" i="35" s="1"/>
  <c r="D44" i="35" s="1"/>
  <c r="H82" i="35"/>
  <c r="I82" i="35" s="1"/>
  <c r="K82" i="35" s="1"/>
  <c r="H69" i="35"/>
  <c r="D44" i="39"/>
  <c r="D46" i="39" s="1"/>
  <c r="D47" i="39" s="1"/>
  <c r="G31" i="39"/>
  <c r="D46" i="37"/>
  <c r="F26" i="29"/>
  <c r="G26" i="29" s="1"/>
  <c r="G24" i="29"/>
  <c r="G25" i="29"/>
  <c r="F27" i="29"/>
  <c r="G27" i="29" s="1"/>
  <c r="E53" i="42" l="1"/>
  <c r="E54" i="42" s="1"/>
  <c r="N5" i="35"/>
  <c r="N6" i="35"/>
  <c r="D46" i="40"/>
  <c r="D47" i="40" s="1"/>
  <c r="C8" i="29"/>
  <c r="D42" i="29" s="1"/>
  <c r="H2" i="35"/>
  <c r="H2" i="43"/>
  <c r="N12" i="35"/>
  <c r="N11" i="35"/>
  <c r="N10" i="35"/>
  <c r="D47" i="37"/>
  <c r="D46" i="38"/>
  <c r="D47" i="38" s="1"/>
  <c r="D46" i="43"/>
  <c r="C28" i="36" s="1"/>
  <c r="H12" i="35"/>
  <c r="H11" i="35"/>
  <c r="H10" i="35"/>
  <c r="C8" i="35"/>
  <c r="D42" i="35" s="1"/>
  <c r="D46" i="35" s="1"/>
  <c r="D47" i="35" s="1"/>
  <c r="H6" i="43"/>
  <c r="H7" i="43"/>
  <c r="C26" i="36"/>
  <c r="E26" i="36" s="1"/>
  <c r="G30" i="29"/>
  <c r="H4" i="29" l="1"/>
  <c r="I15" i="35"/>
  <c r="E53" i="38"/>
  <c r="E54" i="38" s="1"/>
  <c r="E28" i="36"/>
  <c r="D47" i="43"/>
  <c r="C27" i="36"/>
  <c r="H6" i="35"/>
  <c r="H7" i="35"/>
  <c r="G31" i="29"/>
  <c r="D46" i="29" l="1"/>
  <c r="C24" i="36"/>
  <c r="E27" i="36"/>
  <c r="D47" i="29" l="1"/>
  <c r="C25" i="36"/>
  <c r="E25" i="36" s="1"/>
  <c r="J24" i="33"/>
  <c r="S24" i="33" s="1"/>
  <c r="E24" i="36"/>
  <c r="C34" i="36" l="1"/>
  <c r="C35" i="36" s="1"/>
  <c r="T24" i="33"/>
  <c r="W23" i="33"/>
  <c r="L36" i="24"/>
  <c r="J8" i="25" l="1"/>
  <c r="J9" i="25" s="1"/>
  <c r="I8" i="25"/>
  <c r="I9" i="25" s="1"/>
  <c r="E46" i="25"/>
  <c r="D46" i="25"/>
  <c r="C46" i="25"/>
  <c r="B46" i="25"/>
  <c r="E45" i="25"/>
  <c r="D45" i="25"/>
  <c r="C45" i="25"/>
  <c r="B45" i="25"/>
  <c r="F44" i="25"/>
  <c r="F42" i="25"/>
  <c r="F40" i="25"/>
  <c r="F38" i="25"/>
  <c r="L36" i="25"/>
  <c r="K36" i="25"/>
  <c r="J36" i="25"/>
  <c r="I36" i="25"/>
  <c r="H36" i="25"/>
  <c r="G36" i="25"/>
  <c r="H28" i="25"/>
  <c r="F9" i="25"/>
  <c r="B40" i="25" s="1"/>
  <c r="H8" i="25"/>
  <c r="H9" i="25" s="1"/>
  <c r="G8" i="25"/>
  <c r="G9" i="25" s="1"/>
  <c r="F8" i="25"/>
  <c r="E8" i="25"/>
  <c r="E9" i="25" s="1"/>
  <c r="D8" i="25"/>
  <c r="D9" i="25" s="1"/>
  <c r="C8" i="25"/>
  <c r="C9" i="25" s="1"/>
  <c r="H8" i="24"/>
  <c r="H9" i="24" s="1"/>
  <c r="E46" i="24"/>
  <c r="D46" i="24"/>
  <c r="C46" i="24"/>
  <c r="B46" i="24"/>
  <c r="E45" i="24"/>
  <c r="D45" i="24"/>
  <c r="C45" i="24"/>
  <c r="B45" i="24"/>
  <c r="F44" i="24"/>
  <c r="F42" i="24"/>
  <c r="F40" i="24"/>
  <c r="F38" i="24"/>
  <c r="K36" i="24"/>
  <c r="J36" i="24"/>
  <c r="I36" i="24"/>
  <c r="H36" i="24"/>
  <c r="G36" i="24"/>
  <c r="H28" i="24"/>
  <c r="G8" i="24"/>
  <c r="G9" i="24" s="1"/>
  <c r="F8" i="24"/>
  <c r="F9" i="24" s="1"/>
  <c r="E8" i="24"/>
  <c r="E9" i="24" s="1"/>
  <c r="C39" i="24" s="1"/>
  <c r="D8" i="24"/>
  <c r="D9" i="24" s="1"/>
  <c r="C8" i="24"/>
  <c r="C9" i="24" s="1"/>
  <c r="E37" i="24" s="1"/>
  <c r="E41" i="24" l="1"/>
  <c r="B41" i="24"/>
  <c r="E44" i="25"/>
  <c r="D44" i="25"/>
  <c r="C44" i="25"/>
  <c r="B44" i="25"/>
  <c r="B43" i="25"/>
  <c r="E43" i="25"/>
  <c r="D43" i="25"/>
  <c r="C43" i="25"/>
  <c r="F46" i="25"/>
  <c r="F36" i="25" s="1"/>
  <c r="D37" i="25"/>
  <c r="E37" i="25"/>
  <c r="C37" i="25"/>
  <c r="B37" i="25"/>
  <c r="C39" i="25"/>
  <c r="D39" i="25"/>
  <c r="B39" i="25"/>
  <c r="E39" i="25"/>
  <c r="E41" i="25"/>
  <c r="D41" i="25"/>
  <c r="C41" i="25"/>
  <c r="B41" i="25"/>
  <c r="D38" i="25"/>
  <c r="C38" i="25"/>
  <c r="B38" i="25"/>
  <c r="E38" i="25"/>
  <c r="E42" i="25"/>
  <c r="B42" i="25"/>
  <c r="D42" i="25"/>
  <c r="C42" i="25"/>
  <c r="D40" i="25"/>
  <c r="E40" i="25"/>
  <c r="C40" i="25"/>
  <c r="D44" i="24"/>
  <c r="C44" i="24"/>
  <c r="B44" i="24"/>
  <c r="E44" i="24"/>
  <c r="E43" i="24"/>
  <c r="D43" i="24"/>
  <c r="B43" i="24"/>
  <c r="C43" i="24"/>
  <c r="C42" i="24"/>
  <c r="B42" i="24"/>
  <c r="E42" i="24"/>
  <c r="D42" i="24"/>
  <c r="F46" i="24"/>
  <c r="F36" i="24" s="1"/>
  <c r="D38" i="24"/>
  <c r="C38" i="24"/>
  <c r="B38" i="24"/>
  <c r="E38" i="24"/>
  <c r="B40" i="24"/>
  <c r="E40" i="24"/>
  <c r="D40" i="24"/>
  <c r="C40" i="24"/>
  <c r="B37" i="24"/>
  <c r="E39" i="24"/>
  <c r="C41" i="24"/>
  <c r="D41" i="24"/>
  <c r="D39" i="24"/>
  <c r="C37" i="24"/>
  <c r="B39" i="24"/>
  <c r="D37" i="24"/>
  <c r="U24" i="33" l="1"/>
  <c r="C36" i="25"/>
  <c r="E36" i="25"/>
  <c r="D36" i="25"/>
  <c r="B36" i="25"/>
  <c r="E36" i="24"/>
  <c r="B36" i="24"/>
  <c r="D36" i="24"/>
  <c r="C36" i="24"/>
  <c r="I39" i="25" l="1"/>
  <c r="H39" i="25"/>
  <c r="I39" i="24"/>
  <c r="H39" i="24"/>
  <c r="L31" i="24" s="1"/>
  <c r="L39" i="24" l="1"/>
  <c r="H42" i="24" s="1"/>
  <c r="J42" i="24" s="1"/>
  <c r="J39" i="25"/>
  <c r="K39" i="25" s="1"/>
  <c r="L31" i="25"/>
  <c r="L39" i="25" s="1"/>
  <c r="J39" i="24"/>
  <c r="K39" i="24" s="1"/>
  <c r="H42" i="25" l="1"/>
  <c r="J42" i="25" s="1"/>
  <c r="I42" i="24"/>
  <c r="I42" i="25" l="1"/>
  <c r="K42" i="24"/>
  <c r="L42" i="24"/>
  <c r="F17" i="24" s="1"/>
  <c r="K42" i="25" l="1"/>
  <c r="L42" i="25"/>
  <c r="F17" i="25" s="1"/>
  <c r="F32" i="46"/>
  <c r="G32" i="4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Fabiano Marini</author>
    <author>Renan Ferreira</author>
  </authors>
  <commentList>
    <comment ref="L17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Valor por passagem
e por trecho.
Se cotar ida e volta, dividir o valor por 2!</t>
        </r>
      </text>
    </comment>
    <comment ref="L27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Qtd de deslocamento é considerado a ida e a volta.</t>
        </r>
      </text>
    </comment>
    <comment ref="L36" authorId="1" shapeId="0" xr:uid="{00000000-0006-0000-0D00-000003000000}">
      <text>
        <r>
          <rPr>
            <b/>
            <sz val="9"/>
            <color indexed="81"/>
            <rFont val="Segoe UI"/>
            <family val="2"/>
          </rPr>
          <t>Renan Ferreira:</t>
        </r>
        <r>
          <rPr>
            <sz val="9"/>
            <color indexed="81"/>
            <rFont val="Segoe UI"/>
            <family val="2"/>
          </rPr>
          <t xml:space="preserve">
3 ART's para os projetos: Fundações, Estrutura metálica e muro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Fabiano Marini</author>
  </authors>
  <commentList>
    <comment ref="L17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Valor por passagem
e por trecho.
Se cotar ida e volta, dividir o valor por 2!</t>
        </r>
      </text>
    </comment>
    <comment ref="L27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Qtd de deslocamento é considerado a ida e a volta.</t>
        </r>
      </text>
    </comment>
  </commentList>
</comments>
</file>

<file path=xl/sharedStrings.xml><?xml version="1.0" encoding="utf-8"?>
<sst xmlns="http://schemas.openxmlformats.org/spreadsheetml/2006/main" count="1134" uniqueCount="406">
  <si>
    <t>ITEM</t>
  </si>
  <si>
    <t>Total</t>
  </si>
  <si>
    <t xml:space="preserve">Valor Total do Projeto </t>
  </si>
  <si>
    <t>Cálculo de preço de venda de material</t>
  </si>
  <si>
    <t>Imposto (%)</t>
  </si>
  <si>
    <t>Lucro (%)</t>
  </si>
  <si>
    <t>Preço de custo</t>
  </si>
  <si>
    <t>Preço de venda</t>
  </si>
  <si>
    <t>Imposto (R$)</t>
  </si>
  <si>
    <t>Lucro (R$)</t>
  </si>
  <si>
    <t>ART</t>
  </si>
  <si>
    <t>Normal</t>
  </si>
  <si>
    <t>Sáb. ou após 18h</t>
  </si>
  <si>
    <t>Dom. e Fer.</t>
  </si>
  <si>
    <t>Noturno</t>
  </si>
  <si>
    <t>Dias à trabalhar</t>
  </si>
  <si>
    <t>Refeição</t>
  </si>
  <si>
    <t>MARGEM BRUTA</t>
  </si>
  <si>
    <t>Planilha de formação de preço de venda de serviços</t>
  </si>
  <si>
    <t>Custo de mão de obra</t>
  </si>
  <si>
    <t>Descrição</t>
  </si>
  <si>
    <t>Salário médio</t>
  </si>
  <si>
    <t>Custo CLT mensal</t>
  </si>
  <si>
    <t>Custo CLT por hora</t>
  </si>
  <si>
    <t>Adicional de hora extra</t>
  </si>
  <si>
    <t>Impostos</t>
  </si>
  <si>
    <t>Horas trabalhadas por dia</t>
  </si>
  <si>
    <t>Sábados</t>
  </si>
  <si>
    <t>Dom. e fer.</t>
  </si>
  <si>
    <t>Deslocamento (Valores unitários)</t>
  </si>
  <si>
    <t>Próprio (por km)</t>
  </si>
  <si>
    <t>Diária (Básico)</t>
  </si>
  <si>
    <t>Diária (Completo)</t>
  </si>
  <si>
    <t>Extras (por Km)</t>
  </si>
  <si>
    <t>Park (Diária)</t>
  </si>
  <si>
    <t>Mão de obra</t>
  </si>
  <si>
    <t>Deslocamento (Proposta)</t>
  </si>
  <si>
    <t>Tipo</t>
  </si>
  <si>
    <t>Km (ida e volta)</t>
  </si>
  <si>
    <t>Tempo (ida e volta)</t>
  </si>
  <si>
    <t>Hospedagem (Valor unitário)</t>
  </si>
  <si>
    <t>Hospedagem (Proposta)</t>
  </si>
  <si>
    <t>Terceiros</t>
  </si>
  <si>
    <t>Outros</t>
  </si>
  <si>
    <t>Emitir ART</t>
  </si>
  <si>
    <t>Horas a trabalhar</t>
  </si>
  <si>
    <t>Cálculo do preço de venda - Custos</t>
  </si>
  <si>
    <t>Horas normais</t>
  </si>
  <si>
    <t>Horas extras - 60%</t>
  </si>
  <si>
    <t>Horas extras - 100%</t>
  </si>
  <si>
    <t>Horas noturnas</t>
  </si>
  <si>
    <t>Deslocamento</t>
  </si>
  <si>
    <t>Hospedagem</t>
  </si>
  <si>
    <t>Refeições</t>
  </si>
  <si>
    <t>Equipamentos</t>
  </si>
  <si>
    <t>Próprio</t>
  </si>
  <si>
    <t>Custo adm.</t>
  </si>
  <si>
    <t>Total de custo</t>
  </si>
  <si>
    <t>Total de venda</t>
  </si>
  <si>
    <t>Alugado</t>
  </si>
  <si>
    <t>Estacionamento</t>
  </si>
  <si>
    <t>Observações</t>
  </si>
  <si>
    <t>Aéreo</t>
  </si>
  <si>
    <t>Tempo</t>
  </si>
  <si>
    <t>Custo administrativo</t>
  </si>
  <si>
    <t>Lucro / Custo (%)</t>
  </si>
  <si>
    <t>Lucro / Venda (%)</t>
  </si>
  <si>
    <t>Deslocamento / hospedagem e refeição</t>
  </si>
  <si>
    <t>Custo (Mão de obra)</t>
  </si>
  <si>
    <t>Custo (Demais)</t>
  </si>
  <si>
    <t>Margem sobre HHT da Fundamentos</t>
  </si>
  <si>
    <t>Margem líquida global = 25%</t>
  </si>
  <si>
    <t>UNID.</t>
  </si>
  <si>
    <t>QUANT.</t>
  </si>
  <si>
    <t>CUSTO TOTAL</t>
  </si>
  <si>
    <t>Até R$ 8.000,00</t>
  </si>
  <si>
    <t>Até R$ 15.000,00</t>
  </si>
  <si>
    <t>Acima de R$ 15.000,00</t>
  </si>
  <si>
    <t>Criação: Maio-2021</t>
  </si>
  <si>
    <t>Resp.: Renan Ruiz</t>
  </si>
  <si>
    <t>ENGENHEIRO JR.</t>
  </si>
  <si>
    <t>ENGENHEIRO PL.</t>
  </si>
  <si>
    <t>ENGENHEIRO SR.</t>
  </si>
  <si>
    <t>GERENTE PROJ.</t>
  </si>
  <si>
    <t>SUPERVISOR</t>
  </si>
  <si>
    <t>DESENHISTA</t>
  </si>
  <si>
    <t>TOPÓGRAFO</t>
  </si>
  <si>
    <t>AJUDANTE TOPOGRAFIA</t>
  </si>
  <si>
    <t>PROJETISTA</t>
  </si>
  <si>
    <t>Última revisão: 26/05/2021</t>
  </si>
  <si>
    <t>Validade da proposta: 10 DIAS</t>
  </si>
  <si>
    <t>MARGEM DE MATERIAL</t>
  </si>
  <si>
    <t>MARGEM DE M.O</t>
  </si>
  <si>
    <t>MARGEM  BRUTA</t>
  </si>
  <si>
    <t>MARGEM  LIQUIDA</t>
  </si>
  <si>
    <t>R$ TOTAL MAT.</t>
  </si>
  <si>
    <t>R$ TOTAL M.O.</t>
  </si>
  <si>
    <t>R$ CUSTO TOTAL</t>
  </si>
  <si>
    <t xml:space="preserve">HOTEL </t>
  </si>
  <si>
    <t xml:space="preserve">DIARIA </t>
  </si>
  <si>
    <t>HOMEM</t>
  </si>
  <si>
    <t>TOTAL</t>
  </si>
  <si>
    <t>CUSTO COM TRANSP</t>
  </si>
  <si>
    <t>Imposto (16%)</t>
  </si>
  <si>
    <t>Adm (10%)</t>
  </si>
  <si>
    <t xml:space="preserve">Lucro Liquido </t>
  </si>
  <si>
    <t>Margen Liquida (25%)</t>
  </si>
  <si>
    <t>BDI</t>
  </si>
  <si>
    <t>Planilha de Orçamento</t>
  </si>
  <si>
    <t xml:space="preserve">CUSTO UNIT. M.O. </t>
  </si>
  <si>
    <t>CUSTO UNIT. MAT.</t>
  </si>
  <si>
    <t xml:space="preserve">R$ TOTAL M.O. </t>
  </si>
  <si>
    <t>MAT VENDA</t>
  </si>
  <si>
    <t>M.O. VENDA</t>
  </si>
  <si>
    <t xml:space="preserve">DESCRIÇÃO </t>
  </si>
  <si>
    <t xml:space="preserve">SALÁRIO </t>
  </si>
  <si>
    <t>REFEIÇÃO</t>
  </si>
  <si>
    <t xml:space="preserve">TOTAL </t>
  </si>
  <si>
    <t xml:space="preserve">EQUIPE PARA OBRA </t>
  </si>
  <si>
    <t>TOTAL MÊS</t>
  </si>
  <si>
    <t xml:space="preserve">VALOR TOTAL </t>
  </si>
  <si>
    <t xml:space="preserve">TRANSPORTE GUILHERME </t>
  </si>
  <si>
    <t>m2</t>
  </si>
  <si>
    <t xml:space="preserve">Encarregado </t>
  </si>
  <si>
    <t xml:space="preserve">Montador lider </t>
  </si>
  <si>
    <t xml:space="preserve">Montador  </t>
  </si>
  <si>
    <t xml:space="preserve">Ajudante </t>
  </si>
  <si>
    <t xml:space="preserve">Engenheiro residente </t>
  </si>
  <si>
    <t xml:space="preserve">DIÁRIA </t>
  </si>
  <si>
    <t xml:space="preserve">DIAS TRABALHADOS MÊS </t>
  </si>
  <si>
    <t xml:space="preserve">Total dia </t>
  </si>
  <si>
    <t>Local saída da equipe SJC</t>
  </si>
  <si>
    <t xml:space="preserve">km </t>
  </si>
  <si>
    <t xml:space="preserve">Custo km rodado  por Viagem </t>
  </si>
  <si>
    <t xml:space="preserve">Custo total de ida </t>
  </si>
  <si>
    <t xml:space="preserve">Custo total volta </t>
  </si>
  <si>
    <t xml:space="preserve">Custo pedágio ida e volta </t>
  </si>
  <si>
    <t xml:space="preserve">Custo total </t>
  </si>
  <si>
    <t>HOSPEDAGEM airbnb</t>
  </si>
  <si>
    <t xml:space="preserve">VALOR MENSAL </t>
  </si>
  <si>
    <t xml:space="preserve">VALOR TOTAL PELA OBRA </t>
  </si>
  <si>
    <t xml:space="preserve">MESES DE OBRA </t>
  </si>
  <si>
    <t>km</t>
  </si>
  <si>
    <t>R$ / km</t>
  </si>
  <si>
    <t xml:space="preserve">CUSTO POR KM </t>
  </si>
  <si>
    <t xml:space="preserve">IDA E VOLTA </t>
  </si>
  <si>
    <t xml:space="preserve">PEDÁGIO </t>
  </si>
  <si>
    <t xml:space="preserve">DIÁRIA DA VISITA </t>
  </si>
  <si>
    <t xml:space="preserve">VALOR DA DIÁRIA </t>
  </si>
  <si>
    <t xml:space="preserve">DIÁRIAS </t>
  </si>
  <si>
    <t xml:space="preserve">Total visita Guilherme </t>
  </si>
  <si>
    <t xml:space="preserve">RESUMO </t>
  </si>
  <si>
    <t xml:space="preserve">Nº DE VIAGENS </t>
  </si>
  <si>
    <t xml:space="preserve">Hospedagem </t>
  </si>
  <si>
    <t xml:space="preserve">Equipe </t>
  </si>
  <si>
    <t xml:space="preserve">Viagem de equipe para montagem aço 2 viagens </t>
  </si>
  <si>
    <t xml:space="preserve">Visita Guilherme </t>
  </si>
  <si>
    <t xml:space="preserve">Custo Geral </t>
  </si>
  <si>
    <t xml:space="preserve">MONTAGEM AÇO </t>
  </si>
  <si>
    <t xml:space="preserve">AREA CASA </t>
  </si>
  <si>
    <t xml:space="preserve">COBERTURA </t>
  </si>
  <si>
    <t xml:space="preserve">COEFICIENTE </t>
  </si>
  <si>
    <t xml:space="preserve">HOTEL + REFEIÇÃO </t>
  </si>
  <si>
    <t>FUNDAÇÃO</t>
  </si>
  <si>
    <t>HIDR</t>
  </si>
  <si>
    <t>ELE</t>
  </si>
  <si>
    <t>Area Radier m²</t>
  </si>
  <si>
    <t xml:space="preserve">Frete para ferramentas  km rodado </t>
  </si>
  <si>
    <t xml:space="preserve">Pedreiro </t>
  </si>
  <si>
    <t xml:space="preserve">Meio Oficial </t>
  </si>
  <si>
    <t>Piso</t>
  </si>
  <si>
    <t xml:space="preserve">transporte </t>
  </si>
  <si>
    <t xml:space="preserve">Empreitada </t>
  </si>
  <si>
    <t xml:space="preserve">Instalador porta </t>
  </si>
  <si>
    <t xml:space="preserve">Portas por dia </t>
  </si>
  <si>
    <t xml:space="preserve">27 portas </t>
  </si>
  <si>
    <t xml:space="preserve">dias finaliza </t>
  </si>
  <si>
    <t xml:space="preserve">Numero de casas </t>
  </si>
  <si>
    <t xml:space="preserve">Metragem total </t>
  </si>
  <si>
    <t>caixa dágua 1</t>
  </si>
  <si>
    <t xml:space="preserve">altura </t>
  </si>
  <si>
    <t xml:space="preserve">comprimento paredes externas </t>
  </si>
  <si>
    <t>area externa (m²)</t>
  </si>
  <si>
    <t xml:space="preserve">Area interna </t>
  </si>
  <si>
    <t xml:space="preserve">Area total </t>
  </si>
  <si>
    <t>caixa dágua 2</t>
  </si>
  <si>
    <t xml:space="preserve">laje cobertura </t>
  </si>
  <si>
    <t xml:space="preserve">comprimento paredes internas </t>
  </si>
  <si>
    <t>area interna  (m²) lado 1</t>
  </si>
  <si>
    <t>area interna  (m²) lado 2</t>
  </si>
  <si>
    <t>*</t>
  </si>
  <si>
    <t xml:space="preserve">piso terreo </t>
  </si>
  <si>
    <t xml:space="preserve">fachada </t>
  </si>
  <si>
    <t xml:space="preserve">1 homen </t>
  </si>
  <si>
    <t xml:space="preserve">2 homens </t>
  </si>
  <si>
    <t xml:space="preserve">3 homens </t>
  </si>
  <si>
    <t xml:space="preserve">plaqueamento interno </t>
  </si>
  <si>
    <t xml:space="preserve">plaqueamento fachada </t>
  </si>
  <si>
    <t xml:space="preserve">Área de Radier </t>
  </si>
  <si>
    <t xml:space="preserve">Área Terreno </t>
  </si>
  <si>
    <t xml:space="preserve">Área PavimentoTérreo de Obra </t>
  </si>
  <si>
    <t xml:space="preserve">Área Segundo Pavimento </t>
  </si>
  <si>
    <t xml:space="preserve">Local Saída </t>
  </si>
  <si>
    <t>Local Obra</t>
  </si>
  <si>
    <t>SJC</t>
  </si>
  <si>
    <t xml:space="preserve">TOTAL DIAS EM OBRA </t>
  </si>
  <si>
    <t xml:space="preserve">PLAQUEAMENTO INTERNO </t>
  </si>
  <si>
    <t xml:space="preserve">PLAQUEAMENTO EXTERNO </t>
  </si>
  <si>
    <t>BASE COALT</t>
  </si>
  <si>
    <t>plaqueamento interno terreo</t>
  </si>
  <si>
    <t xml:space="preserve">2o pavimento </t>
  </si>
  <si>
    <t>plaqueamento interno 2o pav</t>
  </si>
  <si>
    <t xml:space="preserve">3o pavimento </t>
  </si>
  <si>
    <t>plaqueamento interno 3o pav</t>
  </si>
  <si>
    <t>plaqueamento interno 4o pav</t>
  </si>
  <si>
    <t xml:space="preserve">4o pavimento </t>
  </si>
  <si>
    <t xml:space="preserve">Demolição </t>
  </si>
  <si>
    <t>kg</t>
  </si>
  <si>
    <t>CONCRETO</t>
  </si>
  <si>
    <t>m3</t>
  </si>
  <si>
    <t>VALOR</t>
  </si>
  <si>
    <t xml:space="preserve">BOMBA </t>
  </si>
  <si>
    <t>UND</t>
  </si>
  <si>
    <t>Aço</t>
  </si>
  <si>
    <t xml:space="preserve">Maderia </t>
  </si>
  <si>
    <t xml:space="preserve">MISCELANEAS </t>
  </si>
  <si>
    <t xml:space="preserve">escavação estaca </t>
  </si>
  <si>
    <t>m</t>
  </si>
  <si>
    <t>1º PAVIMENTO</t>
  </si>
  <si>
    <t xml:space="preserve">2º PAVIMENTO </t>
  </si>
  <si>
    <t>taxa aço por m2 35kg/m2</t>
  </si>
  <si>
    <t xml:space="preserve">kg de lsf </t>
  </si>
  <si>
    <t xml:space="preserve">dias </t>
  </si>
  <si>
    <t>Bacia Sanitária</t>
  </si>
  <si>
    <t>Cuba banheiros</t>
  </si>
  <si>
    <t>Cuba inox</t>
  </si>
  <si>
    <t>Tanque</t>
  </si>
  <si>
    <t>Bacia Sanitária PNE</t>
  </si>
  <si>
    <t>Cuba banheiros PNE</t>
  </si>
  <si>
    <t>Torneira banheiros PNE</t>
  </si>
  <si>
    <t>Barra de apoio PNE</t>
  </si>
  <si>
    <t>Torneira banheiros e cozinha</t>
  </si>
  <si>
    <t>Instalações Hidráulicas Vereda</t>
  </si>
  <si>
    <t>Custo M.O</t>
  </si>
  <si>
    <t>Custo Material</t>
  </si>
  <si>
    <t>m²</t>
  </si>
  <si>
    <t>Valor M.O.</t>
  </si>
  <si>
    <t>Valor Material</t>
  </si>
  <si>
    <t>Valor por m² (M.O.)</t>
  </si>
  <si>
    <t>Valor por m² (Material)</t>
  </si>
  <si>
    <t>Instalação Louças e metais</t>
  </si>
  <si>
    <t>Instalações Hidráulicas</t>
  </si>
  <si>
    <t>Valor total M.O</t>
  </si>
  <si>
    <t>Valor total Material</t>
  </si>
  <si>
    <t>não sei qual pode ser esse valor</t>
  </si>
  <si>
    <t>Instalações Elétricas</t>
  </si>
  <si>
    <t>Instalações Elétricas Vereda</t>
  </si>
  <si>
    <t>Mauá</t>
  </si>
  <si>
    <t>Local da obra Mauá</t>
  </si>
  <si>
    <t xml:space="preserve">Custo km rodado por Viagem </t>
  </si>
  <si>
    <t>Levantamento piso</t>
  </si>
  <si>
    <t>1° pav</t>
  </si>
  <si>
    <t>2° pav</t>
  </si>
  <si>
    <t>Valor M.O por m²</t>
  </si>
  <si>
    <t>Valor Material por m²</t>
  </si>
  <si>
    <t>Valor final M.O.</t>
  </si>
  <si>
    <t>Valor final Material</t>
  </si>
  <si>
    <t>Levantamento azulejo</t>
  </si>
  <si>
    <t>WC Maculino (1° pav)</t>
  </si>
  <si>
    <t>WC Feminino (1° pav)</t>
  </si>
  <si>
    <t>WC Maculino (térreo)</t>
  </si>
  <si>
    <t>WC Feminino (térreo)</t>
  </si>
  <si>
    <t>Vestiário</t>
  </si>
  <si>
    <t>Cozinha</t>
  </si>
  <si>
    <t>VEKS ENGENHARIA - ORÇAMENTOS
  (12) 98863-4553</t>
  </si>
  <si>
    <t>TOTAL MATERIAL</t>
  </si>
  <si>
    <t>TOTAL M.O.</t>
  </si>
  <si>
    <t>TOTAL MATERIAIS</t>
  </si>
  <si>
    <t>TOTAL MÃO DE OBRA</t>
  </si>
  <si>
    <t>TOTAL VENDA</t>
  </si>
  <si>
    <t>M2</t>
  </si>
  <si>
    <t>comissão 1,5%</t>
  </si>
  <si>
    <t>METRAGEM</t>
  </si>
  <si>
    <t>Prod.</t>
  </si>
  <si>
    <t>valores un</t>
  </si>
  <si>
    <t>Material</t>
  </si>
  <si>
    <t>PORCELANATO (m²)</t>
  </si>
  <si>
    <t>CIMENTO (sc)</t>
  </si>
  <si>
    <t>REJUNTE (sc)</t>
  </si>
  <si>
    <t>quant p/ un</t>
  </si>
  <si>
    <t>-</t>
  </si>
  <si>
    <t>Preço</t>
  </si>
  <si>
    <t>Sub Total</t>
  </si>
  <si>
    <t>Un. Ultil</t>
  </si>
  <si>
    <t xml:space="preserve">Quant. </t>
  </si>
  <si>
    <t>Valor por m²</t>
  </si>
  <si>
    <t>DESCRIÇÃO</t>
  </si>
  <si>
    <t>QUANTIDADE</t>
  </si>
  <si>
    <t>MEDIA</t>
  </si>
  <si>
    <t>DIAS</t>
  </si>
  <si>
    <t>TOTAL DIAS</t>
  </si>
  <si>
    <t>MÊS</t>
  </si>
  <si>
    <t>AÇO</t>
  </si>
  <si>
    <t>FECHAMENTO EXT</t>
  </si>
  <si>
    <t>FECHAMENTO INT</t>
  </si>
  <si>
    <t>TEMPO DE EXECUÇÃO</t>
  </si>
  <si>
    <t>AREA DE CONSTRUÇÃO</t>
  </si>
  <si>
    <t>PLAQUEAMENTO EXTERNO</t>
  </si>
  <si>
    <t>PLAQUEAMENTO INTERNO</t>
  </si>
  <si>
    <t>X</t>
  </si>
  <si>
    <t>Y</t>
  </si>
  <si>
    <t>M²</t>
  </si>
  <si>
    <t>RU</t>
  </si>
  <si>
    <t>ST</t>
  </si>
  <si>
    <t>FORRO</t>
  </si>
  <si>
    <t>METRAGEM DE AREAS</t>
  </si>
  <si>
    <t>ELÉTRICA</t>
  </si>
  <si>
    <t>INSTALAÇÕES HIDRAULICAS</t>
  </si>
  <si>
    <t>Bacia sanitaria deca com caixa aclopada</t>
  </si>
  <si>
    <t>VALOR UNIT.</t>
  </si>
  <si>
    <t>SUBTOTAL</t>
  </si>
  <si>
    <t>FRETE</t>
  </si>
  <si>
    <t>VALOR TOTAL</t>
  </si>
  <si>
    <t>Cuba de imbutir oval, deca, cor branca</t>
  </si>
  <si>
    <t>Bancada para lavatório em granito cinza andorinha</t>
  </si>
  <si>
    <t>Torneira  para lavatorio de mesa. DECA</t>
  </si>
  <si>
    <t>Mictorio com sifão integrado e entrada de agua embutida</t>
  </si>
  <si>
    <t>UNID</t>
  </si>
  <si>
    <t>MEDIDA</t>
  </si>
  <si>
    <t>Lavatorio vougle</t>
  </si>
  <si>
    <t>Ralo redondo</t>
  </si>
  <si>
    <t>Portas simples</t>
  </si>
  <si>
    <t>Porta dupla</t>
  </si>
  <si>
    <t>Dispenser titanium para papel higienico rolão, santher</t>
  </si>
  <si>
    <t>Dispenser para sabonete liquido, kimberly clark</t>
  </si>
  <si>
    <t>Dispenser para papel toalha interfolhado kimberly clark</t>
  </si>
  <si>
    <t>Espelho de cristal E=6mm coladosobre revestimento 1200</t>
  </si>
  <si>
    <t>Divisória sanitaria laminado melaniminico (Com porta)</t>
  </si>
  <si>
    <t>Porta de correr</t>
  </si>
  <si>
    <t xml:space="preserve">PORTAS  </t>
  </si>
  <si>
    <t>MÃO DE OBRA</t>
  </si>
  <si>
    <t>PISO - Porcelanato</t>
  </si>
  <si>
    <t>PAREDE - Revestimento</t>
  </si>
  <si>
    <t>RADIER</t>
  </si>
  <si>
    <t>REVESTIMENTO PISO</t>
  </si>
  <si>
    <t>REVESTIMENTO PAREDE</t>
  </si>
  <si>
    <t>ACESSÓRIOS</t>
  </si>
  <si>
    <t>AREA (A)</t>
  </si>
  <si>
    <t>TAXA P/ AREA (K)</t>
  </si>
  <si>
    <t>PESSOAS (N)</t>
  </si>
  <si>
    <t>TAXA P/ PESSOA (GP)</t>
  </si>
  <si>
    <t>1 W =</t>
  </si>
  <si>
    <t>BTU/H</t>
  </si>
  <si>
    <t xml:space="preserve">1 TR = </t>
  </si>
  <si>
    <t>TR</t>
  </si>
  <si>
    <t>CARGA AREA</t>
  </si>
  <si>
    <t>CARGA PESSOAS</t>
  </si>
  <si>
    <t>CARGA TOTAL</t>
  </si>
  <si>
    <t>W</t>
  </si>
  <si>
    <t>W/M²</t>
  </si>
  <si>
    <t>W/p</t>
  </si>
  <si>
    <t>CONVERSÃO</t>
  </si>
  <si>
    <t>CARGAS</t>
  </si>
  <si>
    <t>C_TOTAL = (((A * K + N * GP) / 1 BTU/H) / 12000)</t>
  </si>
  <si>
    <t>INFORMATIVO</t>
  </si>
  <si>
    <t>AR CONDICIONADO</t>
  </si>
  <si>
    <t>VALOR UNI</t>
  </si>
  <si>
    <t>APARELHO (BTU/H)</t>
  </si>
  <si>
    <t>CUSTO MATERIAL</t>
  </si>
  <si>
    <t>V. TOTAL MA</t>
  </si>
  <si>
    <t>V. UNIT. MA</t>
  </si>
  <si>
    <t>V. UNIT. MO</t>
  </si>
  <si>
    <t>V. TOTAL MO</t>
  </si>
  <si>
    <t>ELETRICA GERAL</t>
  </si>
  <si>
    <t>M.O INFRA</t>
  </si>
  <si>
    <t>M.O INSTALAÇÃO</t>
  </si>
  <si>
    <t>TOTAL:</t>
  </si>
  <si>
    <t>CUSTO M.O</t>
  </si>
  <si>
    <t>Locais:</t>
  </si>
  <si>
    <t>Revestimento em pedra moledo em pilares em até 1m de altura</t>
  </si>
  <si>
    <t>un.</t>
  </si>
  <si>
    <t>Corredor de passagem com 2m de largura em concreto desempenado camurçado, incluso concreto</t>
  </si>
  <si>
    <t>vb</t>
  </si>
  <si>
    <t>Arandelas de iluminação nos 44 pilares de tronco e 1 ponto de iluminação em cada baia</t>
  </si>
  <si>
    <t>1.1</t>
  </si>
  <si>
    <t>1.2</t>
  </si>
  <si>
    <t>1.3</t>
  </si>
  <si>
    <t>1.4</t>
  </si>
  <si>
    <t>1.5</t>
  </si>
  <si>
    <t>1.6</t>
  </si>
  <si>
    <t>Execução de baias</t>
  </si>
  <si>
    <t xml:space="preserve">FORMA DE PAGAMENTO: </t>
  </si>
  <si>
    <t>1.0 - SERVIÇOS -</t>
  </si>
  <si>
    <r>
      <t xml:space="preserve">Cliente: KABOCABANA
Obra: Baia (Sorocaba)
Proprietária: 
Projetos base orçamento:   </t>
    </r>
    <r>
      <rPr>
        <b/>
        <sz val="14"/>
        <color rgb="FFFF0000"/>
        <rFont val="Arial"/>
        <family val="2"/>
      </rPr>
      <t>ORÇAMENTO ESTIMATIVO</t>
    </r>
    <r>
      <rPr>
        <b/>
        <sz val="12"/>
        <rFont val="Arial"/>
        <family val="2"/>
      </rPr>
      <t xml:space="preserve">                                                             
Nós nas redes:
https://veksengenharia.com/
https://www.instagram.com/veksengenharia/</t>
    </r>
  </si>
  <si>
    <t>1.7</t>
  </si>
  <si>
    <t xml:space="preserve">Pintura da estrutura do telhado e fundo de OSB do telhado shingle </t>
  </si>
  <si>
    <t xml:space="preserve">Estrutura em Aço Galvanizado a frio (LSF) Z275 para area de cobertura e muretas.
Incluso viga baldrame e todos os insumos como fixações, parafusos, etc. </t>
  </si>
  <si>
    <t>Pintura em Stain em regua pinus</t>
  </si>
  <si>
    <t>Estruturação e verticalização de Pilares roliços de tronco de eucalipto para apoio da estrutura LSF incluindo sapatas e concreto armado</t>
  </si>
  <si>
    <t>Execução de Portão em pinus</t>
  </si>
  <si>
    <t>Cercado em madeira em pilareres 15x15</t>
  </si>
  <si>
    <t>Fechamento em reguas de pinus nas area de parede</t>
  </si>
  <si>
    <t>1.8</t>
  </si>
  <si>
    <t>1.9</t>
  </si>
  <si>
    <t>1.10</t>
  </si>
  <si>
    <r>
      <t xml:space="preserve">Garantia sobre o serviço de 5 anos.
</t>
    </r>
    <r>
      <rPr>
        <b/>
        <sz val="12"/>
        <color rgb="FFFF0000"/>
        <rFont val="Arial"/>
        <family val="2"/>
      </rPr>
      <t>ESSE ORÇAMENTO ESTÁ BASEADO EM UMA ESTIMATIVA</t>
    </r>
    <r>
      <rPr>
        <sz val="12"/>
        <rFont val="Arial"/>
        <family val="2"/>
      </rPr>
      <t xml:space="preserve">
PRAZO de 90 dias trabalhados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</si>
</sst>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 &quot;* #,##0.00_);_(&quot;R$ &quot;* \(#,##0.00\);_(&quot;R$ &quot;* &quot;-&quot;??_);_(@_)"/>
    <numFmt numFmtId="165" formatCode="_(* #,##0.00_);_(* \(#,##0.00\);_(* &quot;-&quot;??_);_(@_)"/>
    <numFmt numFmtId="166" formatCode="&quot;R$ &quot;#,##0.00"/>
    <numFmt numFmtId="167" formatCode="_-[$R$-416]\ * #,##0.00_-;\-[$R$-416]\ * #,##0.00_-;_-[$R$-416]\ * &quot;-&quot;??_-;_-@_-"/>
    <numFmt numFmtId="168" formatCode="&quot;R$&quot;\ #,##0"/>
    <numFmt numFmtId="169" formatCode="#,##0.0"/>
    <numFmt numFmtId="170" formatCode="0.0"/>
    <numFmt numFmtId="171" formatCode="#,##0.00_ ;\-#,##0.00\ "/>
  </numFmts>
  <fonts count="5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Helv"/>
      <charset val="204"/>
    </font>
    <font>
      <b/>
      <sz val="14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i/>
      <u/>
      <sz val="14"/>
      <name val="Arial"/>
      <family val="2"/>
    </font>
    <font>
      <sz val="14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1"/>
      <color rgb="FFFF0000"/>
      <name val="Arial"/>
      <family val="2"/>
    </font>
    <font>
      <b/>
      <sz val="12"/>
      <color rgb="FFFF0000"/>
      <name val="Arial"/>
      <family val="2"/>
    </font>
    <font>
      <b/>
      <sz val="11"/>
      <color theme="1"/>
      <name val="Calibri"/>
      <family val="2"/>
      <scheme val="minor"/>
    </font>
    <font>
      <sz val="8"/>
      <color rgb="FF000000"/>
      <name val="Segoe UI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1"/>
      <color theme="1"/>
      <name val="Arial"/>
      <family val="2"/>
    </font>
    <font>
      <b/>
      <sz val="20"/>
      <color theme="1"/>
      <name val="Arial"/>
      <family val="2"/>
    </font>
    <font>
      <b/>
      <sz val="11"/>
      <color theme="1"/>
      <name val="Arial"/>
      <family val="2"/>
    </font>
    <font>
      <sz val="10"/>
      <color rgb="FFFF0000"/>
      <name val="Arial"/>
      <family val="2"/>
    </font>
    <font>
      <sz val="11"/>
      <color rgb="FFFFFF00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i/>
      <sz val="8"/>
      <color theme="0" tint="-0.34998626667073579"/>
      <name val="Arial"/>
      <family val="2"/>
    </font>
    <font>
      <b/>
      <sz val="14"/>
      <color theme="0"/>
      <name val="Arial"/>
      <family val="2"/>
    </font>
    <font>
      <b/>
      <sz val="14"/>
      <color rgb="FFFF0000"/>
      <name val="Arial"/>
      <family val="2"/>
    </font>
    <font>
      <b/>
      <sz val="12"/>
      <color rgb="FF00B050"/>
      <name val="Arial"/>
      <family val="2"/>
    </font>
    <font>
      <b/>
      <sz val="12"/>
      <color rgb="FF0070C0"/>
      <name val="Arial"/>
      <family val="2"/>
    </font>
    <font>
      <sz val="8"/>
      <color theme="0" tint="-0.499984740745262"/>
      <name val="Arial"/>
      <family val="2"/>
    </font>
    <font>
      <b/>
      <sz val="11"/>
      <color theme="0" tint="-0.499984740745262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b/>
      <sz val="10"/>
      <name val="Verdana"/>
      <family val="2"/>
    </font>
    <font>
      <sz val="10"/>
      <color rgb="FF000000"/>
      <name val="Verdana"/>
      <family val="2"/>
    </font>
    <font>
      <sz val="10"/>
      <name val="Verdana"/>
      <family val="2"/>
    </font>
    <font>
      <sz val="10"/>
      <color theme="0"/>
      <name val="Arial"/>
      <family val="2"/>
    </font>
    <font>
      <b/>
      <sz val="10"/>
      <color theme="1"/>
      <name val="Arial"/>
      <family val="2"/>
    </font>
    <font>
      <sz val="10"/>
      <color theme="0" tint="-0.499984740745262"/>
      <name val="Arial"/>
      <family val="2"/>
    </font>
    <font>
      <b/>
      <sz val="10"/>
      <color rgb="FF000000"/>
      <name val="Verdana"/>
      <family val="2"/>
    </font>
    <font>
      <b/>
      <i/>
      <sz val="9"/>
      <color theme="3" tint="0.59999389629810485"/>
      <name val="Arial"/>
      <family val="2"/>
    </font>
    <font>
      <b/>
      <sz val="10"/>
      <color rgb="FFFF0000"/>
      <name val="Arial"/>
      <family val="2"/>
    </font>
    <font>
      <sz val="10"/>
      <color theme="0" tint="-4.9989318521683403E-2"/>
      <name val="Arial"/>
      <family val="2"/>
    </font>
    <font>
      <b/>
      <sz val="9"/>
      <color rgb="FFFF0000"/>
      <name val="Arial"/>
      <family val="2"/>
    </font>
    <font>
      <b/>
      <i/>
      <u/>
      <sz val="14"/>
      <color theme="0"/>
      <name val="Arial"/>
      <family val="2"/>
    </font>
    <font>
      <b/>
      <i/>
      <sz val="14"/>
      <color theme="0"/>
      <name val="Arial"/>
      <family val="2"/>
    </font>
    <font>
      <b/>
      <sz val="10"/>
      <color theme="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7FB2D"/>
        <bgColor indexed="64"/>
      </patternFill>
    </fill>
    <fill>
      <patternFill patternType="solid">
        <fgColor theme="3"/>
        <bgColor indexed="64"/>
      </patternFill>
    </fill>
  </fills>
  <borders count="7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medium">
        <color indexed="64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9">
    <xf numFmtId="167" fontId="0" fillId="0" borderId="0"/>
    <xf numFmtId="167" fontId="5" fillId="0" borderId="0"/>
    <xf numFmtId="44" fontId="10" fillId="0" borderId="0" applyFont="0" applyFill="0" applyBorder="0" applyAlignment="0" applyProtection="0"/>
    <xf numFmtId="164" fontId="15" fillId="0" borderId="0" applyFont="0" applyFill="0" applyBorder="0" applyAlignment="0" applyProtection="0"/>
    <xf numFmtId="167" fontId="14" fillId="0" borderId="0">
      <alignment vertical="top"/>
    </xf>
    <xf numFmtId="165" fontId="15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44" fontId="2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7" fontId="10" fillId="0" borderId="0"/>
    <xf numFmtId="165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2" fillId="0" borderId="0"/>
  </cellStyleXfs>
  <cellXfs count="464">
    <xf numFmtId="167" fontId="0" fillId="0" borderId="0" xfId="0"/>
    <xf numFmtId="167" fontId="8" fillId="0" borderId="0" xfId="0" applyFont="1" applyAlignment="1" applyProtection="1">
      <alignment horizontal="center" vertical="center" wrapText="1"/>
      <protection locked="0"/>
    </xf>
    <xf numFmtId="9" fontId="8" fillId="0" borderId="0" xfId="6" applyFont="1" applyFill="1" applyBorder="1" applyAlignment="1" applyProtection="1">
      <alignment horizontal="center" vertical="center" wrapText="1"/>
      <protection locked="0"/>
    </xf>
    <xf numFmtId="0" fontId="3" fillId="0" borderId="0" xfId="8" applyAlignment="1">
      <alignment vertical="center"/>
    </xf>
    <xf numFmtId="4" fontId="3" fillId="0" borderId="0" xfId="8" applyNumberFormat="1" applyAlignment="1">
      <alignment vertical="center"/>
    </xf>
    <xf numFmtId="0" fontId="20" fillId="0" borderId="0" xfId="8" applyFont="1" applyAlignment="1">
      <alignment vertical="center"/>
    </xf>
    <xf numFmtId="4" fontId="3" fillId="0" borderId="0" xfId="8" applyNumberFormat="1" applyAlignment="1">
      <alignment horizontal="center" vertical="center"/>
    </xf>
    <xf numFmtId="44" fontId="3" fillId="0" borderId="0" xfId="10" applyFont="1" applyAlignment="1">
      <alignment vertical="center"/>
    </xf>
    <xf numFmtId="0" fontId="1" fillId="0" borderId="0" xfId="8" applyFont="1" applyAlignment="1">
      <alignment vertical="center"/>
    </xf>
    <xf numFmtId="0" fontId="3" fillId="0" borderId="0" xfId="8" applyAlignment="1">
      <alignment horizontal="center" vertical="center"/>
    </xf>
    <xf numFmtId="0" fontId="9" fillId="3" borderId="11" xfId="8" applyFont="1" applyFill="1" applyBorder="1" applyAlignment="1">
      <alignment horizontal="center" vertical="center" wrapText="1"/>
    </xf>
    <xf numFmtId="0" fontId="26" fillId="0" borderId="27" xfId="8" applyFont="1" applyBorder="1" applyAlignment="1">
      <alignment vertical="center"/>
    </xf>
    <xf numFmtId="0" fontId="26" fillId="0" borderId="0" xfId="8" applyFont="1" applyAlignment="1">
      <alignment vertical="center"/>
    </xf>
    <xf numFmtId="0" fontId="9" fillId="3" borderId="25" xfId="8" applyFont="1" applyFill="1" applyBorder="1" applyAlignment="1">
      <alignment horizontal="center" vertical="center" wrapText="1"/>
    </xf>
    <xf numFmtId="0" fontId="26" fillId="4" borderId="29" xfId="8" applyFont="1" applyFill="1" applyBorder="1" applyAlignment="1">
      <alignment horizontal="center" vertical="center"/>
    </xf>
    <xf numFmtId="0" fontId="26" fillId="4" borderId="4" xfId="8" applyFont="1" applyFill="1" applyBorder="1" applyAlignment="1">
      <alignment horizontal="center" vertical="center"/>
    </xf>
    <xf numFmtId="0" fontId="26" fillId="0" borderId="27" xfId="8" applyFont="1" applyBorder="1" applyAlignment="1">
      <alignment horizontal="center" vertical="center"/>
    </xf>
    <xf numFmtId="0" fontId="26" fillId="0" borderId="0" xfId="8" applyFont="1" applyAlignment="1">
      <alignment horizontal="center" vertical="center"/>
    </xf>
    <xf numFmtId="0" fontId="10" fillId="3" borderId="25" xfId="8" applyFont="1" applyFill="1" applyBorder="1" applyAlignment="1">
      <alignment horizontal="center" vertical="center"/>
    </xf>
    <xf numFmtId="0" fontId="24" fillId="8" borderId="29" xfId="8" applyFont="1" applyFill="1" applyBorder="1" applyAlignment="1">
      <alignment vertical="center"/>
    </xf>
    <xf numFmtId="4" fontId="24" fillId="8" borderId="4" xfId="8" applyNumberFormat="1" applyFont="1" applyFill="1" applyBorder="1" applyAlignment="1">
      <alignment vertical="center"/>
    </xf>
    <xf numFmtId="4" fontId="24" fillId="0" borderId="27" xfId="8" applyNumberFormat="1" applyFont="1" applyBorder="1" applyAlignment="1">
      <alignment vertical="center"/>
    </xf>
    <xf numFmtId="4" fontId="24" fillId="0" borderId="0" xfId="8" applyNumberFormat="1" applyFont="1" applyAlignment="1">
      <alignment vertical="center"/>
    </xf>
    <xf numFmtId="0" fontId="27" fillId="3" borderId="30" xfId="8" applyFont="1" applyFill="1" applyBorder="1" applyAlignment="1">
      <alignment horizontal="center" vertical="center"/>
    </xf>
    <xf numFmtId="0" fontId="24" fillId="0" borderId="0" xfId="8" applyFont="1" applyAlignment="1">
      <alignment vertical="center"/>
    </xf>
    <xf numFmtId="0" fontId="24" fillId="0" borderId="16" xfId="8" applyFont="1" applyBorder="1" applyAlignment="1">
      <alignment vertical="center"/>
    </xf>
    <xf numFmtId="10" fontId="24" fillId="8" borderId="4" xfId="8" applyNumberFormat="1" applyFont="1" applyFill="1" applyBorder="1" applyAlignment="1">
      <alignment vertical="center"/>
    </xf>
    <xf numFmtId="10" fontId="11" fillId="0" borderId="0" xfId="8" applyNumberFormat="1" applyFont="1" applyAlignment="1">
      <alignment vertical="center"/>
    </xf>
    <xf numFmtId="168" fontId="26" fillId="4" borderId="4" xfId="8" applyNumberFormat="1" applyFont="1" applyFill="1" applyBorder="1" applyAlignment="1">
      <alignment horizontal="center" vertical="center"/>
    </xf>
    <xf numFmtId="10" fontId="26" fillId="5" borderId="5" xfId="8" applyNumberFormat="1" applyFont="1" applyFill="1" applyBorder="1" applyAlignment="1">
      <alignment horizontal="center" vertical="center"/>
    </xf>
    <xf numFmtId="10" fontId="26" fillId="5" borderId="7" xfId="8" applyNumberFormat="1" applyFont="1" applyFill="1" applyBorder="1" applyAlignment="1">
      <alignment horizontal="center" vertical="center"/>
    </xf>
    <xf numFmtId="4" fontId="24" fillId="8" borderId="29" xfId="8" applyNumberFormat="1" applyFont="1" applyFill="1" applyBorder="1" applyAlignment="1">
      <alignment vertical="center"/>
    </xf>
    <xf numFmtId="3" fontId="24" fillId="5" borderId="4" xfId="8" applyNumberFormat="1" applyFont="1" applyFill="1" applyBorder="1" applyAlignment="1">
      <alignment vertical="center"/>
    </xf>
    <xf numFmtId="0" fontId="24" fillId="4" borderId="4" xfId="8" applyFont="1" applyFill="1" applyBorder="1" applyAlignment="1">
      <alignment vertical="center"/>
    </xf>
    <xf numFmtId="0" fontId="28" fillId="5" borderId="4" xfId="8" applyFont="1" applyFill="1" applyBorder="1" applyAlignment="1">
      <alignment vertical="center"/>
    </xf>
    <xf numFmtId="0" fontId="24" fillId="5" borderId="4" xfId="8" applyFont="1" applyFill="1" applyBorder="1" applyAlignment="1">
      <alignment vertical="center"/>
    </xf>
    <xf numFmtId="169" fontId="24" fillId="5" borderId="4" xfId="8" applyNumberFormat="1" applyFont="1" applyFill="1" applyBorder="1" applyAlignment="1">
      <alignment vertical="center"/>
    </xf>
    <xf numFmtId="169" fontId="24" fillId="0" borderId="0" xfId="8" applyNumberFormat="1" applyFont="1" applyAlignment="1">
      <alignment vertical="center"/>
    </xf>
    <xf numFmtId="4" fontId="24" fillId="5" borderId="4" xfId="8" applyNumberFormat="1" applyFont="1" applyFill="1" applyBorder="1" applyAlignment="1">
      <alignment vertical="center"/>
    </xf>
    <xf numFmtId="4" fontId="24" fillId="7" borderId="4" xfId="8" applyNumberFormat="1" applyFont="1" applyFill="1" applyBorder="1" applyAlignment="1">
      <alignment vertical="center"/>
    </xf>
    <xf numFmtId="3" fontId="28" fillId="5" borderId="4" xfId="8" applyNumberFormat="1" applyFont="1" applyFill="1" applyBorder="1" applyAlignment="1">
      <alignment vertical="center"/>
    </xf>
    <xf numFmtId="4" fontId="28" fillId="5" borderId="4" xfId="8" applyNumberFormat="1" applyFont="1" applyFill="1" applyBorder="1" applyAlignment="1">
      <alignment vertical="center"/>
    </xf>
    <xf numFmtId="10" fontId="24" fillId="5" borderId="4" xfId="8" applyNumberFormat="1" applyFont="1" applyFill="1" applyBorder="1" applyAlignment="1">
      <alignment vertical="center"/>
    </xf>
    <xf numFmtId="4" fontId="24" fillId="4" borderId="4" xfId="8" applyNumberFormat="1" applyFont="1" applyFill="1" applyBorder="1" applyAlignment="1">
      <alignment vertical="center"/>
    </xf>
    <xf numFmtId="0" fontId="26" fillId="4" borderId="28" xfId="8" applyFont="1" applyFill="1" applyBorder="1" applyAlignment="1">
      <alignment horizontal="center" vertical="center"/>
    </xf>
    <xf numFmtId="0" fontId="7" fillId="4" borderId="35" xfId="8" applyFont="1" applyFill="1" applyBorder="1" applyAlignment="1">
      <alignment horizontal="center" vertical="center"/>
    </xf>
    <xf numFmtId="0" fontId="19" fillId="4" borderId="35" xfId="8" applyFont="1" applyFill="1" applyBorder="1" applyAlignment="1">
      <alignment horizontal="center" vertical="center"/>
    </xf>
    <xf numFmtId="4" fontId="24" fillId="8" borderId="28" xfId="8" applyNumberFormat="1" applyFont="1" applyFill="1" applyBorder="1" applyAlignment="1">
      <alignment vertical="center"/>
    </xf>
    <xf numFmtId="4" fontId="9" fillId="8" borderId="36" xfId="8" applyNumberFormat="1" applyFont="1" applyFill="1" applyBorder="1" applyAlignment="1">
      <alignment vertical="center"/>
    </xf>
    <xf numFmtId="4" fontId="18" fillId="8" borderId="36" xfId="8" applyNumberFormat="1" applyFont="1" applyFill="1" applyBorder="1" applyAlignment="1">
      <alignment vertical="center"/>
    </xf>
    <xf numFmtId="0" fontId="26" fillId="4" borderId="22" xfId="8" applyFont="1" applyFill="1" applyBorder="1" applyAlignment="1">
      <alignment horizontal="center" vertical="center"/>
    </xf>
    <xf numFmtId="0" fontId="26" fillId="4" borderId="24" xfId="8" applyFont="1" applyFill="1" applyBorder="1" applyAlignment="1">
      <alignment horizontal="center" vertical="center"/>
    </xf>
    <xf numFmtId="0" fontId="26" fillId="4" borderId="23" xfId="8" applyFont="1" applyFill="1" applyBorder="1" applyAlignment="1">
      <alignment horizontal="center" vertical="center"/>
    </xf>
    <xf numFmtId="4" fontId="24" fillId="8" borderId="5" xfId="8" applyNumberFormat="1" applyFont="1" applyFill="1" applyBorder="1" applyAlignment="1">
      <alignment vertical="center"/>
    </xf>
    <xf numFmtId="4" fontId="24" fillId="8" borderId="7" xfId="8" applyNumberFormat="1" applyFont="1" applyFill="1" applyBorder="1" applyAlignment="1">
      <alignment vertical="center"/>
    </xf>
    <xf numFmtId="10" fontId="24" fillId="8" borderId="5" xfId="8" applyNumberFormat="1" applyFont="1" applyFill="1" applyBorder="1" applyAlignment="1">
      <alignment vertical="center"/>
    </xf>
    <xf numFmtId="10" fontId="24" fillId="8" borderId="6" xfId="8" applyNumberFormat="1" applyFont="1" applyFill="1" applyBorder="1" applyAlignment="1">
      <alignment vertical="center"/>
    </xf>
    <xf numFmtId="10" fontId="24" fillId="8" borderId="7" xfId="8" applyNumberFormat="1" applyFont="1" applyFill="1" applyBorder="1" applyAlignment="1">
      <alignment vertical="center"/>
    </xf>
    <xf numFmtId="0" fontId="26" fillId="4" borderId="4" xfId="8" applyFont="1" applyFill="1" applyBorder="1" applyAlignment="1">
      <alignment horizontal="center" vertical="center" wrapText="1"/>
    </xf>
    <xf numFmtId="9" fontId="8" fillId="0" borderId="0" xfId="15" applyFont="1" applyFill="1" applyBorder="1" applyAlignment="1" applyProtection="1">
      <alignment horizontal="center" vertical="center" wrapText="1"/>
      <protection locked="0"/>
    </xf>
    <xf numFmtId="167" fontId="10" fillId="0" borderId="0" xfId="0" applyFont="1"/>
    <xf numFmtId="0" fontId="0" fillId="0" borderId="0" xfId="0" applyNumberFormat="1" applyAlignment="1">
      <alignment horizontal="center"/>
    </xf>
    <xf numFmtId="0" fontId="0" fillId="0" borderId="0" xfId="0" applyNumberFormat="1"/>
    <xf numFmtId="167" fontId="32" fillId="0" borderId="0" xfId="0" applyFont="1"/>
    <xf numFmtId="167" fontId="10" fillId="0" borderId="43" xfId="0" applyFont="1" applyBorder="1"/>
    <xf numFmtId="2" fontId="0" fillId="0" borderId="44" xfId="0" applyNumberFormat="1" applyBorder="1" applyAlignment="1">
      <alignment horizontal="center"/>
    </xf>
    <xf numFmtId="167" fontId="10" fillId="0" borderId="45" xfId="0" applyFont="1" applyBorder="1"/>
    <xf numFmtId="167" fontId="10" fillId="0" borderId="46" xfId="0" applyFont="1" applyBorder="1"/>
    <xf numFmtId="2" fontId="0" fillId="13" borderId="47" xfId="0" applyNumberFormat="1" applyFill="1" applyBorder="1" applyAlignment="1">
      <alignment horizontal="center"/>
    </xf>
    <xf numFmtId="167" fontId="10" fillId="0" borderId="48" xfId="0" applyFont="1" applyBorder="1"/>
    <xf numFmtId="167" fontId="0" fillId="13" borderId="47" xfId="0" applyFill="1" applyBorder="1"/>
    <xf numFmtId="167" fontId="0" fillId="0" borderId="48" xfId="0" applyBorder="1"/>
    <xf numFmtId="167" fontId="0" fillId="0" borderId="47" xfId="0" applyBorder="1"/>
    <xf numFmtId="167" fontId="32" fillId="12" borderId="49" xfId="0" applyFont="1" applyFill="1" applyBorder="1"/>
    <xf numFmtId="167" fontId="32" fillId="12" borderId="50" xfId="0" applyFont="1" applyFill="1" applyBorder="1"/>
    <xf numFmtId="167" fontId="0" fillId="0" borderId="51" xfId="0" applyBorder="1"/>
    <xf numFmtId="167" fontId="8" fillId="0" borderId="44" xfId="0" applyFont="1" applyBorder="1" applyAlignment="1">
      <alignment horizontal="center" vertical="center"/>
    </xf>
    <xf numFmtId="167" fontId="8" fillId="0" borderId="45" xfId="0" applyFont="1" applyBorder="1" applyAlignment="1">
      <alignment horizontal="center" vertical="center" wrapText="1"/>
    </xf>
    <xf numFmtId="0" fontId="0" fillId="0" borderId="47" xfId="0" applyNumberFormat="1" applyBorder="1" applyAlignment="1">
      <alignment horizontal="center"/>
    </xf>
    <xf numFmtId="167" fontId="32" fillId="12" borderId="51" xfId="0" applyFont="1" applyFill="1" applyBorder="1"/>
    <xf numFmtId="167" fontId="0" fillId="0" borderId="43" xfId="0" applyBorder="1"/>
    <xf numFmtId="167" fontId="8" fillId="0" borderId="44" xfId="0" applyFont="1" applyBorder="1" applyAlignment="1">
      <alignment horizontal="center" vertical="center" wrapText="1"/>
    </xf>
    <xf numFmtId="167" fontId="10" fillId="0" borderId="47" xfId="0" applyFont="1" applyBorder="1"/>
    <xf numFmtId="0" fontId="10" fillId="0" borderId="47" xfId="0" applyNumberFormat="1" applyFont="1" applyBorder="1" applyAlignment="1">
      <alignment horizontal="center"/>
    </xf>
    <xf numFmtId="167" fontId="8" fillId="0" borderId="46" xfId="0" applyFont="1" applyBorder="1"/>
    <xf numFmtId="167" fontId="8" fillId="0" borderId="47" xfId="0" applyFont="1" applyBorder="1"/>
    <xf numFmtId="2" fontId="0" fillId="0" borderId="47" xfId="0" applyNumberFormat="1" applyBorder="1" applyAlignment="1">
      <alignment horizontal="center"/>
    </xf>
    <xf numFmtId="167" fontId="33" fillId="0" borderId="48" xfId="0" applyFont="1" applyBorder="1"/>
    <xf numFmtId="167" fontId="32" fillId="0" borderId="46" xfId="0" applyFont="1" applyBorder="1"/>
    <xf numFmtId="167" fontId="32" fillId="0" borderId="47" xfId="0" applyFont="1" applyBorder="1"/>
    <xf numFmtId="167" fontId="32" fillId="0" borderId="48" xfId="0" applyFont="1" applyBorder="1"/>
    <xf numFmtId="167" fontId="32" fillId="11" borderId="49" xfId="0" applyFont="1" applyFill="1" applyBorder="1"/>
    <xf numFmtId="167" fontId="32" fillId="11" borderId="50" xfId="0" applyFont="1" applyFill="1" applyBorder="1"/>
    <xf numFmtId="167" fontId="8" fillId="11" borderId="50" xfId="0" applyFont="1" applyFill="1" applyBorder="1"/>
    <xf numFmtId="167" fontId="8" fillId="11" borderId="51" xfId="0" applyFont="1" applyFill="1" applyBorder="1"/>
    <xf numFmtId="167" fontId="10" fillId="0" borderId="44" xfId="0" applyFont="1" applyBorder="1" applyAlignment="1">
      <alignment horizontal="center"/>
    </xf>
    <xf numFmtId="167" fontId="10" fillId="0" borderId="45" xfId="0" applyFont="1" applyBorder="1" applyAlignment="1">
      <alignment horizontal="center"/>
    </xf>
    <xf numFmtId="2" fontId="10" fillId="0" borderId="47" xfId="10" applyNumberFormat="1" applyFont="1" applyBorder="1" applyAlignment="1">
      <alignment horizontal="center"/>
    </xf>
    <xf numFmtId="167" fontId="10" fillId="0" borderId="47" xfId="0" applyFont="1" applyBorder="1" applyAlignment="1">
      <alignment horizontal="center"/>
    </xf>
    <xf numFmtId="44" fontId="10" fillId="0" borderId="47" xfId="10" applyFont="1" applyBorder="1" applyAlignment="1">
      <alignment horizontal="center"/>
    </xf>
    <xf numFmtId="2" fontId="10" fillId="0" borderId="47" xfId="0" applyNumberFormat="1" applyFont="1" applyBorder="1" applyAlignment="1">
      <alignment horizontal="center"/>
    </xf>
    <xf numFmtId="167" fontId="32" fillId="11" borderId="51" xfId="0" applyFont="1" applyFill="1" applyBorder="1"/>
    <xf numFmtId="167" fontId="8" fillId="0" borderId="43" xfId="0" applyFont="1" applyBorder="1"/>
    <xf numFmtId="167" fontId="8" fillId="0" borderId="44" xfId="0" applyFont="1" applyBorder="1" applyAlignment="1">
      <alignment horizontal="center"/>
    </xf>
    <xf numFmtId="167" fontId="8" fillId="0" borderId="45" xfId="0" applyFont="1" applyBorder="1" applyAlignment="1">
      <alignment horizontal="center"/>
    </xf>
    <xf numFmtId="167" fontId="10" fillId="0" borderId="46" xfId="0" applyFont="1" applyBorder="1" applyAlignment="1">
      <alignment wrapText="1"/>
    </xf>
    <xf numFmtId="167" fontId="32" fillId="14" borderId="49" xfId="0" applyFont="1" applyFill="1" applyBorder="1"/>
    <xf numFmtId="167" fontId="32" fillId="14" borderId="50" xfId="0" applyFont="1" applyFill="1" applyBorder="1"/>
    <xf numFmtId="167" fontId="32" fillId="14" borderId="51" xfId="0" applyFont="1" applyFill="1" applyBorder="1"/>
    <xf numFmtId="0" fontId="0" fillId="0" borderId="0" xfId="10" applyNumberFormat="1" applyFont="1" applyAlignment="1">
      <alignment horizontal="center"/>
    </xf>
    <xf numFmtId="1" fontId="10" fillId="0" borderId="47" xfId="0" applyNumberFormat="1" applyFont="1" applyBorder="1" applyAlignment="1">
      <alignment horizontal="center"/>
    </xf>
    <xf numFmtId="0" fontId="10" fillId="0" borderId="0" xfId="0" applyNumberFormat="1" applyFont="1" applyAlignment="1">
      <alignment horizontal="center" wrapText="1"/>
    </xf>
    <xf numFmtId="0" fontId="10" fillId="0" borderId="0" xfId="0" applyNumberFormat="1" applyFont="1" applyAlignment="1">
      <alignment horizontal="center" vertical="center"/>
    </xf>
    <xf numFmtId="0" fontId="10" fillId="0" borderId="0" xfId="0" applyNumberFormat="1" applyFont="1" applyAlignment="1">
      <alignment horizontal="center" vertical="center"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167" fontId="10" fillId="0" borderId="0" xfId="0" applyFont="1" applyAlignment="1">
      <alignment horizontal="center" vertical="center"/>
    </xf>
    <xf numFmtId="167" fontId="10" fillId="0" borderId="0" xfId="0" applyFont="1" applyAlignment="1">
      <alignment horizontal="right"/>
    </xf>
    <xf numFmtId="2" fontId="0" fillId="15" borderId="0" xfId="0" applyNumberFormat="1" applyFill="1" applyAlignment="1">
      <alignment horizontal="center"/>
    </xf>
    <xf numFmtId="167" fontId="10" fillId="15" borderId="0" xfId="0" applyFont="1" applyFill="1" applyAlignment="1">
      <alignment horizontal="center" vertical="center"/>
    </xf>
    <xf numFmtId="167" fontId="0" fillId="15" borderId="0" xfId="0" applyFill="1"/>
    <xf numFmtId="1" fontId="0" fillId="0" borderId="47" xfId="0" applyNumberFormat="1" applyBorder="1" applyAlignment="1">
      <alignment horizontal="center"/>
    </xf>
    <xf numFmtId="167" fontId="32" fillId="12" borderId="0" xfId="0" applyFont="1" applyFill="1"/>
    <xf numFmtId="167" fontId="10" fillId="0" borderId="0" xfId="0" applyFont="1" applyAlignment="1">
      <alignment horizontal="left" vertical="center"/>
    </xf>
    <xf numFmtId="167" fontId="8" fillId="0" borderId="0" xfId="0" applyFont="1" applyAlignment="1">
      <alignment horizontal="center" vertical="center"/>
    </xf>
    <xf numFmtId="167" fontId="8" fillId="0" borderId="0" xfId="0" applyFont="1" applyAlignment="1">
      <alignment horizontal="center" vertical="center" wrapText="1"/>
    </xf>
    <xf numFmtId="0" fontId="0" fillId="10" borderId="47" xfId="0" applyNumberFormat="1" applyFill="1" applyBorder="1"/>
    <xf numFmtId="0" fontId="10" fillId="0" borderId="52" xfId="0" applyNumberFormat="1" applyFont="1" applyBorder="1"/>
    <xf numFmtId="0" fontId="0" fillId="10" borderId="53" xfId="0" applyNumberFormat="1" applyFill="1" applyBorder="1"/>
    <xf numFmtId="0" fontId="10" fillId="0" borderId="54" xfId="0" applyNumberFormat="1" applyFont="1" applyBorder="1"/>
    <xf numFmtId="0" fontId="10" fillId="0" borderId="55" xfId="0" applyNumberFormat="1" applyFont="1" applyBorder="1"/>
    <xf numFmtId="2" fontId="10" fillId="0" borderId="56" xfId="0" applyNumberFormat="1" applyFont="1" applyBorder="1"/>
    <xf numFmtId="0" fontId="10" fillId="0" borderId="57" xfId="0" applyNumberFormat="1" applyFont="1" applyBorder="1"/>
    <xf numFmtId="2" fontId="10" fillId="0" borderId="59" xfId="0" applyNumberFormat="1" applyFont="1" applyBorder="1"/>
    <xf numFmtId="0" fontId="0" fillId="10" borderId="0" xfId="0" applyNumberFormat="1" applyFill="1"/>
    <xf numFmtId="0" fontId="0" fillId="2" borderId="47" xfId="0" applyNumberFormat="1" applyFill="1" applyBorder="1"/>
    <xf numFmtId="0" fontId="10" fillId="10" borderId="53" xfId="0" applyNumberFormat="1" applyFont="1" applyFill="1" applyBorder="1"/>
    <xf numFmtId="2" fontId="0" fillId="10" borderId="54" xfId="0" applyNumberFormat="1" applyFill="1" applyBorder="1" applyAlignment="1">
      <alignment horizontal="center"/>
    </xf>
    <xf numFmtId="2" fontId="0" fillId="10" borderId="56" xfId="0" applyNumberFormat="1" applyFill="1" applyBorder="1" applyAlignment="1">
      <alignment horizontal="center"/>
    </xf>
    <xf numFmtId="167" fontId="0" fillId="2" borderId="56" xfId="0" applyFill="1" applyBorder="1"/>
    <xf numFmtId="167" fontId="0" fillId="10" borderId="56" xfId="0" applyFill="1" applyBorder="1"/>
    <xf numFmtId="167" fontId="32" fillId="12" borderId="57" xfId="0" applyFont="1" applyFill="1" applyBorder="1"/>
    <xf numFmtId="167" fontId="32" fillId="12" borderId="58" xfId="0" applyFont="1" applyFill="1" applyBorder="1"/>
    <xf numFmtId="167" fontId="32" fillId="12" borderId="59" xfId="0" applyFont="1" applyFill="1" applyBorder="1"/>
    <xf numFmtId="167" fontId="0" fillId="2" borderId="0" xfId="0" applyFill="1"/>
    <xf numFmtId="0" fontId="0" fillId="2" borderId="0" xfId="0" applyNumberFormat="1" applyFill="1" applyAlignment="1">
      <alignment horizontal="center"/>
    </xf>
    <xf numFmtId="2" fontId="0" fillId="10" borderId="47" xfId="0" applyNumberFormat="1" applyFill="1" applyBorder="1" applyAlignment="1">
      <alignment horizontal="center"/>
    </xf>
    <xf numFmtId="167" fontId="0" fillId="10" borderId="47" xfId="0" applyFill="1" applyBorder="1"/>
    <xf numFmtId="0" fontId="10" fillId="10" borderId="47" xfId="0" applyNumberFormat="1" applyFont="1" applyFill="1" applyBorder="1"/>
    <xf numFmtId="2" fontId="0" fillId="16" borderId="47" xfId="0" applyNumberFormat="1" applyFill="1" applyBorder="1" applyAlignment="1">
      <alignment horizontal="center"/>
    </xf>
    <xf numFmtId="167" fontId="0" fillId="16" borderId="47" xfId="0" applyFill="1" applyBorder="1"/>
    <xf numFmtId="170" fontId="0" fillId="0" borderId="0" xfId="0" applyNumberFormat="1"/>
    <xf numFmtId="1" fontId="0" fillId="0" borderId="0" xfId="0" applyNumberFormat="1" applyAlignment="1">
      <alignment horizontal="center"/>
    </xf>
    <xf numFmtId="0" fontId="10" fillId="0" borderId="0" xfId="0" applyNumberFormat="1" applyFont="1"/>
    <xf numFmtId="0" fontId="10" fillId="0" borderId="0" xfId="0" applyNumberFormat="1" applyFont="1" applyAlignment="1">
      <alignment horizontal="center"/>
    </xf>
    <xf numFmtId="44" fontId="0" fillId="0" borderId="0" xfId="10" applyFont="1"/>
    <xf numFmtId="44" fontId="0" fillId="0" borderId="0" xfId="0" applyNumberFormat="1"/>
    <xf numFmtId="0" fontId="10" fillId="0" borderId="0" xfId="0" applyNumberFormat="1" applyFont="1" applyAlignment="1">
      <alignment horizontal="right"/>
    </xf>
    <xf numFmtId="44" fontId="10" fillId="0" borderId="0" xfId="0" applyNumberFormat="1" applyFont="1"/>
    <xf numFmtId="167" fontId="19" fillId="0" borderId="4" xfId="0" applyFont="1" applyBorder="1" applyAlignment="1" applyProtection="1">
      <alignment horizontal="center" vertical="center" wrapText="1"/>
      <protection locked="0"/>
    </xf>
    <xf numFmtId="2" fontId="0" fillId="5" borderId="47" xfId="0" applyNumberFormat="1" applyFill="1" applyBorder="1" applyAlignment="1">
      <alignment horizontal="center"/>
    </xf>
    <xf numFmtId="167" fontId="10" fillId="5" borderId="47" xfId="0" applyFont="1" applyFill="1" applyBorder="1"/>
    <xf numFmtId="10" fontId="35" fillId="6" borderId="4" xfId="0" applyNumberFormat="1" applyFont="1" applyFill="1" applyBorder="1" applyAlignment="1">
      <alignment horizontal="center" vertical="center" wrapText="1"/>
    </xf>
    <xf numFmtId="9" fontId="36" fillId="0" borderId="0" xfId="6" applyFont="1" applyFill="1" applyBorder="1" applyAlignment="1">
      <alignment vertical="center" wrapText="1"/>
    </xf>
    <xf numFmtId="167" fontId="35" fillId="0" borderId="0" xfId="0" applyFont="1" applyAlignment="1">
      <alignment vertical="center" wrapText="1"/>
    </xf>
    <xf numFmtId="167" fontId="7" fillId="4" borderId="4" xfId="0" applyFont="1" applyFill="1" applyBorder="1" applyAlignment="1">
      <alignment horizontal="center" vertical="center" wrapText="1"/>
    </xf>
    <xf numFmtId="167" fontId="7" fillId="0" borderId="0" xfId="0" applyFont="1" applyAlignment="1" applyProtection="1">
      <alignment horizontal="center" vertical="center" wrapText="1"/>
      <protection locked="0"/>
    </xf>
    <xf numFmtId="0" fontId="7" fillId="0" borderId="0" xfId="0" applyNumberFormat="1" applyFont="1" applyAlignment="1" applyProtection="1">
      <alignment horizontal="left" vertical="center" wrapText="1"/>
      <protection locked="0"/>
    </xf>
    <xf numFmtId="167" fontId="17" fillId="2" borderId="8" xfId="1" applyFont="1" applyFill="1" applyBorder="1" applyAlignment="1" applyProtection="1">
      <alignment vertical="center" wrapText="1"/>
      <protection locked="0"/>
    </xf>
    <xf numFmtId="167" fontId="39" fillId="2" borderId="0" xfId="0" applyFont="1" applyFill="1" applyAlignment="1" applyProtection="1">
      <alignment horizontal="right" vertical="center" wrapText="1"/>
      <protection locked="0"/>
    </xf>
    <xf numFmtId="167" fontId="34" fillId="0" borderId="0" xfId="0" applyFont="1" applyAlignment="1" applyProtection="1">
      <alignment vertical="center" wrapText="1"/>
      <protection hidden="1"/>
    </xf>
    <xf numFmtId="167" fontId="10" fillId="0" borderId="0" xfId="0" applyFont="1" applyAlignment="1" applyProtection="1">
      <alignment vertical="center" wrapText="1"/>
      <protection locked="0"/>
    </xf>
    <xf numFmtId="167" fontId="10" fillId="0" borderId="0" xfId="0" applyFont="1" applyAlignment="1">
      <alignment horizontal="center" vertical="center" wrapText="1"/>
    </xf>
    <xf numFmtId="167" fontId="10" fillId="0" borderId="0" xfId="0" applyFont="1" applyAlignment="1" applyProtection="1">
      <alignment horizontal="center" vertical="center" wrapText="1"/>
      <protection locked="0"/>
    </xf>
    <xf numFmtId="167" fontId="10" fillId="9" borderId="0" xfId="0" applyFont="1" applyFill="1" applyAlignment="1" applyProtection="1">
      <alignment vertical="center" wrapText="1"/>
      <protection locked="0"/>
    </xf>
    <xf numFmtId="167" fontId="7" fillId="0" borderId="0" xfId="0" applyFont="1" applyAlignment="1" applyProtection="1">
      <alignment vertical="center" wrapText="1"/>
      <protection locked="0"/>
    </xf>
    <xf numFmtId="167" fontId="7" fillId="0" borderId="0" xfId="0" applyFont="1" applyAlignment="1" applyProtection="1">
      <alignment horizontal="left" vertical="center" wrapText="1"/>
      <protection locked="0"/>
    </xf>
    <xf numFmtId="167" fontId="10" fillId="9" borderId="14" xfId="0" applyFont="1" applyFill="1" applyBorder="1" applyAlignment="1" applyProtection="1">
      <alignment vertical="center" wrapText="1"/>
      <protection locked="0"/>
    </xf>
    <xf numFmtId="167" fontId="10" fillId="9" borderId="17" xfId="0" applyFont="1" applyFill="1" applyBorder="1" applyAlignment="1" applyProtection="1">
      <alignment vertical="center" wrapText="1"/>
      <protection locked="0"/>
    </xf>
    <xf numFmtId="167" fontId="10" fillId="9" borderId="3" xfId="0" applyFont="1" applyFill="1" applyBorder="1" applyAlignment="1" applyProtection="1">
      <alignment horizontal="center" vertical="center" wrapText="1"/>
      <protection locked="0"/>
    </xf>
    <xf numFmtId="167" fontId="8" fillId="9" borderId="18" xfId="0" applyFont="1" applyFill="1" applyBorder="1" applyAlignment="1" applyProtection="1">
      <alignment vertical="center" wrapText="1"/>
      <protection locked="0"/>
    </xf>
    <xf numFmtId="167" fontId="8" fillId="9" borderId="17" xfId="0" applyFont="1" applyFill="1" applyBorder="1" applyAlignment="1" applyProtection="1">
      <alignment vertical="center" wrapText="1"/>
      <protection locked="0"/>
    </xf>
    <xf numFmtId="167" fontId="8" fillId="9" borderId="19" xfId="0" applyFont="1" applyFill="1" applyBorder="1" applyAlignment="1" applyProtection="1">
      <alignment vertical="center" wrapText="1"/>
      <protection locked="0"/>
    </xf>
    <xf numFmtId="167" fontId="8" fillId="9" borderId="0" xfId="0" applyFont="1" applyFill="1" applyAlignment="1" applyProtection="1">
      <alignment horizontal="center" vertical="center" wrapText="1"/>
      <protection locked="0"/>
    </xf>
    <xf numFmtId="167" fontId="10" fillId="9" borderId="4" xfId="0" applyFont="1" applyFill="1" applyBorder="1" applyAlignment="1" applyProtection="1">
      <alignment horizontal="center" vertical="center" wrapText="1"/>
      <protection locked="0"/>
    </xf>
    <xf numFmtId="167" fontId="17" fillId="0" borderId="0" xfId="0" applyFont="1" applyAlignment="1" applyProtection="1">
      <alignment vertical="center" wrapText="1"/>
      <protection locked="0"/>
    </xf>
    <xf numFmtId="167" fontId="17" fillId="0" borderId="0" xfId="0" applyFont="1" applyAlignment="1" applyProtection="1">
      <alignment horizontal="center" vertical="center" wrapText="1"/>
      <protection locked="0"/>
    </xf>
    <xf numFmtId="0" fontId="17" fillId="0" borderId="0" xfId="0" applyNumberFormat="1" applyFont="1" applyAlignment="1" applyProtection="1">
      <alignment horizontal="center" vertical="center" wrapText="1"/>
      <protection locked="0"/>
    </xf>
    <xf numFmtId="9" fontId="37" fillId="7" borderId="4" xfId="6" applyFont="1" applyFill="1" applyBorder="1" applyAlignment="1">
      <alignment horizontal="center" vertical="center" wrapText="1"/>
    </xf>
    <xf numFmtId="10" fontId="37" fillId="0" borderId="4" xfId="0" applyNumberFormat="1" applyFont="1" applyBorder="1" applyAlignment="1">
      <alignment horizontal="center" vertical="center" wrapText="1"/>
    </xf>
    <xf numFmtId="10" fontId="37" fillId="0" borderId="4" xfId="0" applyNumberFormat="1" applyFont="1" applyBorder="1" applyAlignment="1">
      <alignment vertical="center" wrapText="1"/>
    </xf>
    <xf numFmtId="4" fontId="37" fillId="7" borderId="4" xfId="0" applyNumberFormat="1" applyFont="1" applyFill="1" applyBorder="1" applyAlignment="1">
      <alignment horizontal="center" vertical="center" wrapText="1"/>
    </xf>
    <xf numFmtId="4" fontId="38" fillId="7" borderId="4" xfId="0" applyNumberFormat="1" applyFont="1" applyFill="1" applyBorder="1" applyAlignment="1">
      <alignment horizontal="center" vertical="center" wrapText="1"/>
    </xf>
    <xf numFmtId="167" fontId="17" fillId="9" borderId="0" xfId="0" applyFont="1" applyFill="1" applyAlignment="1" applyProtection="1">
      <alignment vertical="center" wrapText="1"/>
      <protection locked="0"/>
    </xf>
    <xf numFmtId="0" fontId="10" fillId="0" borderId="0" xfId="0" applyNumberFormat="1" applyFont="1" applyAlignment="1" applyProtection="1">
      <alignment vertical="center" wrapText="1"/>
      <protection locked="0"/>
    </xf>
    <xf numFmtId="10" fontId="37" fillId="0" borderId="0" xfId="0" applyNumberFormat="1" applyFont="1" applyAlignment="1">
      <alignment horizontal="center" vertical="center" wrapText="1"/>
    </xf>
    <xf numFmtId="4" fontId="37" fillId="0" borderId="0" xfId="0" applyNumberFormat="1" applyFont="1" applyAlignment="1">
      <alignment horizontal="center" vertical="center" wrapText="1"/>
    </xf>
    <xf numFmtId="4" fontId="38" fillId="0" borderId="0" xfId="0" applyNumberFormat="1" applyFont="1" applyAlignment="1">
      <alignment horizontal="center" vertical="center" wrapText="1"/>
    </xf>
    <xf numFmtId="167" fontId="8" fillId="0" borderId="0" xfId="0" applyFont="1" applyAlignment="1" applyProtection="1">
      <alignment vertical="center" wrapText="1"/>
      <protection locked="0"/>
    </xf>
    <xf numFmtId="167" fontId="12" fillId="9" borderId="0" xfId="0" applyFont="1" applyFill="1" applyAlignment="1" applyProtection="1">
      <alignment horizontal="center" vertical="center" wrapText="1"/>
      <protection locked="0"/>
    </xf>
    <xf numFmtId="167" fontId="10" fillId="9" borderId="13" xfId="0" applyFont="1" applyFill="1" applyBorder="1" applyAlignment="1" applyProtection="1">
      <alignment vertical="center" wrapText="1"/>
      <protection locked="0"/>
    </xf>
    <xf numFmtId="167" fontId="13" fillId="2" borderId="0" xfId="1" applyFont="1" applyFill="1" applyAlignment="1" applyProtection="1">
      <alignment vertical="center" wrapText="1"/>
      <protection locked="0"/>
    </xf>
    <xf numFmtId="167" fontId="13" fillId="0" borderId="0" xfId="1" applyFont="1" applyAlignment="1" applyProtection="1">
      <alignment horizontal="left" vertical="center" wrapText="1"/>
      <protection locked="0"/>
    </xf>
    <xf numFmtId="167" fontId="10" fillId="2" borderId="1" xfId="1" applyFont="1" applyFill="1" applyBorder="1" applyAlignment="1" applyProtection="1">
      <alignment horizontal="center" vertical="center" wrapText="1"/>
      <protection locked="0"/>
    </xf>
    <xf numFmtId="167" fontId="10" fillId="2" borderId="0" xfId="1" applyFont="1" applyFill="1" applyAlignment="1" applyProtection="1">
      <alignment horizontal="center" vertical="center" wrapText="1"/>
      <protection locked="0"/>
    </xf>
    <xf numFmtId="167" fontId="10" fillId="0" borderId="0" xfId="1" applyFont="1" applyAlignment="1" applyProtection="1">
      <alignment horizontal="center" vertical="center" wrapText="1"/>
      <protection locked="0"/>
    </xf>
    <xf numFmtId="167" fontId="39" fillId="0" borderId="0" xfId="0" applyFont="1" applyAlignment="1" applyProtection="1">
      <alignment horizontal="right" vertical="center" wrapText="1"/>
      <protection locked="0"/>
    </xf>
    <xf numFmtId="167" fontId="10" fillId="9" borderId="9" xfId="0" applyFont="1" applyFill="1" applyBorder="1" applyAlignment="1" applyProtection="1">
      <alignment vertical="center" wrapText="1"/>
      <protection locked="0"/>
    </xf>
    <xf numFmtId="167" fontId="10" fillId="9" borderId="40" xfId="0" applyFont="1" applyFill="1" applyBorder="1" applyAlignment="1" applyProtection="1">
      <alignment vertical="center" wrapText="1"/>
      <protection locked="0"/>
    </xf>
    <xf numFmtId="49" fontId="17" fillId="0" borderId="0" xfId="0" quotePrefix="1" applyNumberFormat="1" applyFont="1" applyAlignment="1" applyProtection="1">
      <alignment horizontal="left" vertical="center" wrapText="1"/>
      <protection locked="0"/>
    </xf>
    <xf numFmtId="44" fontId="37" fillId="7" borderId="4" xfId="10" applyFont="1" applyFill="1" applyBorder="1" applyAlignment="1">
      <alignment horizontal="center" vertical="center" wrapText="1"/>
    </xf>
    <xf numFmtId="44" fontId="38" fillId="7" borderId="4" xfId="10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7" fontId="0" fillId="6" borderId="0" xfId="0" applyFill="1"/>
    <xf numFmtId="0" fontId="10" fillId="0" borderId="16" xfId="0" applyNumberFormat="1" applyFont="1" applyBorder="1"/>
    <xf numFmtId="0" fontId="0" fillId="0" borderId="16" xfId="0" applyNumberFormat="1" applyBorder="1" applyAlignment="1">
      <alignment horizontal="center" vertical="center"/>
    </xf>
    <xf numFmtId="167" fontId="0" fillId="0" borderId="16" xfId="0" applyBorder="1"/>
    <xf numFmtId="9" fontId="12" fillId="9" borderId="0" xfId="15" applyFont="1" applyFill="1" applyBorder="1" applyAlignment="1" applyProtection="1">
      <alignment horizontal="center" vertical="center" wrapText="1"/>
      <protection locked="0"/>
    </xf>
    <xf numFmtId="167" fontId="10" fillId="0" borderId="16" xfId="0" applyFont="1" applyBorder="1"/>
    <xf numFmtId="167" fontId="10" fillId="0" borderId="0" xfId="0" applyFont="1" applyAlignment="1">
      <alignment horizontal="left"/>
    </xf>
    <xf numFmtId="0" fontId="10" fillId="0" borderId="0" xfId="0" applyNumberFormat="1" applyFont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10" fillId="0" borderId="16" xfId="0" applyNumberFormat="1" applyFont="1" applyBorder="1" applyAlignment="1">
      <alignment horizontal="left" vertical="center"/>
    </xf>
    <xf numFmtId="2" fontId="0" fillId="0" borderId="16" xfId="0" applyNumberFormat="1" applyBorder="1" applyAlignment="1">
      <alignment horizontal="center" vertical="center"/>
    </xf>
    <xf numFmtId="2" fontId="0" fillId="0" borderId="16" xfId="0" applyNumberFormat="1" applyBorder="1" applyAlignment="1">
      <alignment horizontal="center"/>
    </xf>
    <xf numFmtId="2" fontId="7" fillId="0" borderId="0" xfId="0" applyNumberFormat="1" applyFont="1" applyAlignment="1" applyProtection="1">
      <alignment horizontal="left" vertical="center" wrapText="1"/>
      <protection locked="0"/>
    </xf>
    <xf numFmtId="2" fontId="8" fillId="9" borderId="3" xfId="0" applyNumberFormat="1" applyFont="1" applyFill="1" applyBorder="1" applyAlignment="1" applyProtection="1">
      <alignment horizontal="center" vertical="center" wrapText="1"/>
      <protection locked="0"/>
    </xf>
    <xf numFmtId="2" fontId="10" fillId="9" borderId="9" xfId="0" applyNumberFormat="1" applyFont="1" applyFill="1" applyBorder="1" applyAlignment="1" applyProtection="1">
      <alignment vertical="center" wrapText="1"/>
      <protection locked="0"/>
    </xf>
    <xf numFmtId="2" fontId="10" fillId="0" borderId="0" xfId="0" applyNumberFormat="1" applyFont="1" applyAlignment="1" applyProtection="1">
      <alignment vertical="center" wrapText="1"/>
      <protection locked="0"/>
    </xf>
    <xf numFmtId="167" fontId="8" fillId="0" borderId="0" xfId="0" applyFont="1" applyAlignment="1" applyProtection="1">
      <alignment horizontal="right" vertical="center" wrapText="1"/>
      <protection locked="0"/>
    </xf>
    <xf numFmtId="2" fontId="8" fillId="0" borderId="0" xfId="0" applyNumberFormat="1" applyFont="1" applyAlignment="1" applyProtection="1">
      <alignment horizontal="center" vertical="center" wrapText="1"/>
      <protection locked="0"/>
    </xf>
    <xf numFmtId="43" fontId="8" fillId="0" borderId="0" xfId="0" applyNumberFormat="1" applyFont="1" applyAlignment="1" applyProtection="1">
      <alignment vertical="center" wrapText="1"/>
      <protection locked="0"/>
    </xf>
    <xf numFmtId="2" fontId="8" fillId="0" borderId="0" xfId="0" applyNumberFormat="1" applyFont="1" applyAlignment="1" applyProtection="1">
      <alignment vertical="center" wrapText="1"/>
      <protection locked="0"/>
    </xf>
    <xf numFmtId="0" fontId="10" fillId="2" borderId="1" xfId="1" applyNumberFormat="1" applyFont="1" applyFill="1" applyBorder="1" applyAlignment="1" applyProtection="1">
      <alignment horizontal="left" vertical="center" wrapText="1" indent="1"/>
      <protection locked="0"/>
    </xf>
    <xf numFmtId="44" fontId="10" fillId="2" borderId="1" xfId="2" applyFont="1" applyFill="1" applyBorder="1" applyAlignment="1" applyProtection="1">
      <alignment vertical="center" wrapText="1"/>
      <protection locked="0"/>
    </xf>
    <xf numFmtId="2" fontId="0" fillId="10" borderId="58" xfId="0" applyNumberFormat="1" applyFill="1" applyBorder="1"/>
    <xf numFmtId="167" fontId="6" fillId="0" borderId="0" xfId="0" applyFont="1" applyAlignment="1">
      <alignment horizontal="left" vertical="center" wrapText="1"/>
    </xf>
    <xf numFmtId="167" fontId="12" fillId="0" borderId="0" xfId="0" applyFont="1" applyAlignment="1" applyProtection="1">
      <alignment horizontal="center" vertical="center" wrapText="1"/>
      <protection locked="0"/>
    </xf>
    <xf numFmtId="43" fontId="45" fillId="0" borderId="4" xfId="17" applyFont="1" applyBorder="1" applyAlignment="1" applyProtection="1">
      <alignment horizontal="center" vertical="center"/>
      <protection locked="0"/>
    </xf>
    <xf numFmtId="0" fontId="44" fillId="0" borderId="4" xfId="0" applyNumberFormat="1" applyFont="1" applyBorder="1" applyAlignment="1">
      <alignment horizontal="left" vertical="center" wrapText="1"/>
    </xf>
    <xf numFmtId="0" fontId="45" fillId="2" borderId="4" xfId="18" applyFont="1" applyFill="1" applyBorder="1" applyAlignment="1">
      <alignment horizontal="center" vertical="center"/>
    </xf>
    <xf numFmtId="2" fontId="45" fillId="2" borderId="4" xfId="18" applyNumberFormat="1" applyFont="1" applyFill="1" applyBorder="1" applyAlignment="1">
      <alignment horizontal="center" vertical="center"/>
    </xf>
    <xf numFmtId="43" fontId="45" fillId="2" borderId="4" xfId="17" applyFont="1" applyFill="1" applyBorder="1" applyAlignment="1" applyProtection="1">
      <alignment horizontal="center" vertical="center"/>
      <protection locked="0"/>
    </xf>
    <xf numFmtId="167" fontId="0" fillId="12" borderId="0" xfId="0" applyFill="1"/>
    <xf numFmtId="167" fontId="8" fillId="12" borderId="0" xfId="0" applyFont="1" applyFill="1"/>
    <xf numFmtId="0" fontId="10" fillId="12" borderId="0" xfId="0" applyNumberFormat="1" applyFont="1" applyFill="1" applyAlignment="1">
      <alignment horizontal="center"/>
    </xf>
    <xf numFmtId="0" fontId="0" fillId="12" borderId="0" xfId="0" applyNumberFormat="1" applyFill="1" applyAlignment="1">
      <alignment horizontal="center"/>
    </xf>
    <xf numFmtId="2" fontId="0" fillId="12" borderId="0" xfId="0" applyNumberFormat="1" applyFill="1" applyAlignment="1">
      <alignment horizontal="center"/>
    </xf>
    <xf numFmtId="167" fontId="10" fillId="12" borderId="0" xfId="0" applyFont="1" applyFill="1"/>
    <xf numFmtId="167" fontId="0" fillId="12" borderId="0" xfId="0" applyFill="1" applyAlignment="1">
      <alignment horizontal="center" vertical="center"/>
    </xf>
    <xf numFmtId="2" fontId="10" fillId="12" borderId="0" xfId="0" applyNumberFormat="1" applyFont="1" applyFill="1" applyAlignment="1">
      <alignment horizontal="center"/>
    </xf>
    <xf numFmtId="2" fontId="0" fillId="12" borderId="0" xfId="0" applyNumberFormat="1" applyFill="1"/>
    <xf numFmtId="171" fontId="0" fillId="12" borderId="0" xfId="0" applyNumberFormat="1" applyFill="1"/>
    <xf numFmtId="167" fontId="0" fillId="2" borderId="1" xfId="0" applyFill="1" applyBorder="1"/>
    <xf numFmtId="167" fontId="0" fillId="2" borderId="9" xfId="0" applyFill="1" applyBorder="1"/>
    <xf numFmtId="167" fontId="8" fillId="2" borderId="0" xfId="0" applyFont="1" applyFill="1" applyAlignment="1">
      <alignment horizontal="center"/>
    </xf>
    <xf numFmtId="167" fontId="10" fillId="2" borderId="0" xfId="0" applyFont="1" applyFill="1"/>
    <xf numFmtId="167" fontId="8" fillId="0" borderId="8" xfId="0" applyFont="1" applyBorder="1" applyAlignment="1">
      <alignment horizontal="center"/>
    </xf>
    <xf numFmtId="167" fontId="8" fillId="0" borderId="0" xfId="0" applyFont="1" applyAlignment="1">
      <alignment horizontal="center"/>
    </xf>
    <xf numFmtId="167" fontId="8" fillId="0" borderId="1" xfId="0" applyFont="1" applyBorder="1" applyAlignment="1">
      <alignment horizontal="center"/>
    </xf>
    <xf numFmtId="167" fontId="10" fillId="0" borderId="8" xfId="0" applyFont="1" applyBorder="1"/>
    <xf numFmtId="167" fontId="0" fillId="0" borderId="9" xfId="0" applyBorder="1"/>
    <xf numFmtId="167" fontId="10" fillId="0" borderId="13" xfId="0" applyFont="1" applyBorder="1"/>
    <xf numFmtId="2" fontId="0" fillId="0" borderId="9" xfId="0" applyNumberFormat="1" applyBorder="1" applyAlignment="1">
      <alignment horizontal="center"/>
    </xf>
    <xf numFmtId="167" fontId="47" fillId="0" borderId="8" xfId="0" applyFont="1" applyBorder="1"/>
    <xf numFmtId="0" fontId="8" fillId="0" borderId="0" xfId="0" applyNumberFormat="1" applyFont="1" applyAlignment="1">
      <alignment horizontal="center"/>
    </xf>
    <xf numFmtId="167" fontId="8" fillId="0" borderId="0" xfId="0" applyFont="1"/>
    <xf numFmtId="0" fontId="10" fillId="0" borderId="9" xfId="0" applyNumberFormat="1" applyFont="1" applyBorder="1" applyAlignment="1">
      <alignment horizontal="center"/>
    </xf>
    <xf numFmtId="0" fontId="0" fillId="0" borderId="9" xfId="0" applyNumberFormat="1" applyBorder="1" applyAlignment="1">
      <alignment horizontal="center"/>
    </xf>
    <xf numFmtId="10" fontId="46" fillId="0" borderId="0" xfId="0" applyNumberFormat="1" applyFont="1" applyAlignment="1">
      <alignment horizontal="center"/>
    </xf>
    <xf numFmtId="167" fontId="46" fillId="0" borderId="0" xfId="0" applyFont="1"/>
    <xf numFmtId="167" fontId="0" fillId="12" borderId="0" xfId="0" applyFill="1" applyAlignment="1">
      <alignment horizontal="center"/>
    </xf>
    <xf numFmtId="167" fontId="8" fillId="2" borderId="8" xfId="0" applyFont="1" applyFill="1" applyBorder="1"/>
    <xf numFmtId="2" fontId="10" fillId="5" borderId="0" xfId="0" applyNumberFormat="1" applyFont="1" applyFill="1" applyAlignment="1">
      <alignment horizontal="right"/>
    </xf>
    <xf numFmtId="167" fontId="10" fillId="2" borderId="0" xfId="0" applyFont="1" applyFill="1" applyAlignment="1">
      <alignment horizontal="right"/>
    </xf>
    <xf numFmtId="2" fontId="10" fillId="2" borderId="0" xfId="0" applyNumberFormat="1" applyFont="1" applyFill="1"/>
    <xf numFmtId="2" fontId="0" fillId="2" borderId="0" xfId="0" applyNumberFormat="1" applyFill="1" applyAlignment="1">
      <alignment horizontal="right"/>
    </xf>
    <xf numFmtId="1" fontId="0" fillId="2" borderId="0" xfId="0" applyNumberFormat="1" applyFill="1" applyAlignment="1">
      <alignment horizontal="right"/>
    </xf>
    <xf numFmtId="167" fontId="0" fillId="2" borderId="0" xfId="0" applyFill="1" applyAlignment="1">
      <alignment horizontal="right"/>
    </xf>
    <xf numFmtId="167" fontId="8" fillId="2" borderId="13" xfId="0" applyFont="1" applyFill="1" applyBorder="1"/>
    <xf numFmtId="2" fontId="0" fillId="2" borderId="9" xfId="0" applyNumberFormat="1" applyFill="1" applyBorder="1" applyAlignment="1">
      <alignment horizontal="right"/>
    </xf>
    <xf numFmtId="167" fontId="10" fillId="2" borderId="9" xfId="0" applyFont="1" applyFill="1" applyBorder="1"/>
    <xf numFmtId="167" fontId="8" fillId="2" borderId="1" xfId="0" applyFont="1" applyFill="1" applyBorder="1"/>
    <xf numFmtId="2" fontId="10" fillId="5" borderId="8" xfId="0" applyNumberFormat="1" applyFont="1" applyFill="1" applyBorder="1" applyAlignment="1">
      <alignment horizontal="center"/>
    </xf>
    <xf numFmtId="167" fontId="52" fillId="2" borderId="0" xfId="0" applyFont="1" applyFill="1"/>
    <xf numFmtId="2" fontId="52" fillId="2" borderId="0" xfId="0" applyNumberFormat="1" applyFont="1" applyFill="1" applyAlignment="1">
      <alignment horizontal="center"/>
    </xf>
    <xf numFmtId="167" fontId="52" fillId="2" borderId="9" xfId="0" applyFont="1" applyFill="1" applyBorder="1"/>
    <xf numFmtId="167" fontId="8" fillId="2" borderId="68" xfId="0" applyFont="1" applyFill="1" applyBorder="1"/>
    <xf numFmtId="0" fontId="47" fillId="5" borderId="0" xfId="0" applyNumberFormat="1" applyFont="1" applyFill="1" applyAlignment="1">
      <alignment horizontal="center"/>
    </xf>
    <xf numFmtId="167" fontId="8" fillId="2" borderId="66" xfId="0" applyFont="1" applyFill="1" applyBorder="1" applyAlignment="1">
      <alignment horizontal="center"/>
    </xf>
    <xf numFmtId="167" fontId="8" fillId="2" borderId="12" xfId="0" applyFont="1" applyFill="1" applyBorder="1" applyAlignment="1">
      <alignment horizontal="center"/>
    </xf>
    <xf numFmtId="0" fontId="8" fillId="2" borderId="12" xfId="0" applyNumberFormat="1" applyFont="1" applyFill="1" applyBorder="1" applyAlignment="1">
      <alignment horizontal="center"/>
    </xf>
    <xf numFmtId="0" fontId="8" fillId="2" borderId="67" xfId="0" applyNumberFormat="1" applyFont="1" applyFill="1" applyBorder="1" applyAlignment="1">
      <alignment horizontal="center"/>
    </xf>
    <xf numFmtId="167" fontId="10" fillId="2" borderId="8" xfId="0" applyFont="1" applyFill="1" applyBorder="1" applyAlignment="1">
      <alignment horizontal="left"/>
    </xf>
    <xf numFmtId="2" fontId="0" fillId="2" borderId="0" xfId="0" applyNumberFormat="1" applyFill="1" applyAlignment="1">
      <alignment horizontal="center"/>
    </xf>
    <xf numFmtId="2" fontId="10" fillId="2" borderId="0" xfId="0" applyNumberFormat="1" applyFont="1" applyFill="1" applyAlignment="1">
      <alignment horizontal="center"/>
    </xf>
    <xf numFmtId="2" fontId="0" fillId="2" borderId="1" xfId="0" applyNumberFormat="1" applyFill="1" applyBorder="1" applyAlignment="1">
      <alignment horizontal="center"/>
    </xf>
    <xf numFmtId="167" fontId="48" fillId="2" borderId="8" xfId="0" applyFont="1" applyFill="1" applyBorder="1" applyAlignment="1">
      <alignment horizontal="center"/>
    </xf>
    <xf numFmtId="2" fontId="48" fillId="2" borderId="1" xfId="0" applyNumberFormat="1" applyFont="1" applyFill="1" applyBorder="1" applyAlignment="1">
      <alignment horizontal="center"/>
    </xf>
    <xf numFmtId="167" fontId="10" fillId="2" borderId="13" xfId="0" applyFont="1" applyFill="1" applyBorder="1"/>
    <xf numFmtId="2" fontId="10" fillId="2" borderId="9" xfId="0" applyNumberFormat="1" applyFont="1" applyFill="1" applyBorder="1" applyAlignment="1">
      <alignment horizontal="center"/>
    </xf>
    <xf numFmtId="2" fontId="0" fillId="2" borderId="68" xfId="0" applyNumberFormat="1" applyFill="1" applyBorder="1" applyAlignment="1">
      <alignment horizontal="center"/>
    </xf>
    <xf numFmtId="2" fontId="0" fillId="18" borderId="0" xfId="0" applyNumberFormat="1" applyFill="1" applyAlignment="1">
      <alignment horizontal="center"/>
    </xf>
    <xf numFmtId="2" fontId="10" fillId="18" borderId="0" xfId="0" applyNumberFormat="1" applyFont="1" applyFill="1" applyAlignment="1">
      <alignment horizontal="center"/>
    </xf>
    <xf numFmtId="2" fontId="48" fillId="18" borderId="0" xfId="0" applyNumberFormat="1" applyFont="1" applyFill="1" applyAlignment="1">
      <alignment horizontal="center"/>
    </xf>
    <xf numFmtId="2" fontId="0" fillId="18" borderId="9" xfId="0" applyNumberFormat="1" applyFill="1" applyBorder="1" applyAlignment="1">
      <alignment horizontal="center"/>
    </xf>
    <xf numFmtId="2" fontId="10" fillId="18" borderId="9" xfId="0" applyNumberFormat="1" applyFont="1" applyFill="1" applyBorder="1" applyAlignment="1">
      <alignment horizontal="center"/>
    </xf>
    <xf numFmtId="167" fontId="8" fillId="2" borderId="67" xfId="0" applyFont="1" applyFill="1" applyBorder="1" applyAlignment="1">
      <alignment horizontal="center"/>
    </xf>
    <xf numFmtId="167" fontId="10" fillId="2" borderId="8" xfId="0" applyFont="1" applyFill="1" applyBorder="1"/>
    <xf numFmtId="2" fontId="0" fillId="18" borderId="0" xfId="0" applyNumberFormat="1" applyFill="1" applyAlignment="1">
      <alignment horizontal="center" vertical="center"/>
    </xf>
    <xf numFmtId="167" fontId="8" fillId="2" borderId="8" xfId="0" applyFont="1" applyFill="1" applyBorder="1" applyAlignment="1">
      <alignment horizontal="center"/>
    </xf>
    <xf numFmtId="167" fontId="10" fillId="2" borderId="8" xfId="0" applyFont="1" applyFill="1" applyBorder="1" applyAlignment="1">
      <alignment horizontal="left" wrapText="1"/>
    </xf>
    <xf numFmtId="167" fontId="10" fillId="2" borderId="0" xfId="0" applyFont="1" applyFill="1" applyAlignment="1">
      <alignment horizontal="center" vertical="center"/>
    </xf>
    <xf numFmtId="167" fontId="0" fillId="2" borderId="0" xfId="0" applyFill="1" applyAlignment="1">
      <alignment horizontal="center" vertical="center"/>
    </xf>
    <xf numFmtId="44" fontId="10" fillId="2" borderId="0" xfId="10" applyFont="1" applyFill="1" applyBorder="1" applyAlignment="1">
      <alignment horizontal="center" vertical="center"/>
    </xf>
    <xf numFmtId="0" fontId="44" fillId="2" borderId="8" xfId="0" applyNumberFormat="1" applyFont="1" applyFill="1" applyBorder="1" applyAlignment="1">
      <alignment horizontal="left" vertical="center" wrapText="1"/>
    </xf>
    <xf numFmtId="167" fontId="44" fillId="2" borderId="8" xfId="0" applyFont="1" applyFill="1" applyBorder="1" applyAlignment="1">
      <alignment horizontal="left" vertical="center" wrapText="1"/>
    </xf>
    <xf numFmtId="2" fontId="10" fillId="2" borderId="0" xfId="0" applyNumberFormat="1" applyFont="1" applyFill="1" applyAlignment="1">
      <alignment horizontal="center" vertical="center"/>
    </xf>
    <xf numFmtId="0" fontId="45" fillId="2" borderId="0" xfId="18" applyFont="1" applyFill="1" applyAlignment="1">
      <alignment horizontal="center" vertical="center"/>
    </xf>
    <xf numFmtId="167" fontId="49" fillId="2" borderId="13" xfId="0" applyFont="1" applyFill="1" applyBorder="1" applyAlignment="1">
      <alignment horizontal="left" vertical="center" wrapText="1"/>
    </xf>
    <xf numFmtId="0" fontId="43" fillId="2" borderId="9" xfId="18" applyFont="1" applyFill="1" applyBorder="1" applyAlignment="1">
      <alignment horizontal="center" vertical="center"/>
    </xf>
    <xf numFmtId="2" fontId="43" fillId="2" borderId="9" xfId="18" applyNumberFormat="1" applyFont="1" applyFill="1" applyBorder="1" applyAlignment="1">
      <alignment horizontal="center" vertical="center"/>
    </xf>
    <xf numFmtId="167" fontId="8" fillId="2" borderId="9" xfId="0" applyFont="1" applyFill="1" applyBorder="1" applyAlignment="1">
      <alignment horizontal="center" vertical="center"/>
    </xf>
    <xf numFmtId="167" fontId="8" fillId="2" borderId="9" xfId="0" applyFont="1" applyFill="1" applyBorder="1"/>
    <xf numFmtId="167" fontId="8" fillId="2" borderId="68" xfId="0" applyFont="1" applyFill="1" applyBorder="1" applyAlignment="1">
      <alignment horizontal="center" vertical="center"/>
    </xf>
    <xf numFmtId="2" fontId="45" fillId="18" borderId="0" xfId="18" applyNumberFormat="1" applyFont="1" applyFill="1" applyAlignment="1">
      <alignment horizontal="center" vertical="center"/>
    </xf>
    <xf numFmtId="167" fontId="8" fillId="2" borderId="1" xfId="0" applyFont="1" applyFill="1" applyBorder="1" applyAlignment="1">
      <alignment horizontal="center"/>
    </xf>
    <xf numFmtId="167" fontId="10" fillId="18" borderId="0" xfId="1" applyFont="1" applyFill="1" applyAlignment="1" applyProtection="1">
      <alignment horizontal="center" vertical="center" wrapText="1"/>
      <protection locked="0"/>
    </xf>
    <xf numFmtId="0" fontId="10" fillId="2" borderId="0" xfId="6" applyNumberFormat="1" applyFont="1" applyFill="1" applyBorder="1" applyAlignment="1" applyProtection="1">
      <alignment horizontal="left" vertical="center" wrapText="1" indent="1"/>
      <protection locked="0"/>
    </xf>
    <xf numFmtId="0" fontId="10" fillId="2" borderId="0" xfId="1" applyNumberFormat="1" applyFont="1" applyFill="1" applyAlignment="1" applyProtection="1">
      <alignment horizontal="left" vertical="center" wrapText="1" indent="1"/>
      <protection locked="0"/>
    </xf>
    <xf numFmtId="0" fontId="10" fillId="0" borderId="0" xfId="6" applyNumberFormat="1" applyFont="1" applyBorder="1" applyAlignment="1" applyProtection="1">
      <alignment horizontal="left" vertical="center" wrapText="1" indent="1"/>
      <protection locked="0"/>
    </xf>
    <xf numFmtId="44" fontId="10" fillId="2" borderId="0" xfId="1" applyNumberFormat="1" applyFont="1" applyFill="1" applyAlignment="1" applyProtection="1">
      <alignment horizontal="left" vertical="center" wrapText="1" indent="1"/>
      <protection locked="0"/>
    </xf>
    <xf numFmtId="0" fontId="8" fillId="0" borderId="0" xfId="0" applyNumberFormat="1" applyFont="1" applyAlignment="1" applyProtection="1">
      <alignment horizontal="left" vertical="center" wrapText="1" indent="1"/>
      <protection locked="0"/>
    </xf>
    <xf numFmtId="167" fontId="17" fillId="2" borderId="0" xfId="1" applyFont="1" applyFill="1" applyAlignment="1" applyProtection="1">
      <alignment vertical="center" wrapText="1"/>
      <protection locked="0"/>
    </xf>
    <xf numFmtId="167" fontId="10" fillId="2" borderId="0" xfId="1" applyFont="1" applyFill="1" applyAlignment="1" applyProtection="1">
      <alignment vertical="center" wrapText="1"/>
      <protection locked="0"/>
    </xf>
    <xf numFmtId="2" fontId="10" fillId="2" borderId="0" xfId="1" applyNumberFormat="1" applyFont="1" applyFill="1" applyAlignment="1" applyProtection="1">
      <alignment vertical="center" wrapText="1"/>
      <protection locked="0"/>
    </xf>
    <xf numFmtId="166" fontId="8" fillId="0" borderId="0" xfId="0" applyNumberFormat="1" applyFont="1" applyAlignment="1" applyProtection="1">
      <alignment horizontal="center" vertical="center" wrapText="1"/>
      <protection locked="0"/>
    </xf>
    <xf numFmtId="44" fontId="17" fillId="2" borderId="0" xfId="1" applyNumberFormat="1" applyFont="1" applyFill="1" applyAlignment="1" applyProtection="1">
      <alignment horizontal="left" vertical="center" wrapText="1" indent="1"/>
      <protection locked="0"/>
    </xf>
    <xf numFmtId="44" fontId="55" fillId="19" borderId="60" xfId="10" applyFont="1" applyFill="1" applyBorder="1" applyAlignment="1" applyProtection="1">
      <alignment horizontal="center" vertical="center" wrapText="1"/>
      <protection locked="0"/>
    </xf>
    <xf numFmtId="44" fontId="55" fillId="19" borderId="10" xfId="10" applyFont="1" applyFill="1" applyBorder="1" applyAlignment="1" applyProtection="1">
      <alignment horizontal="center" vertical="center" wrapText="1"/>
      <protection locked="0"/>
    </xf>
    <xf numFmtId="44" fontId="55" fillId="19" borderId="21" xfId="10" applyFont="1" applyFill="1" applyBorder="1" applyAlignment="1" applyProtection="1">
      <alignment horizontal="center" vertical="center" wrapText="1"/>
      <protection locked="0"/>
    </xf>
    <xf numFmtId="44" fontId="27" fillId="2" borderId="1" xfId="1" applyNumberFormat="1" applyFont="1" applyFill="1" applyBorder="1" applyAlignment="1" applyProtection="1">
      <alignment horizontal="left" vertical="center" wrapText="1" indent="1"/>
      <protection locked="0"/>
    </xf>
    <xf numFmtId="44" fontId="58" fillId="2" borderId="1" xfId="1" applyNumberFormat="1" applyFont="1" applyFill="1" applyBorder="1" applyAlignment="1" applyProtection="1">
      <alignment horizontal="left" vertical="center" wrapText="1" indent="1"/>
      <protection locked="0"/>
    </xf>
    <xf numFmtId="167" fontId="7" fillId="0" borderId="11" xfId="0" applyFont="1" applyBorder="1" applyAlignment="1" applyProtection="1">
      <alignment horizontal="center" vertical="center" wrapText="1"/>
      <protection locked="0"/>
    </xf>
    <xf numFmtId="2" fontId="7" fillId="0" borderId="11" xfId="0" applyNumberFormat="1" applyFont="1" applyBorder="1" applyAlignment="1" applyProtection="1">
      <alignment horizontal="center" vertical="center" wrapText="1"/>
      <protection locked="0"/>
    </xf>
    <xf numFmtId="43" fontId="7" fillId="0" borderId="11" xfId="0" applyNumberFormat="1" applyFont="1" applyBorder="1" applyAlignment="1" applyProtection="1">
      <alignment horizontal="center" vertical="center" wrapText="1"/>
      <protection locked="0"/>
    </xf>
    <xf numFmtId="0" fontId="7" fillId="0" borderId="11" xfId="0" applyNumberFormat="1" applyFont="1" applyBorder="1" applyAlignment="1" applyProtection="1">
      <alignment horizontal="center" vertical="center" wrapText="1"/>
      <protection locked="0"/>
    </xf>
    <xf numFmtId="0" fontId="57" fillId="19" borderId="22" xfId="0" applyNumberFormat="1" applyFont="1" applyFill="1" applyBorder="1" applyAlignment="1" applyProtection="1">
      <alignment horizontal="center" vertical="center" wrapText="1"/>
      <protection locked="0"/>
    </xf>
    <xf numFmtId="167" fontId="57" fillId="19" borderId="23" xfId="0" applyFont="1" applyFill="1" applyBorder="1" applyAlignment="1" applyProtection="1">
      <alignment horizontal="center" vertical="center" wrapText="1"/>
      <protection locked="0"/>
    </xf>
    <xf numFmtId="2" fontId="57" fillId="19" borderId="23" xfId="0" applyNumberFormat="1" applyFont="1" applyFill="1" applyBorder="1" applyAlignment="1" applyProtection="1">
      <alignment horizontal="center" vertical="center" wrapText="1"/>
      <protection locked="0"/>
    </xf>
    <xf numFmtId="44" fontId="57" fillId="19" borderId="23" xfId="10" applyFont="1" applyFill="1" applyBorder="1" applyAlignment="1" applyProtection="1">
      <alignment vertical="center" wrapText="1"/>
      <protection locked="0"/>
    </xf>
    <xf numFmtId="43" fontId="57" fillId="19" borderId="23" xfId="0" applyNumberFormat="1" applyFont="1" applyFill="1" applyBorder="1" applyAlignment="1" applyProtection="1">
      <alignment horizontal="center" vertical="center" wrapText="1"/>
      <protection locked="0"/>
    </xf>
    <xf numFmtId="43" fontId="57" fillId="19" borderId="24" xfId="0" applyNumberFormat="1" applyFont="1" applyFill="1" applyBorder="1" applyAlignment="1" applyProtection="1">
      <alignment horizontal="center" vertical="center" wrapText="1"/>
      <protection locked="0"/>
    </xf>
    <xf numFmtId="167" fontId="10" fillId="2" borderId="0" xfId="0" applyFont="1" applyFill="1" applyAlignment="1" applyProtection="1">
      <alignment vertical="center" wrapText="1"/>
      <protection locked="0"/>
    </xf>
    <xf numFmtId="167" fontId="10" fillId="2" borderId="0" xfId="0" applyFont="1" applyFill="1" applyAlignment="1" applyProtection="1">
      <alignment horizontal="right" vertical="center" wrapText="1"/>
      <protection locked="0"/>
    </xf>
    <xf numFmtId="167" fontId="8" fillId="2" borderId="0" xfId="0" applyFont="1" applyFill="1" applyAlignment="1" applyProtection="1">
      <alignment vertical="center" wrapText="1"/>
      <protection locked="0"/>
    </xf>
    <xf numFmtId="167" fontId="7" fillId="0" borderId="69" xfId="0" applyFont="1" applyBorder="1" applyAlignment="1" applyProtection="1">
      <alignment horizontal="center" vertical="center" wrapText="1"/>
      <protection locked="0"/>
    </xf>
    <xf numFmtId="0" fontId="7" fillId="0" borderId="70" xfId="0" applyNumberFormat="1" applyFont="1" applyBorder="1" applyAlignment="1" applyProtection="1">
      <alignment horizontal="center" vertical="center" wrapText="1"/>
      <protection locked="0"/>
    </xf>
    <xf numFmtId="44" fontId="45" fillId="0" borderId="4" xfId="10" applyFont="1" applyBorder="1" applyAlignment="1" applyProtection="1">
      <alignment horizontal="center" vertical="center"/>
    </xf>
    <xf numFmtId="44" fontId="17" fillId="0" borderId="4" xfId="10" applyFont="1" applyFill="1" applyBorder="1" applyAlignment="1" applyProtection="1">
      <alignment horizontal="center" vertical="center" wrapText="1"/>
    </xf>
    <xf numFmtId="44" fontId="55" fillId="19" borderId="68" xfId="10" applyFont="1" applyFill="1" applyBorder="1" applyAlignment="1" applyProtection="1">
      <alignment horizontal="center" vertical="center" wrapText="1"/>
      <protection locked="0"/>
    </xf>
    <xf numFmtId="0" fontId="45" fillId="2" borderId="71" xfId="18" applyFont="1" applyFill="1" applyBorder="1" applyAlignment="1">
      <alignment horizontal="center" vertical="center" wrapText="1"/>
    </xf>
    <xf numFmtId="44" fontId="7" fillId="0" borderId="72" xfId="10" applyFont="1" applyFill="1" applyBorder="1" applyAlignment="1" applyProtection="1">
      <alignment horizontal="center" vertical="center" wrapText="1"/>
    </xf>
    <xf numFmtId="167" fontId="54" fillId="19" borderId="13" xfId="0" applyFont="1" applyFill="1" applyBorder="1" applyAlignment="1" applyProtection="1">
      <alignment vertical="center" wrapText="1"/>
      <protection locked="0"/>
    </xf>
    <xf numFmtId="167" fontId="54" fillId="19" borderId="9" xfId="0" applyFont="1" applyFill="1" applyBorder="1" applyAlignment="1" applyProtection="1">
      <alignment vertical="center" wrapText="1"/>
      <protection locked="0"/>
    </xf>
    <xf numFmtId="167" fontId="40" fillId="2" borderId="64" xfId="0" applyFont="1" applyFill="1" applyBorder="1" applyAlignment="1" applyProtection="1">
      <alignment horizontal="right" vertical="center" wrapText="1" indent="1"/>
      <protection locked="0"/>
    </xf>
    <xf numFmtId="167" fontId="40" fillId="2" borderId="26" xfId="0" applyFont="1" applyFill="1" applyBorder="1" applyAlignment="1" applyProtection="1">
      <alignment horizontal="right" vertical="center" wrapText="1" indent="1"/>
      <protection locked="0"/>
    </xf>
    <xf numFmtId="167" fontId="40" fillId="2" borderId="65" xfId="0" applyFont="1" applyFill="1" applyBorder="1" applyAlignment="1" applyProtection="1">
      <alignment horizontal="right" vertical="center" wrapText="1" indent="1"/>
      <protection locked="0"/>
    </xf>
    <xf numFmtId="0" fontId="10" fillId="0" borderId="66" xfId="0" applyNumberFormat="1" applyFont="1" applyBorder="1" applyAlignment="1" applyProtection="1">
      <alignment horizontal="left" vertical="center" wrapText="1" indent="1"/>
      <protection locked="0"/>
    </xf>
    <xf numFmtId="0" fontId="10" fillId="0" borderId="12" xfId="0" applyNumberFormat="1" applyFont="1" applyBorder="1" applyAlignment="1" applyProtection="1">
      <alignment horizontal="left" vertical="center" wrapText="1" indent="1"/>
      <protection locked="0"/>
    </xf>
    <xf numFmtId="0" fontId="10" fillId="0" borderId="67" xfId="0" applyNumberFormat="1" applyFont="1" applyBorder="1" applyAlignment="1" applyProtection="1">
      <alignment horizontal="left" vertical="center" wrapText="1" indent="1"/>
      <protection locked="0"/>
    </xf>
    <xf numFmtId="0" fontId="17" fillId="2" borderId="8" xfId="1" applyNumberFormat="1" applyFont="1" applyFill="1" applyBorder="1" applyAlignment="1" applyProtection="1">
      <alignment horizontal="left" vertical="center" wrapText="1" indent="1"/>
      <protection locked="0"/>
    </xf>
    <xf numFmtId="0" fontId="17" fillId="2" borderId="0" xfId="1" applyNumberFormat="1" applyFont="1" applyFill="1" applyAlignment="1" applyProtection="1">
      <alignment horizontal="left" vertical="center" wrapText="1" indent="1"/>
      <protection locked="0"/>
    </xf>
    <xf numFmtId="0" fontId="17" fillId="0" borderId="8" xfId="0" applyNumberFormat="1" applyFont="1" applyBorder="1" applyAlignment="1">
      <alignment horizontal="left" vertical="center" wrapText="1" indent="1"/>
    </xf>
    <xf numFmtId="0" fontId="17" fillId="0" borderId="0" xfId="0" applyNumberFormat="1" applyFont="1" applyAlignment="1">
      <alignment horizontal="left" vertical="center" wrapText="1" indent="1"/>
    </xf>
    <xf numFmtId="167" fontId="6" fillId="9" borderId="0" xfId="0" applyFont="1" applyFill="1" applyAlignment="1" applyProtection="1">
      <alignment horizontal="center" vertical="center" wrapText="1"/>
      <protection locked="0"/>
    </xf>
    <xf numFmtId="167" fontId="54" fillId="19" borderId="20" xfId="0" applyFont="1" applyFill="1" applyBorder="1" applyAlignment="1" applyProtection="1">
      <alignment horizontal="center" vertical="center" wrapText="1"/>
      <protection locked="0"/>
    </xf>
    <xf numFmtId="167" fontId="54" fillId="19" borderId="10" xfId="0" applyFont="1" applyFill="1" applyBorder="1" applyAlignment="1" applyProtection="1">
      <alignment horizontal="center" vertical="center" wrapText="1"/>
      <protection locked="0"/>
    </xf>
    <xf numFmtId="167" fontId="54" fillId="19" borderId="21" xfId="0" applyFont="1" applyFill="1" applyBorder="1" applyAlignment="1" applyProtection="1">
      <alignment horizontal="center" vertical="center" wrapText="1"/>
      <protection locked="0"/>
    </xf>
    <xf numFmtId="0" fontId="7" fillId="0" borderId="20" xfId="0" applyNumberFormat="1" applyFont="1" applyBorder="1" applyAlignment="1" applyProtection="1">
      <alignment horizontal="left" vertical="center" wrapText="1"/>
      <protection locked="0"/>
    </xf>
    <xf numFmtId="0" fontId="7" fillId="0" borderId="10" xfId="0" applyNumberFormat="1" applyFont="1" applyBorder="1" applyAlignment="1" applyProtection="1">
      <alignment horizontal="left" vertical="center" wrapText="1"/>
      <protection locked="0"/>
    </xf>
    <xf numFmtId="0" fontId="7" fillId="0" borderId="21" xfId="0" applyNumberFormat="1" applyFont="1" applyBorder="1" applyAlignment="1" applyProtection="1">
      <alignment horizontal="left" vertical="center" wrapText="1"/>
      <protection locked="0"/>
    </xf>
    <xf numFmtId="167" fontId="35" fillId="9" borderId="28" xfId="0" applyFont="1" applyFill="1" applyBorder="1" applyAlignment="1">
      <alignment horizontal="center" vertical="center" wrapText="1"/>
    </xf>
    <xf numFmtId="167" fontId="35" fillId="9" borderId="26" xfId="0" applyFont="1" applyFill="1" applyBorder="1" applyAlignment="1">
      <alignment horizontal="center" vertical="center" wrapText="1"/>
    </xf>
    <xf numFmtId="167" fontId="35" fillId="9" borderId="29" xfId="0" applyFont="1" applyFill="1" applyBorder="1" applyAlignment="1">
      <alignment horizontal="center" vertical="center" wrapText="1"/>
    </xf>
    <xf numFmtId="167" fontId="35" fillId="9" borderId="4" xfId="0" applyFont="1" applyFill="1" applyBorder="1" applyAlignment="1">
      <alignment horizontal="center" vertical="center" wrapText="1"/>
    </xf>
    <xf numFmtId="167" fontId="9" fillId="0" borderId="20" xfId="0" applyFont="1" applyBorder="1" applyAlignment="1" applyProtection="1">
      <alignment horizontal="left" vertical="center" wrapText="1"/>
      <protection locked="0"/>
    </xf>
    <xf numFmtId="167" fontId="9" fillId="0" borderId="10" xfId="0" applyFont="1" applyBorder="1" applyAlignment="1" applyProtection="1">
      <alignment horizontal="left" vertical="center" wrapText="1"/>
      <protection locked="0"/>
    </xf>
    <xf numFmtId="167" fontId="9" fillId="0" borderId="21" xfId="0" applyFont="1" applyBorder="1" applyAlignment="1" applyProtection="1">
      <alignment horizontal="left" vertical="center" wrapText="1"/>
      <protection locked="0"/>
    </xf>
    <xf numFmtId="167" fontId="10" fillId="0" borderId="0" xfId="0" applyFont="1" applyAlignment="1" applyProtection="1">
      <alignment horizontal="center" vertical="center" wrapText="1"/>
      <protection locked="0"/>
    </xf>
    <xf numFmtId="167" fontId="10" fillId="0" borderId="61" xfId="0" applyFont="1" applyBorder="1" applyAlignment="1">
      <alignment horizontal="center" vertical="center" wrapText="1"/>
    </xf>
    <xf numFmtId="167" fontId="10" fillId="0" borderId="62" xfId="0" applyFont="1" applyBorder="1" applyAlignment="1">
      <alignment horizontal="center" vertical="center" wrapText="1"/>
    </xf>
    <xf numFmtId="167" fontId="10" fillId="0" borderId="63" xfId="0" applyFont="1" applyBorder="1" applyAlignment="1">
      <alignment horizontal="center" vertical="center" wrapText="1"/>
    </xf>
    <xf numFmtId="167" fontId="35" fillId="19" borderId="20" xfId="0" applyFont="1" applyFill="1" applyBorder="1" applyAlignment="1">
      <alignment vertical="center" wrapText="1"/>
    </xf>
    <xf numFmtId="167" fontId="35" fillId="19" borderId="10" xfId="0" applyFont="1" applyFill="1" applyBorder="1" applyAlignment="1">
      <alignment vertical="center" wrapText="1"/>
    </xf>
    <xf numFmtId="167" fontId="35" fillId="19" borderId="21" xfId="0" applyFont="1" applyFill="1" applyBorder="1" applyAlignment="1">
      <alignment vertical="center" wrapText="1"/>
    </xf>
    <xf numFmtId="43" fontId="56" fillId="19" borderId="41" xfId="0" applyNumberFormat="1" applyFont="1" applyFill="1" applyBorder="1" applyAlignment="1" applyProtection="1">
      <alignment horizontal="center" vertical="center" wrapText="1"/>
      <protection locked="0"/>
    </xf>
    <xf numFmtId="43" fontId="56" fillId="19" borderId="42" xfId="0" applyNumberFormat="1" applyFont="1" applyFill="1" applyBorder="1" applyAlignment="1" applyProtection="1">
      <alignment horizontal="center" vertical="center" wrapText="1"/>
      <protection locked="0"/>
    </xf>
    <xf numFmtId="167" fontId="8" fillId="2" borderId="13" xfId="0" applyFont="1" applyFill="1" applyBorder="1" applyAlignment="1">
      <alignment horizontal="left"/>
    </xf>
    <xf numFmtId="167" fontId="8" fillId="2" borderId="9" xfId="0" applyFont="1" applyFill="1" applyBorder="1" applyAlignment="1">
      <alignment horizontal="left"/>
    </xf>
    <xf numFmtId="167" fontId="8" fillId="2" borderId="8" xfId="0" applyFont="1" applyFill="1" applyBorder="1" applyAlignment="1">
      <alignment horizontal="left"/>
    </xf>
    <xf numFmtId="167" fontId="8" fillId="2" borderId="0" xfId="0" applyFont="1" applyFill="1" applyAlignment="1">
      <alignment horizontal="left"/>
    </xf>
    <xf numFmtId="167" fontId="8" fillId="11" borderId="20" xfId="0" applyFont="1" applyFill="1" applyBorder="1" applyAlignment="1">
      <alignment horizontal="center"/>
    </xf>
    <xf numFmtId="167" fontId="8" fillId="11" borderId="10" xfId="0" applyFont="1" applyFill="1" applyBorder="1" applyAlignment="1">
      <alignment horizontal="center"/>
    </xf>
    <xf numFmtId="167" fontId="8" fillId="11" borderId="21" xfId="0" applyFont="1" applyFill="1" applyBorder="1" applyAlignment="1">
      <alignment horizontal="center"/>
    </xf>
    <xf numFmtId="2" fontId="8" fillId="12" borderId="0" xfId="0" applyNumberFormat="1" applyFont="1" applyFill="1" applyAlignment="1">
      <alignment horizontal="center"/>
    </xf>
    <xf numFmtId="167" fontId="8" fillId="12" borderId="0" xfId="0" applyFont="1" applyFill="1" applyAlignment="1">
      <alignment horizontal="center" vertical="center"/>
    </xf>
    <xf numFmtId="167" fontId="8" fillId="17" borderId="20" xfId="0" applyFont="1" applyFill="1" applyBorder="1" applyAlignment="1">
      <alignment horizontal="center"/>
    </xf>
    <xf numFmtId="167" fontId="8" fillId="17" borderId="10" xfId="0" applyFont="1" applyFill="1" applyBorder="1" applyAlignment="1">
      <alignment horizontal="center"/>
    </xf>
    <xf numFmtId="167" fontId="8" fillId="17" borderId="21" xfId="0" applyFont="1" applyFill="1" applyBorder="1" applyAlignment="1">
      <alignment horizontal="center"/>
    </xf>
    <xf numFmtId="2" fontId="0" fillId="2" borderId="0" xfId="0" applyNumberFormat="1" applyFill="1" applyAlignment="1">
      <alignment horizontal="center" vertical="center"/>
    </xf>
    <xf numFmtId="2" fontId="0" fillId="2" borderId="9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2" fontId="0" fillId="2" borderId="68" xfId="0" applyNumberFormat="1" applyFill="1" applyBorder="1" applyAlignment="1">
      <alignment horizontal="center" vertical="center"/>
    </xf>
    <xf numFmtId="2" fontId="0" fillId="18" borderId="0" xfId="0" applyNumberFormat="1" applyFill="1" applyAlignment="1">
      <alignment horizontal="center" vertical="center"/>
    </xf>
    <xf numFmtId="2" fontId="0" fillId="18" borderId="9" xfId="0" applyNumberFormat="1" applyFill="1" applyBorder="1" applyAlignment="1">
      <alignment horizontal="center" vertical="center"/>
    </xf>
    <xf numFmtId="167" fontId="8" fillId="2" borderId="12" xfId="0" applyFont="1" applyFill="1" applyBorder="1" applyAlignment="1">
      <alignment horizontal="center"/>
    </xf>
    <xf numFmtId="167" fontId="8" fillId="2" borderId="67" xfId="0" applyFont="1" applyFill="1" applyBorder="1" applyAlignment="1">
      <alignment horizontal="center"/>
    </xf>
    <xf numFmtId="44" fontId="10" fillId="2" borderId="0" xfId="10" applyFont="1" applyFill="1" applyBorder="1" applyAlignment="1">
      <alignment horizontal="center" vertical="center"/>
    </xf>
    <xf numFmtId="44" fontId="10" fillId="2" borderId="1" xfId="10" applyFont="1" applyFill="1" applyBorder="1" applyAlignment="1">
      <alignment horizontal="center" vertical="center"/>
    </xf>
    <xf numFmtId="167" fontId="9" fillId="17" borderId="20" xfId="0" applyFont="1" applyFill="1" applyBorder="1" applyAlignment="1">
      <alignment horizontal="center"/>
    </xf>
    <xf numFmtId="167" fontId="9" fillId="17" borderId="10" xfId="0" applyFont="1" applyFill="1" applyBorder="1" applyAlignment="1">
      <alignment horizontal="center"/>
    </xf>
    <xf numFmtId="167" fontId="9" fillId="17" borderId="21" xfId="0" applyFont="1" applyFill="1" applyBorder="1" applyAlignment="1">
      <alignment horizontal="center"/>
    </xf>
    <xf numFmtId="167" fontId="0" fillId="0" borderId="0" xfId="0" applyAlignment="1">
      <alignment horizontal="center" vertical="center"/>
    </xf>
    <xf numFmtId="167" fontId="0" fillId="0" borderId="9" xfId="0" applyBorder="1" applyAlignment="1">
      <alignment horizontal="center" vertical="center"/>
    </xf>
    <xf numFmtId="167" fontId="0" fillId="0" borderId="1" xfId="0" applyBorder="1" applyAlignment="1">
      <alignment horizontal="center" vertical="center"/>
    </xf>
    <xf numFmtId="167" fontId="0" fillId="0" borderId="68" xfId="0" applyBorder="1" applyAlignment="1">
      <alignment horizontal="center" vertical="center"/>
    </xf>
    <xf numFmtId="167" fontId="53" fillId="0" borderId="12" xfId="0" applyFont="1" applyBorder="1" applyAlignment="1">
      <alignment horizontal="left"/>
    </xf>
    <xf numFmtId="167" fontId="53" fillId="0" borderId="67" xfId="0" applyFont="1" applyBorder="1" applyAlignment="1">
      <alignment horizontal="left"/>
    </xf>
    <xf numFmtId="167" fontId="51" fillId="2" borderId="0" xfId="0" applyFont="1" applyFill="1" applyAlignment="1">
      <alignment horizontal="center"/>
    </xf>
    <xf numFmtId="167" fontId="51" fillId="2" borderId="8" xfId="0" applyFont="1" applyFill="1" applyBorder="1" applyAlignment="1">
      <alignment horizontal="center"/>
    </xf>
    <xf numFmtId="167" fontId="50" fillId="2" borderId="8" xfId="0" applyFont="1" applyFill="1" applyBorder="1" applyAlignment="1">
      <alignment horizontal="center"/>
    </xf>
    <xf numFmtId="167" fontId="50" fillId="2" borderId="0" xfId="0" applyFont="1" applyFill="1" applyAlignment="1">
      <alignment horizontal="center"/>
    </xf>
    <xf numFmtId="167" fontId="8" fillId="2" borderId="9" xfId="0" applyFont="1" applyFill="1" applyBorder="1" applyAlignment="1">
      <alignment horizontal="center" vertical="center"/>
    </xf>
    <xf numFmtId="167" fontId="8" fillId="2" borderId="68" xfId="0" applyFont="1" applyFill="1" applyBorder="1" applyAlignment="1">
      <alignment horizontal="center" vertical="center"/>
    </xf>
    <xf numFmtId="167" fontId="10" fillId="0" borderId="0" xfId="0" applyFont="1" applyAlignment="1">
      <alignment horizontal="left" vertical="center"/>
    </xf>
    <xf numFmtId="167" fontId="0" fillId="0" borderId="0" xfId="0" applyAlignment="1">
      <alignment horizontal="center"/>
    </xf>
    <xf numFmtId="167" fontId="10" fillId="0" borderId="43" xfId="0" applyFont="1" applyBorder="1" applyAlignment="1">
      <alignment horizontal="left" vertical="center"/>
    </xf>
    <xf numFmtId="167" fontId="10" fillId="0" borderId="46" xfId="0" applyFont="1" applyBorder="1" applyAlignment="1">
      <alignment horizontal="left" vertical="center"/>
    </xf>
    <xf numFmtId="0" fontId="10" fillId="0" borderId="0" xfId="0" applyNumberFormat="1" applyFont="1" applyAlignment="1">
      <alignment horizontal="center"/>
    </xf>
    <xf numFmtId="0" fontId="0" fillId="0" borderId="0" xfId="0" applyNumberFormat="1" applyAlignment="1">
      <alignment horizontal="center"/>
    </xf>
    <xf numFmtId="167" fontId="10" fillId="0" borderId="0" xfId="0" applyFont="1"/>
    <xf numFmtId="0" fontId="26" fillId="3" borderId="4" xfId="8" applyFont="1" applyFill="1" applyBorder="1" applyAlignment="1">
      <alignment horizontal="center" vertical="center"/>
    </xf>
    <xf numFmtId="0" fontId="26" fillId="0" borderId="0" xfId="8" applyFont="1" applyAlignment="1">
      <alignment horizontal="center" vertical="center"/>
    </xf>
    <xf numFmtId="0" fontId="24" fillId="0" borderId="0" xfId="8" applyFont="1" applyAlignment="1">
      <alignment horizontal="center" vertical="center"/>
    </xf>
    <xf numFmtId="0" fontId="24" fillId="0" borderId="16" xfId="8" applyFont="1" applyBorder="1" applyAlignment="1">
      <alignment horizontal="center" vertical="center"/>
    </xf>
    <xf numFmtId="0" fontId="25" fillId="0" borderId="0" xfId="8" applyFont="1" applyAlignment="1">
      <alignment horizontal="center" vertical="center"/>
    </xf>
    <xf numFmtId="0" fontId="26" fillId="3" borderId="4" xfId="8" applyFont="1" applyFill="1" applyBorder="1" applyAlignment="1">
      <alignment horizontal="center" vertical="center" wrapText="1"/>
    </xf>
    <xf numFmtId="0" fontId="26" fillId="4" borderId="4" xfId="8" applyFont="1" applyFill="1" applyBorder="1" applyAlignment="1">
      <alignment horizontal="center" vertical="center"/>
    </xf>
    <xf numFmtId="0" fontId="24" fillId="5" borderId="31" xfId="8" applyFont="1" applyFill="1" applyBorder="1" applyAlignment="1">
      <alignment horizontal="left" vertical="top" wrapText="1"/>
    </xf>
    <xf numFmtId="0" fontId="24" fillId="5" borderId="15" xfId="8" applyFont="1" applyFill="1" applyBorder="1" applyAlignment="1">
      <alignment horizontal="left" vertical="top" wrapText="1"/>
    </xf>
    <xf numFmtId="0" fontId="24" fillId="5" borderId="32" xfId="8" applyFont="1" applyFill="1" applyBorder="1" applyAlignment="1">
      <alignment horizontal="left" vertical="top" wrapText="1"/>
    </xf>
    <xf numFmtId="0" fontId="24" fillId="5" borderId="33" xfId="8" applyFont="1" applyFill="1" applyBorder="1" applyAlignment="1">
      <alignment horizontal="left" vertical="top" wrapText="1"/>
    </xf>
    <xf numFmtId="0" fontId="24" fillId="5" borderId="16" xfId="8" applyFont="1" applyFill="1" applyBorder="1" applyAlignment="1">
      <alignment horizontal="left" vertical="top" wrapText="1"/>
    </xf>
    <xf numFmtId="0" fontId="24" fillId="5" borderId="2" xfId="8" applyFont="1" applyFill="1" applyBorder="1" applyAlignment="1">
      <alignment horizontal="left" vertical="top" wrapText="1"/>
    </xf>
    <xf numFmtId="0" fontId="26" fillId="3" borderId="28" xfId="8" applyFont="1" applyFill="1" applyBorder="1" applyAlignment="1">
      <alignment horizontal="center" vertical="center"/>
    </xf>
    <xf numFmtId="0" fontId="26" fillId="3" borderId="26" xfId="8" applyFont="1" applyFill="1" applyBorder="1" applyAlignment="1">
      <alignment horizontal="center" vertical="center"/>
    </xf>
    <xf numFmtId="0" fontId="26" fillId="3" borderId="29" xfId="8" applyFont="1" applyFill="1" applyBorder="1" applyAlignment="1">
      <alignment horizontal="center" vertical="center"/>
    </xf>
    <xf numFmtId="169" fontId="24" fillId="0" borderId="0" xfId="8" applyNumberFormat="1" applyFont="1" applyAlignment="1">
      <alignment horizontal="right" vertical="center"/>
    </xf>
    <xf numFmtId="0" fontId="26" fillId="3" borderId="38" xfId="8" applyFont="1" applyFill="1" applyBorder="1" applyAlignment="1">
      <alignment horizontal="center" vertical="center" wrapText="1"/>
    </xf>
    <xf numFmtId="0" fontId="26" fillId="3" borderId="37" xfId="8" applyFont="1" applyFill="1" applyBorder="1" applyAlignment="1">
      <alignment horizontal="center" vertical="center" wrapText="1"/>
    </xf>
    <xf numFmtId="0" fontId="26" fillId="3" borderId="39" xfId="8" applyFont="1" applyFill="1" applyBorder="1" applyAlignment="1">
      <alignment horizontal="center" vertical="center" wrapText="1"/>
    </xf>
    <xf numFmtId="0" fontId="26" fillId="3" borderId="34" xfId="8" applyFont="1" applyFill="1" applyBorder="1" applyAlignment="1">
      <alignment horizontal="center" vertical="center" wrapText="1"/>
    </xf>
  </cellXfs>
  <cellStyles count="19">
    <cellStyle name="Estilo 1" xfId="1" xr:uid="{00000000-0005-0000-0000-000000000000}"/>
    <cellStyle name="Moeda" xfId="10" builtinId="4"/>
    <cellStyle name="Moeda 2" xfId="2" xr:uid="{00000000-0005-0000-0000-000002000000}"/>
    <cellStyle name="Moeda 3" xfId="3" xr:uid="{00000000-0005-0000-0000-000003000000}"/>
    <cellStyle name="Normal" xfId="0" builtinId="0"/>
    <cellStyle name="Normal 2" xfId="4" xr:uid="{00000000-0005-0000-0000-000005000000}"/>
    <cellStyle name="Normal 2 2" xfId="18" xr:uid="{00000000-0005-0000-0000-000006000000}"/>
    <cellStyle name="Normal 3" xfId="7" xr:uid="{00000000-0005-0000-0000-000007000000}"/>
    <cellStyle name="Normal 4" xfId="8" xr:uid="{00000000-0005-0000-0000-000008000000}"/>
    <cellStyle name="Normal 4 2" xfId="9" xr:uid="{00000000-0005-0000-0000-000009000000}"/>
    <cellStyle name="Normal 5" xfId="13" xr:uid="{00000000-0005-0000-0000-00000A000000}"/>
    <cellStyle name="Porcentagem" xfId="6" builtinId="5"/>
    <cellStyle name="Porcentagem 2" xfId="15" xr:uid="{00000000-0005-0000-0000-00000C000000}"/>
    <cellStyle name="Separador de milhares 2" xfId="5" xr:uid="{00000000-0005-0000-0000-00000D000000}"/>
    <cellStyle name="Separador de milhares 2 2" xfId="14" xr:uid="{00000000-0005-0000-0000-00000E000000}"/>
    <cellStyle name="Vírgula" xfId="17" builtinId="3"/>
    <cellStyle name="Vírgula 2" xfId="16" xr:uid="{00000000-0005-0000-0000-000010000000}"/>
    <cellStyle name="Vírgula 2 2 2" xfId="12" xr:uid="{00000000-0005-0000-0000-000011000000}"/>
    <cellStyle name="Vírgula 4" xfId="11" xr:uid="{00000000-0005-0000-0000-000012000000}"/>
  </cellStyles>
  <dxfs count="6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>
    <mruColors>
      <color rgb="FFE7FB2D"/>
      <color rgb="FFFFFF99"/>
      <color rgb="FFFF5050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trlProps/ctrlProp1.xml><?xml version="1.0" encoding="utf-8"?>
<formControlPr xmlns="http://schemas.microsoft.com/office/spreadsheetml/2009/9/main" objectType="CheckBox" fmlaLink="$H$32" lockText="1" noThreeD="1"/>
</file>

<file path=xl/ctrlProps/ctrlProp2.xml><?xml version="1.0" encoding="utf-8"?>
<formControlPr xmlns="http://schemas.microsoft.com/office/spreadsheetml/2009/9/main" objectType="CheckBox" fmlaLink="$H$26" lockText="1" noThreeD="1"/>
</file>

<file path=xl/ctrlProps/ctrlProp3.xml><?xml version="1.0" encoding="utf-8"?>
<formControlPr xmlns="http://schemas.microsoft.com/office/spreadsheetml/2009/9/main" objectType="CheckBox" fmlaLink="$I$26" lockText="1" noThreeD="1"/>
</file>

<file path=xl/ctrlProps/ctrlProp4.xml><?xml version="1.0" encoding="utf-8"?>
<formControlPr xmlns="http://schemas.microsoft.com/office/spreadsheetml/2009/9/main" objectType="CheckBox" fmlaLink="$J$26" lockText="1" noThreeD="1"/>
</file>

<file path=xl/ctrlProps/ctrlProp5.xml><?xml version="1.0" encoding="utf-8"?>
<formControlPr xmlns="http://schemas.microsoft.com/office/spreadsheetml/2009/9/main" objectType="CheckBox" fmlaLink="$K$26" lockText="1" noThreeD="1"/>
</file>

<file path=xl/ctrlProps/ctrlProp6.xml><?xml version="1.0" encoding="utf-8"?>
<formControlPr xmlns="http://schemas.microsoft.com/office/spreadsheetml/2009/9/main" objectType="CheckBox" fmlaLink="$L$26" lockText="1" noThreeD="1"/>
</file>

<file path=xl/ctrlProps/ctrlProp7.xml><?xml version="1.0" encoding="utf-8"?>
<formControlPr xmlns="http://schemas.microsoft.com/office/spreadsheetml/2009/9/main" objectType="CheckBox" fmlaLink="$I$32" lockText="1" noThreeD="1"/>
</file>

<file path=xl/ctrlProps/ctrlProp8.xml><?xml version="1.0" encoding="utf-8"?>
<formControlPr xmlns="http://schemas.microsoft.com/office/spreadsheetml/2009/9/main" objectType="CheckBox" fmlaLink="$H$32" lockText="1" noThreeD="1"/>
</file>

<file path=xl/ctrlProps/ctrlProp9.xml><?xml version="1.0" encoding="utf-8"?>
<formControlPr xmlns="http://schemas.microsoft.com/office/spreadsheetml/2009/9/main" objectType="CheckBox" fmlaLink="$H$26" lockText="1" noThreeD="1"/>
</file>

<file path=xl/ctrlProps/ctrlProp10.xml><?xml version="1.0" encoding="utf-8"?>
<formControlPr xmlns="http://schemas.microsoft.com/office/spreadsheetml/2009/9/main" objectType="CheckBox" fmlaLink="$I$26" lockText="1" noThreeD="1"/>
</file>

<file path=xl/ctrlProps/ctrlProp11.xml><?xml version="1.0" encoding="utf-8"?>
<formControlPr xmlns="http://schemas.microsoft.com/office/spreadsheetml/2009/9/main" objectType="CheckBox" fmlaLink="$J$26" lockText="1" noThreeD="1"/>
</file>

<file path=xl/ctrlProps/ctrlProp12.xml><?xml version="1.0" encoding="utf-8"?>
<formControlPr xmlns="http://schemas.microsoft.com/office/spreadsheetml/2009/9/main" objectType="CheckBox" fmlaLink="$K$26" lockText="1" noThreeD="1"/>
</file>

<file path=xl/ctrlProps/ctrlProp13.xml><?xml version="1.0" encoding="utf-8"?>
<formControlPr xmlns="http://schemas.microsoft.com/office/spreadsheetml/2009/9/main" objectType="CheckBox" fmlaLink="$L$26" lockText="1" noThreeD="1"/>
</file>

<file path=xl/ctrlProps/ctrlProp14.xml><?xml version="1.0" encoding="utf-8"?>
<formControlPr xmlns="http://schemas.microsoft.com/office/spreadsheetml/2009/9/main" objectType="CheckBox" fmlaLink="$I$32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695325</xdr:colOff>
      <xdr:row>1</xdr:row>
      <xdr:rowOff>76200</xdr:rowOff>
    </xdr:from>
    <xdr:to>
      <xdr:col>2</xdr:col>
      <xdr:colOff>695325</xdr:colOff>
      <xdr:row>1</xdr:row>
      <xdr:rowOff>995362</xdr:rowOff>
    </xdr:to>
    <xdr:pic>
      <xdr:nvPicPr>
        <xdr:cNvPr id="2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66900" y="1524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695325</xdr:colOff>
      <xdr:row>1</xdr:row>
      <xdr:rowOff>76200</xdr:rowOff>
    </xdr:from>
    <xdr:to>
      <xdr:col>2</xdr:col>
      <xdr:colOff>695325</xdr:colOff>
      <xdr:row>1</xdr:row>
      <xdr:rowOff>995362</xdr:rowOff>
    </xdr:to>
    <xdr:pic>
      <xdr:nvPicPr>
        <xdr:cNvPr id="3" name="Picture 9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66900" y="1524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695325</xdr:colOff>
      <xdr:row>1</xdr:row>
      <xdr:rowOff>76200</xdr:rowOff>
    </xdr:from>
    <xdr:to>
      <xdr:col>2</xdr:col>
      <xdr:colOff>695325</xdr:colOff>
      <xdr:row>1</xdr:row>
      <xdr:rowOff>995362</xdr:rowOff>
    </xdr:to>
    <xdr:pic>
      <xdr:nvPicPr>
        <xdr:cNvPr id="4" name="Picture 9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66900" y="1524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695325</xdr:colOff>
      <xdr:row>1</xdr:row>
      <xdr:rowOff>76200</xdr:rowOff>
    </xdr:from>
    <xdr:to>
      <xdr:col>2</xdr:col>
      <xdr:colOff>695325</xdr:colOff>
      <xdr:row>1</xdr:row>
      <xdr:rowOff>809625</xdr:rowOff>
    </xdr:to>
    <xdr:pic>
      <xdr:nvPicPr>
        <xdr:cNvPr id="5" name="Picture 9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66900" y="152400"/>
          <a:ext cx="0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61532</xdr:colOff>
      <xdr:row>1</xdr:row>
      <xdr:rowOff>72839</xdr:rowOff>
    </xdr:from>
    <xdr:to>
      <xdr:col>14</xdr:col>
      <xdr:colOff>1543656</xdr:colOff>
      <xdr:row>1</xdr:row>
      <xdr:rowOff>1387929</xdr:rowOff>
    </xdr:to>
    <xdr:pic>
      <xdr:nvPicPr>
        <xdr:cNvPr id="6" name="Picture 9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5987"/>
        <a:stretch/>
      </xdr:blipFill>
      <xdr:spPr bwMode="auto">
        <a:xfrm>
          <a:off x="197603" y="249732"/>
          <a:ext cx="13477576" cy="13150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80603</xdr:colOff>
      <xdr:row>30</xdr:row>
      <xdr:rowOff>216380</xdr:rowOff>
    </xdr:from>
    <xdr:to>
      <xdr:col>14</xdr:col>
      <xdr:colOff>228921</xdr:colOff>
      <xdr:row>30</xdr:row>
      <xdr:rowOff>367199</xdr:rowOff>
    </xdr:to>
    <xdr:pic>
      <xdr:nvPicPr>
        <xdr:cNvPr id="8" name="Imagem 7" descr="Novidade no WhatsApp: editor de figurinhas para melhorar comunicação. -  PORTAL FEDERAL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4960" y="8992987"/>
          <a:ext cx="148318" cy="1508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2485066</xdr:colOff>
      <xdr:row>3</xdr:row>
      <xdr:rowOff>1352710</xdr:rowOff>
    </xdr:from>
    <xdr:to>
      <xdr:col>2</xdr:col>
      <xdr:colOff>2693715</xdr:colOff>
      <xdr:row>3</xdr:row>
      <xdr:rowOff>1559656</xdr:rowOff>
    </xdr:to>
    <xdr:pic>
      <xdr:nvPicPr>
        <xdr:cNvPr id="9" name="Imagem 8" descr="Instagram - ícones de social grátis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61684" y="3224092"/>
          <a:ext cx="208649" cy="2069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504825</xdr:colOff>
          <xdr:row>31</xdr:row>
          <xdr:rowOff>0</xdr:rowOff>
        </xdr:from>
        <xdr:to>
          <xdr:col>7</xdr:col>
          <xdr:colOff>809625</xdr:colOff>
          <xdr:row>32</xdr:row>
          <xdr:rowOff>0</xdr:rowOff>
        </xdr:to>
        <xdr:sp macro="" textlink="">
          <xdr:nvSpPr>
            <xdr:cNvPr id="27649" name="Check Box 1" hidden="1">
              <a:extLst>
                <a:ext uri="{63B3BB69-23CF-44E3-9099-C40C66FF867C}">
                  <a14:compatExt spid="_x0000_s27649"/>
                </a:ext>
                <a:ext uri="{FF2B5EF4-FFF2-40B4-BE49-F238E27FC236}">
                  <a16:creationId xmlns:a16="http://schemas.microsoft.com/office/drawing/2014/main" id="{00000000-0008-0000-0D00-000001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</xdr:colOff>
          <xdr:row>25</xdr:row>
          <xdr:rowOff>0</xdr:rowOff>
        </xdr:from>
        <xdr:to>
          <xdr:col>7</xdr:col>
          <xdr:colOff>1181100</xdr:colOff>
          <xdr:row>26</xdr:row>
          <xdr:rowOff>0</xdr:rowOff>
        </xdr:to>
        <xdr:sp macro="" textlink="">
          <xdr:nvSpPr>
            <xdr:cNvPr id="27650" name="Check Box 2" hidden="1">
              <a:extLst>
                <a:ext uri="{63B3BB69-23CF-44E3-9099-C40C66FF867C}">
                  <a14:compatExt spid="_x0000_s27650"/>
                </a:ext>
                <a:ext uri="{FF2B5EF4-FFF2-40B4-BE49-F238E27FC236}">
                  <a16:creationId xmlns:a16="http://schemas.microsoft.com/office/drawing/2014/main" id="{00000000-0008-0000-0D00-000002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Véiculo próprio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25</xdr:row>
          <xdr:rowOff>0</xdr:rowOff>
        </xdr:from>
        <xdr:to>
          <xdr:col>8</xdr:col>
          <xdr:colOff>1181100</xdr:colOff>
          <xdr:row>26</xdr:row>
          <xdr:rowOff>0</xdr:rowOff>
        </xdr:to>
        <xdr:sp macro="" textlink="">
          <xdr:nvSpPr>
            <xdr:cNvPr id="27651" name="Check Box 3" hidden="1">
              <a:extLst>
                <a:ext uri="{63B3BB69-23CF-44E3-9099-C40C66FF867C}">
                  <a14:compatExt spid="_x0000_s27651"/>
                </a:ext>
                <a:ext uri="{FF2B5EF4-FFF2-40B4-BE49-F238E27FC236}">
                  <a16:creationId xmlns:a16="http://schemas.microsoft.com/office/drawing/2014/main" id="{00000000-0008-0000-0D00-000003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Alugado - Básico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25</xdr:row>
          <xdr:rowOff>0</xdr:rowOff>
        </xdr:from>
        <xdr:to>
          <xdr:col>9</xdr:col>
          <xdr:colOff>1181100</xdr:colOff>
          <xdr:row>26</xdr:row>
          <xdr:rowOff>0</xdr:rowOff>
        </xdr:to>
        <xdr:sp macro="" textlink="">
          <xdr:nvSpPr>
            <xdr:cNvPr id="27652" name="Check Box 4" hidden="1">
              <a:extLst>
                <a:ext uri="{63B3BB69-23CF-44E3-9099-C40C66FF867C}">
                  <a14:compatExt spid="_x0000_s27652"/>
                </a:ext>
                <a:ext uri="{FF2B5EF4-FFF2-40B4-BE49-F238E27FC236}">
                  <a16:creationId xmlns:a16="http://schemas.microsoft.com/office/drawing/2014/main" id="{00000000-0008-0000-0D00-000004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Alugado - Completo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9525</xdr:colOff>
          <xdr:row>25</xdr:row>
          <xdr:rowOff>0</xdr:rowOff>
        </xdr:from>
        <xdr:to>
          <xdr:col>10</xdr:col>
          <xdr:colOff>1181100</xdr:colOff>
          <xdr:row>26</xdr:row>
          <xdr:rowOff>0</xdr:rowOff>
        </xdr:to>
        <xdr:sp macro="" textlink="">
          <xdr:nvSpPr>
            <xdr:cNvPr id="27653" name="Check Box 5" hidden="1">
              <a:extLst>
                <a:ext uri="{63B3BB69-23CF-44E3-9099-C40C66FF867C}">
                  <a14:compatExt spid="_x0000_s27653"/>
                </a:ext>
                <a:ext uri="{FF2B5EF4-FFF2-40B4-BE49-F238E27FC236}">
                  <a16:creationId xmlns:a16="http://schemas.microsoft.com/office/drawing/2014/main" id="{00000000-0008-0000-0D00-000005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Estacionamento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25</xdr:row>
          <xdr:rowOff>0</xdr:rowOff>
        </xdr:from>
        <xdr:to>
          <xdr:col>11</xdr:col>
          <xdr:colOff>1181100</xdr:colOff>
          <xdr:row>26</xdr:row>
          <xdr:rowOff>0</xdr:rowOff>
        </xdr:to>
        <xdr:sp macro="" textlink="">
          <xdr:nvSpPr>
            <xdr:cNvPr id="27654" name="Check Box 6" hidden="1">
              <a:extLst>
                <a:ext uri="{63B3BB69-23CF-44E3-9099-C40C66FF867C}">
                  <a14:compatExt spid="_x0000_s27654"/>
                </a:ext>
                <a:ext uri="{FF2B5EF4-FFF2-40B4-BE49-F238E27FC236}">
                  <a16:creationId xmlns:a16="http://schemas.microsoft.com/office/drawing/2014/main" id="{00000000-0008-0000-0D00-000006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Aéreo (Qtd de desl.)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542925</xdr:colOff>
          <xdr:row>31</xdr:row>
          <xdr:rowOff>9525</xdr:rowOff>
        </xdr:from>
        <xdr:to>
          <xdr:col>8</xdr:col>
          <xdr:colOff>847725</xdr:colOff>
          <xdr:row>32</xdr:row>
          <xdr:rowOff>9525</xdr:rowOff>
        </xdr:to>
        <xdr:sp macro="" textlink="">
          <xdr:nvSpPr>
            <xdr:cNvPr id="27655" name="Check Box 7" hidden="1">
              <a:extLst>
                <a:ext uri="{63B3BB69-23CF-44E3-9099-C40C66FF867C}">
                  <a14:compatExt spid="_x0000_s27655"/>
                </a:ext>
                <a:ext uri="{FF2B5EF4-FFF2-40B4-BE49-F238E27FC236}">
                  <a16:creationId xmlns:a16="http://schemas.microsoft.com/office/drawing/2014/main" id="{00000000-0008-0000-0D00-000007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44824</xdr:colOff>
      <xdr:row>0</xdr:row>
      <xdr:rowOff>33618</xdr:rowOff>
    </xdr:from>
    <xdr:to>
      <xdr:col>1</xdr:col>
      <xdr:colOff>1019736</xdr:colOff>
      <xdr:row>3</xdr:row>
      <xdr:rowOff>212912</xdr:rowOff>
    </xdr:to>
    <xdr:pic>
      <xdr:nvPicPr>
        <xdr:cNvPr id="9" name="Imagem 12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159" b="16885"/>
        <a:stretch>
          <a:fillRect/>
        </a:stretch>
      </xdr:blipFill>
      <xdr:spPr bwMode="auto">
        <a:xfrm>
          <a:off x="44824" y="33618"/>
          <a:ext cx="2422712" cy="9222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504825</xdr:colOff>
          <xdr:row>31</xdr:row>
          <xdr:rowOff>0</xdr:rowOff>
        </xdr:from>
        <xdr:to>
          <xdr:col>7</xdr:col>
          <xdr:colOff>809625</xdr:colOff>
          <xdr:row>32</xdr:row>
          <xdr:rowOff>0</xdr:rowOff>
        </xdr:to>
        <xdr:sp macro="" textlink="">
          <xdr:nvSpPr>
            <xdr:cNvPr id="28673" name="Check Box 1" hidden="1">
              <a:extLst>
                <a:ext uri="{63B3BB69-23CF-44E3-9099-C40C66FF867C}">
                  <a14:compatExt spid="_x0000_s28673"/>
                </a:ext>
                <a:ext uri="{FF2B5EF4-FFF2-40B4-BE49-F238E27FC236}">
                  <a16:creationId xmlns:a16="http://schemas.microsoft.com/office/drawing/2014/main" id="{00000000-0008-0000-0E00-000001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</xdr:colOff>
          <xdr:row>25</xdr:row>
          <xdr:rowOff>0</xdr:rowOff>
        </xdr:from>
        <xdr:to>
          <xdr:col>7</xdr:col>
          <xdr:colOff>1181100</xdr:colOff>
          <xdr:row>26</xdr:row>
          <xdr:rowOff>0</xdr:rowOff>
        </xdr:to>
        <xdr:sp macro="" textlink="">
          <xdr:nvSpPr>
            <xdr:cNvPr id="28674" name="Check Box 2" hidden="1">
              <a:extLst>
                <a:ext uri="{63B3BB69-23CF-44E3-9099-C40C66FF867C}">
                  <a14:compatExt spid="_x0000_s28674"/>
                </a:ext>
                <a:ext uri="{FF2B5EF4-FFF2-40B4-BE49-F238E27FC236}">
                  <a16:creationId xmlns:a16="http://schemas.microsoft.com/office/drawing/2014/main" id="{00000000-0008-0000-0E00-000002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Véiculo próprio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25</xdr:row>
          <xdr:rowOff>0</xdr:rowOff>
        </xdr:from>
        <xdr:to>
          <xdr:col>8</xdr:col>
          <xdr:colOff>1181100</xdr:colOff>
          <xdr:row>26</xdr:row>
          <xdr:rowOff>0</xdr:rowOff>
        </xdr:to>
        <xdr:sp macro="" textlink="">
          <xdr:nvSpPr>
            <xdr:cNvPr id="28675" name="Check Box 3" hidden="1">
              <a:extLst>
                <a:ext uri="{63B3BB69-23CF-44E3-9099-C40C66FF867C}">
                  <a14:compatExt spid="_x0000_s28675"/>
                </a:ext>
                <a:ext uri="{FF2B5EF4-FFF2-40B4-BE49-F238E27FC236}">
                  <a16:creationId xmlns:a16="http://schemas.microsoft.com/office/drawing/2014/main" id="{00000000-0008-0000-0E00-000003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Alugado - Básico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25</xdr:row>
          <xdr:rowOff>0</xdr:rowOff>
        </xdr:from>
        <xdr:to>
          <xdr:col>9</xdr:col>
          <xdr:colOff>1181100</xdr:colOff>
          <xdr:row>26</xdr:row>
          <xdr:rowOff>0</xdr:rowOff>
        </xdr:to>
        <xdr:sp macro="" textlink="">
          <xdr:nvSpPr>
            <xdr:cNvPr id="28676" name="Check Box 4" hidden="1">
              <a:extLst>
                <a:ext uri="{63B3BB69-23CF-44E3-9099-C40C66FF867C}">
                  <a14:compatExt spid="_x0000_s28676"/>
                </a:ext>
                <a:ext uri="{FF2B5EF4-FFF2-40B4-BE49-F238E27FC236}">
                  <a16:creationId xmlns:a16="http://schemas.microsoft.com/office/drawing/2014/main" id="{00000000-0008-0000-0E00-000004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Alugado - Completo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9525</xdr:colOff>
          <xdr:row>25</xdr:row>
          <xdr:rowOff>0</xdr:rowOff>
        </xdr:from>
        <xdr:to>
          <xdr:col>10</xdr:col>
          <xdr:colOff>1181100</xdr:colOff>
          <xdr:row>26</xdr:row>
          <xdr:rowOff>0</xdr:rowOff>
        </xdr:to>
        <xdr:sp macro="" textlink="">
          <xdr:nvSpPr>
            <xdr:cNvPr id="28677" name="Check Box 5" hidden="1">
              <a:extLst>
                <a:ext uri="{63B3BB69-23CF-44E3-9099-C40C66FF867C}">
                  <a14:compatExt spid="_x0000_s28677"/>
                </a:ext>
                <a:ext uri="{FF2B5EF4-FFF2-40B4-BE49-F238E27FC236}">
                  <a16:creationId xmlns:a16="http://schemas.microsoft.com/office/drawing/2014/main" id="{00000000-0008-0000-0E00-000005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Estacionamento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25</xdr:row>
          <xdr:rowOff>0</xdr:rowOff>
        </xdr:from>
        <xdr:to>
          <xdr:col>11</xdr:col>
          <xdr:colOff>1181100</xdr:colOff>
          <xdr:row>26</xdr:row>
          <xdr:rowOff>0</xdr:rowOff>
        </xdr:to>
        <xdr:sp macro="" textlink="">
          <xdr:nvSpPr>
            <xdr:cNvPr id="28678" name="Check Box 6" hidden="1">
              <a:extLst>
                <a:ext uri="{63B3BB69-23CF-44E3-9099-C40C66FF867C}">
                  <a14:compatExt spid="_x0000_s28678"/>
                </a:ext>
                <a:ext uri="{FF2B5EF4-FFF2-40B4-BE49-F238E27FC236}">
                  <a16:creationId xmlns:a16="http://schemas.microsoft.com/office/drawing/2014/main" id="{00000000-0008-0000-0E00-000006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Aéreo (Qtd de desl.)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542925</xdr:colOff>
          <xdr:row>31</xdr:row>
          <xdr:rowOff>9525</xdr:rowOff>
        </xdr:from>
        <xdr:to>
          <xdr:col>8</xdr:col>
          <xdr:colOff>847725</xdr:colOff>
          <xdr:row>32</xdr:row>
          <xdr:rowOff>9525</xdr:rowOff>
        </xdr:to>
        <xdr:sp macro="" textlink="">
          <xdr:nvSpPr>
            <xdr:cNvPr id="28679" name="Check Box 7" hidden="1">
              <a:extLst>
                <a:ext uri="{63B3BB69-23CF-44E3-9099-C40C66FF867C}">
                  <a14:compatExt spid="_x0000_s28679"/>
                </a:ext>
                <a:ext uri="{FF2B5EF4-FFF2-40B4-BE49-F238E27FC236}">
                  <a16:creationId xmlns:a16="http://schemas.microsoft.com/office/drawing/2014/main" id="{00000000-0008-0000-0E00-000007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44824</xdr:colOff>
      <xdr:row>0</xdr:row>
      <xdr:rowOff>33618</xdr:rowOff>
    </xdr:from>
    <xdr:to>
      <xdr:col>1</xdr:col>
      <xdr:colOff>1019736</xdr:colOff>
      <xdr:row>3</xdr:row>
      <xdr:rowOff>212912</xdr:rowOff>
    </xdr:to>
    <xdr:pic>
      <xdr:nvPicPr>
        <xdr:cNvPr id="9" name="Imagem 12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159" b="16885"/>
        <a:stretch>
          <a:fillRect/>
        </a:stretch>
      </xdr:blipFill>
      <xdr:spPr bwMode="auto">
        <a:xfrm>
          <a:off x="44824" y="33618"/>
          <a:ext cx="2422712" cy="9222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1" Type="http://schemas.openxmlformats.org/officeDocument/2006/relationships/comments" Target="../comments1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2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1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10.xml"/><Relationship Id="rId11" Type="http://schemas.openxmlformats.org/officeDocument/2006/relationships/comments" Target="../comments2.xml"/><Relationship Id="rId5" Type="http://schemas.openxmlformats.org/officeDocument/2006/relationships/ctrlProp" Target="../ctrlProps/ctrlProp9.xml"/><Relationship Id="rId10" Type="http://schemas.openxmlformats.org/officeDocument/2006/relationships/ctrlProp" Target="../ctrlProps/ctrlProp14.xml"/><Relationship Id="rId4" Type="http://schemas.openxmlformats.org/officeDocument/2006/relationships/ctrlProp" Target="../ctrlProps/ctrlProp8.xml"/><Relationship Id="rId9" Type="http://schemas.openxmlformats.org/officeDocument/2006/relationships/ctrlProp" Target="../ctrlProps/ctrlProp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K95"/>
  <sheetViews>
    <sheetView showGridLines="0" tabSelected="1" topLeftCell="A17" zoomScale="90" zoomScaleNormal="90" zoomScaleSheetLayoutView="70" workbookViewId="0">
      <selection activeCell="N32" sqref="N32"/>
    </sheetView>
  </sheetViews>
  <sheetFormatPr defaultColWidth="9.140625" defaultRowHeight="12.75" outlineLevelCol="1"/>
  <cols>
    <col min="1" max="1" width="2" style="171" customWidth="1"/>
    <col min="2" max="2" width="15.5703125" style="171" bestFit="1" customWidth="1"/>
    <col min="3" max="3" width="87.28515625" style="171" customWidth="1"/>
    <col min="4" max="4" width="12.7109375" style="171" customWidth="1"/>
    <col min="5" max="5" width="12.7109375" style="229" customWidth="1"/>
    <col min="6" max="6" width="24" style="171" hidden="1" customWidth="1" outlineLevel="1"/>
    <col min="7" max="7" width="24.5703125" style="171" hidden="1" customWidth="1" outlineLevel="1"/>
    <col min="8" max="9" width="33.28515625" style="171" hidden="1" customWidth="1" outlineLevel="1"/>
    <col min="10" max="10" width="24.5703125" style="171" hidden="1" customWidth="1" outlineLevel="1"/>
    <col min="11" max="11" width="21.5703125" style="171" hidden="1" customWidth="1" outlineLevel="1"/>
    <col min="12" max="12" width="17.140625" style="171" hidden="1" customWidth="1" outlineLevel="1"/>
    <col min="13" max="13" width="24.5703125" style="171" customWidth="1" outlineLevel="1"/>
    <col min="14" max="14" width="27.140625" style="171" customWidth="1" outlineLevel="1"/>
    <col min="15" max="15" width="24.5703125" style="171" customWidth="1" outlineLevel="1"/>
    <col min="16" max="16" width="2.5703125" style="171" customWidth="1"/>
    <col min="17" max="18" width="27.28515625" style="171" bestFit="1" customWidth="1"/>
    <col min="19" max="19" width="26.42578125" style="171" bestFit="1" customWidth="1"/>
    <col min="20" max="20" width="21.140625" style="171" bestFit="1" customWidth="1"/>
    <col min="21" max="21" width="18.28515625" style="171" customWidth="1"/>
    <col min="22" max="22" width="23" style="171" hidden="1" customWidth="1"/>
    <col min="23" max="23" width="17.140625" style="171" hidden="1" customWidth="1"/>
    <col min="24" max="24" width="13" style="171" bestFit="1" customWidth="1"/>
    <col min="25" max="31" width="18.7109375" style="171" customWidth="1"/>
    <col min="32" max="33" width="9.140625" style="171"/>
    <col min="34" max="34" width="12" style="171" bestFit="1" customWidth="1"/>
    <col min="35" max="35" width="12.7109375" style="171" bestFit="1" customWidth="1"/>
    <col min="36" max="36" width="12.28515625" style="171" bestFit="1" customWidth="1"/>
    <col min="37" max="37" width="15.28515625" style="171" bestFit="1" customWidth="1"/>
    <col min="38" max="16384" width="9.140625" style="171"/>
  </cols>
  <sheetData>
    <row r="1" spans="1:37" ht="13.5" thickBot="1">
      <c r="A1" s="170"/>
      <c r="B1" s="390"/>
      <c r="C1" s="390"/>
      <c r="D1" s="390"/>
      <c r="E1" s="390"/>
      <c r="Q1" s="170"/>
    </row>
    <row r="2" spans="1:37" ht="115.5" customHeight="1" thickBot="1">
      <c r="B2" s="391"/>
      <c r="C2" s="392"/>
      <c r="D2" s="392"/>
      <c r="E2" s="392"/>
      <c r="F2" s="392"/>
      <c r="G2" s="392"/>
      <c r="H2" s="392"/>
      <c r="I2" s="392"/>
      <c r="J2" s="392"/>
      <c r="K2" s="392"/>
      <c r="L2" s="392"/>
      <c r="M2" s="392"/>
      <c r="N2" s="392"/>
      <c r="O2" s="393"/>
      <c r="P2" s="172"/>
      <c r="Q2" s="173"/>
    </row>
    <row r="3" spans="1:37" s="174" customFormat="1" ht="18.75" customHeight="1" thickBot="1">
      <c r="A3" s="171"/>
      <c r="B3" s="394" t="s">
        <v>108</v>
      </c>
      <c r="C3" s="395"/>
      <c r="D3" s="395"/>
      <c r="E3" s="395"/>
      <c r="F3" s="395"/>
      <c r="G3" s="395"/>
      <c r="H3" s="395"/>
      <c r="I3" s="395"/>
      <c r="J3" s="395"/>
      <c r="K3" s="395"/>
      <c r="L3" s="395"/>
      <c r="M3" s="395"/>
      <c r="N3" s="395"/>
      <c r="O3" s="396"/>
      <c r="P3" s="237"/>
      <c r="Q3" s="376" t="s">
        <v>91</v>
      </c>
      <c r="R3" s="376"/>
      <c r="S3" s="376"/>
      <c r="T3" s="376"/>
      <c r="U3" s="376"/>
      <c r="V3" s="376"/>
      <c r="W3" s="376"/>
      <c r="Y3" s="376" t="s">
        <v>92</v>
      </c>
      <c r="Z3" s="376"/>
      <c r="AA3" s="376"/>
      <c r="AB3" s="376"/>
      <c r="AC3" s="376"/>
      <c r="AD3" s="376"/>
      <c r="AE3" s="376"/>
    </row>
    <row r="4" spans="1:37" ht="132" customHeight="1" thickBot="1">
      <c r="B4" s="380" t="s">
        <v>393</v>
      </c>
      <c r="C4" s="381"/>
      <c r="D4" s="381"/>
      <c r="E4" s="381"/>
      <c r="F4" s="381"/>
      <c r="G4" s="381"/>
      <c r="H4" s="381"/>
      <c r="I4" s="381"/>
      <c r="J4" s="381"/>
      <c r="K4" s="381"/>
      <c r="L4" s="381"/>
      <c r="M4" s="381"/>
      <c r="N4" s="381"/>
      <c r="O4" s="382"/>
      <c r="P4" s="175"/>
      <c r="Q4" s="159" t="s">
        <v>93</v>
      </c>
      <c r="S4" s="159" t="s">
        <v>94</v>
      </c>
      <c r="Y4" s="159" t="s">
        <v>93</v>
      </c>
      <c r="AA4" s="159" t="s">
        <v>94</v>
      </c>
    </row>
    <row r="5" spans="1:37" ht="16.5" thickBot="1">
      <c r="B5" s="167"/>
      <c r="C5" s="167"/>
      <c r="D5" s="167"/>
      <c r="E5" s="226"/>
      <c r="F5" s="167"/>
      <c r="G5" s="167"/>
      <c r="H5" s="167"/>
      <c r="I5" s="167"/>
      <c r="J5" s="167"/>
      <c r="K5" s="167"/>
      <c r="L5" s="167"/>
      <c r="M5" s="167"/>
      <c r="N5" s="167"/>
      <c r="O5" s="167"/>
      <c r="P5" s="175"/>
      <c r="Q5" s="159"/>
      <c r="S5" s="159"/>
      <c r="Y5" s="159"/>
      <c r="AA5" s="159"/>
    </row>
    <row r="6" spans="1:37" ht="18.75" thickBot="1">
      <c r="B6" s="387" t="s">
        <v>392</v>
      </c>
      <c r="C6" s="388"/>
      <c r="D6" s="388"/>
      <c r="E6" s="388"/>
      <c r="F6" s="388"/>
      <c r="G6" s="388"/>
      <c r="H6" s="388"/>
      <c r="I6" s="388"/>
      <c r="J6" s="388"/>
      <c r="K6" s="388"/>
      <c r="L6" s="388"/>
      <c r="M6" s="388"/>
      <c r="N6" s="388"/>
      <c r="O6" s="389"/>
      <c r="P6" s="176"/>
      <c r="Q6" s="162">
        <v>0.35</v>
      </c>
      <c r="R6" s="163"/>
      <c r="S6" s="162">
        <v>0.15</v>
      </c>
      <c r="T6" s="164"/>
      <c r="U6" s="164"/>
      <c r="V6" s="164"/>
      <c r="W6" s="164"/>
      <c r="Y6" s="162">
        <v>0.35</v>
      </c>
      <c r="Z6" s="163"/>
      <c r="AA6" s="162">
        <v>0.13</v>
      </c>
      <c r="AB6" s="164"/>
      <c r="AC6" s="164"/>
      <c r="AD6" s="164"/>
      <c r="AE6" s="164"/>
    </row>
    <row r="7" spans="1:37" s="174" customFormat="1" ht="18" hidden="1">
      <c r="A7" s="171"/>
      <c r="B7" s="177"/>
      <c r="C7" s="178"/>
      <c r="D7" s="179"/>
      <c r="E7" s="227"/>
      <c r="F7" s="180"/>
      <c r="G7" s="181"/>
      <c r="H7" s="181"/>
      <c r="I7" s="181"/>
      <c r="J7" s="181"/>
      <c r="K7" s="181"/>
      <c r="L7" s="181"/>
      <c r="M7" s="181"/>
      <c r="N7" s="181"/>
      <c r="O7" s="182"/>
      <c r="P7" s="183"/>
      <c r="Q7" s="383" t="s">
        <v>3</v>
      </c>
      <c r="R7" s="384"/>
      <c r="S7" s="384"/>
      <c r="T7" s="384"/>
      <c r="U7" s="384"/>
      <c r="V7" s="384"/>
      <c r="W7" s="385"/>
      <c r="Y7" s="184"/>
      <c r="Z7" s="386" t="s">
        <v>3</v>
      </c>
      <c r="AA7" s="386"/>
      <c r="AB7" s="386"/>
      <c r="AC7" s="386"/>
      <c r="AD7" s="386"/>
      <c r="AE7" s="386"/>
      <c r="AH7" s="174" t="s">
        <v>98</v>
      </c>
      <c r="AI7" s="174" t="s">
        <v>99</v>
      </c>
      <c r="AJ7" s="174" t="s">
        <v>100</v>
      </c>
      <c r="AK7" s="174" t="s">
        <v>101</v>
      </c>
    </row>
    <row r="8" spans="1:37" s="185" customFormat="1" ht="32.25" thickBot="1">
      <c r="B8" s="357" t="s">
        <v>0</v>
      </c>
      <c r="C8" s="344" t="s">
        <v>114</v>
      </c>
      <c r="D8" s="344" t="s">
        <v>72</v>
      </c>
      <c r="E8" s="345" t="s">
        <v>73</v>
      </c>
      <c r="F8" s="346" t="s">
        <v>110</v>
      </c>
      <c r="G8" s="346" t="s">
        <v>109</v>
      </c>
      <c r="H8" s="346" t="s">
        <v>95</v>
      </c>
      <c r="I8" s="346" t="s">
        <v>111</v>
      </c>
      <c r="J8" s="346" t="s">
        <v>74</v>
      </c>
      <c r="K8" s="346" t="s">
        <v>112</v>
      </c>
      <c r="L8" s="346" t="s">
        <v>113</v>
      </c>
      <c r="M8" s="347" t="s">
        <v>275</v>
      </c>
      <c r="N8" s="347" t="s">
        <v>276</v>
      </c>
      <c r="O8" s="358" t="s">
        <v>101</v>
      </c>
      <c r="P8" s="166"/>
      <c r="Q8" s="165" t="s">
        <v>17</v>
      </c>
      <c r="R8" s="165" t="s">
        <v>4</v>
      </c>
      <c r="S8" s="165" t="s">
        <v>5</v>
      </c>
      <c r="T8" s="165" t="s">
        <v>6</v>
      </c>
      <c r="U8" s="165" t="s">
        <v>7</v>
      </c>
      <c r="V8" s="165" t="s">
        <v>8</v>
      </c>
      <c r="W8" s="165" t="s">
        <v>9</v>
      </c>
      <c r="Y8" s="165" t="s">
        <v>17</v>
      </c>
      <c r="Z8" s="165" t="s">
        <v>4</v>
      </c>
      <c r="AA8" s="165" t="s">
        <v>5</v>
      </c>
      <c r="AB8" s="165" t="s">
        <v>6</v>
      </c>
      <c r="AC8" s="165" t="s">
        <v>7</v>
      </c>
      <c r="AD8" s="165" t="s">
        <v>8</v>
      </c>
      <c r="AE8" s="165" t="s">
        <v>9</v>
      </c>
      <c r="AH8" s="186">
        <v>90</v>
      </c>
      <c r="AI8" s="187">
        <v>4</v>
      </c>
      <c r="AJ8" s="187">
        <v>3</v>
      </c>
      <c r="AK8" s="185">
        <f>AH8*AJ8*AI8</f>
        <v>1080</v>
      </c>
    </row>
    <row r="9" spans="1:37" s="185" customFormat="1" ht="18" customHeight="1">
      <c r="B9" s="348">
        <v>1</v>
      </c>
      <c r="C9" s="349" t="s">
        <v>390</v>
      </c>
      <c r="D9" s="349"/>
      <c r="E9" s="350"/>
      <c r="F9" s="351"/>
      <c r="G9" s="351"/>
      <c r="H9" s="351"/>
      <c r="I9" s="351"/>
      <c r="J9" s="351"/>
      <c r="K9" s="352"/>
      <c r="L9" s="352"/>
      <c r="M9" s="352"/>
      <c r="N9" s="352"/>
      <c r="O9" s="353"/>
      <c r="P9" s="166"/>
      <c r="Q9" s="165"/>
      <c r="R9" s="165"/>
      <c r="S9" s="165"/>
      <c r="T9" s="165"/>
      <c r="U9" s="165"/>
      <c r="V9" s="165"/>
      <c r="W9" s="165"/>
      <c r="Y9" s="165"/>
      <c r="Z9" s="165"/>
      <c r="AA9" s="165"/>
      <c r="AB9" s="165"/>
      <c r="AC9" s="165"/>
      <c r="AD9" s="165"/>
      <c r="AE9" s="165"/>
      <c r="AH9" s="186"/>
      <c r="AI9" s="187"/>
      <c r="AJ9" s="187"/>
    </row>
    <row r="10" spans="1:37" s="185" customFormat="1" ht="25.5">
      <c r="B10" s="362" t="s">
        <v>384</v>
      </c>
      <c r="C10" s="240" t="s">
        <v>396</v>
      </c>
      <c r="D10" s="241" t="s">
        <v>382</v>
      </c>
      <c r="E10" s="242">
        <v>1</v>
      </c>
      <c r="F10" s="239">
        <f>(23000*13)+30000</f>
        <v>329000</v>
      </c>
      <c r="G10" s="359">
        <f>7*23000</f>
        <v>161000</v>
      </c>
      <c r="H10" s="359">
        <f t="shared" ref="H10:H19" si="0">ROUND(F10*E10,2)</f>
        <v>329000</v>
      </c>
      <c r="I10" s="359">
        <f t="shared" ref="I10:I19" si="1">ROUND(G10*E10,2)</f>
        <v>161000</v>
      </c>
      <c r="J10" s="359">
        <f t="shared" ref="J10:J19" si="2">ROUND((F10+G10)*E10,2)</f>
        <v>490000</v>
      </c>
      <c r="K10" s="359">
        <f t="shared" ref="K10:K19" si="3">U10</f>
        <v>438666.66666666669</v>
      </c>
      <c r="L10" s="359">
        <f t="shared" ref="L10:L19" si="4">AC10</f>
        <v>342553.19148936175</v>
      </c>
      <c r="M10" s="360">
        <f t="shared" ref="M10:M19" si="5">ROUND(K10*E10,2)</f>
        <v>438666.67</v>
      </c>
      <c r="N10" s="360">
        <f t="shared" ref="N10:N19" si="6">ROUND(L10*E10,2)</f>
        <v>342553.19</v>
      </c>
      <c r="O10" s="363">
        <f t="shared" ref="O10:O19" si="7">ROUND((K10+L10)*E10,2)</f>
        <v>781219.86</v>
      </c>
      <c r="P10" s="187"/>
      <c r="Q10" s="188">
        <f>(K10/F10)-1</f>
        <v>0.33333333333333348</v>
      </c>
      <c r="R10" s="189"/>
      <c r="S10" s="190">
        <v>0.25</v>
      </c>
      <c r="T10" s="210">
        <f t="shared" ref="T10:T19" si="8">F10</f>
        <v>329000</v>
      </c>
      <c r="U10" s="211">
        <f t="shared" ref="U10:U19" si="9">T10/(1-S10-R10)</f>
        <v>438666.66666666669</v>
      </c>
      <c r="V10" s="211">
        <f t="shared" ref="V10:V19" si="10">U10*R10</f>
        <v>0</v>
      </c>
      <c r="W10" s="211">
        <f t="shared" ref="W10:W19" si="11">U10-V10-T10</f>
        <v>109666.66666666669</v>
      </c>
      <c r="Y10" s="188">
        <f t="shared" ref="Y10:Y19" si="12">(L10/G10)-1</f>
        <v>1.1276595744680855</v>
      </c>
      <c r="Z10" s="189">
        <v>0.13</v>
      </c>
      <c r="AA10" s="190">
        <v>0.4</v>
      </c>
      <c r="AB10" s="191">
        <f t="shared" ref="AB10:AB19" si="13">G10</f>
        <v>161000</v>
      </c>
      <c r="AC10" s="192">
        <f t="shared" ref="AC10:AC19" si="14">AB10/(1-AA10-Z10)</f>
        <v>342553.19148936175</v>
      </c>
      <c r="AD10" s="192">
        <f t="shared" ref="AD10:AD19" si="15">AC10*Z10</f>
        <v>44531.914893617031</v>
      </c>
      <c r="AE10" s="192">
        <f t="shared" ref="AE10:AE19" si="16">AC10-AD10-AB10</f>
        <v>137021.27659574471</v>
      </c>
      <c r="AH10" s="193"/>
      <c r="AI10" s="193"/>
      <c r="AJ10" s="193"/>
      <c r="AK10" s="193"/>
    </row>
    <row r="11" spans="1:37" s="185" customFormat="1" ht="15.75">
      <c r="B11" s="362" t="s">
        <v>385</v>
      </c>
      <c r="C11" s="240" t="s">
        <v>395</v>
      </c>
      <c r="D11" s="241" t="s">
        <v>245</v>
      </c>
      <c r="E11" s="242">
        <v>1700</v>
      </c>
      <c r="F11" s="243">
        <v>0</v>
      </c>
      <c r="G11" s="359">
        <v>35</v>
      </c>
      <c r="H11" s="359">
        <f t="shared" si="0"/>
        <v>0</v>
      </c>
      <c r="I11" s="359">
        <f t="shared" si="1"/>
        <v>59500</v>
      </c>
      <c r="J11" s="359">
        <f t="shared" si="2"/>
        <v>59500</v>
      </c>
      <c r="K11" s="359">
        <f t="shared" si="3"/>
        <v>0</v>
      </c>
      <c r="L11" s="359">
        <f t="shared" si="4"/>
        <v>74.468085106382986</v>
      </c>
      <c r="M11" s="360">
        <f t="shared" si="5"/>
        <v>0</v>
      </c>
      <c r="N11" s="360">
        <f t="shared" si="6"/>
        <v>126595.74</v>
      </c>
      <c r="O11" s="363">
        <f t="shared" si="7"/>
        <v>126595.74</v>
      </c>
      <c r="P11" s="187"/>
      <c r="Q11" s="188" t="e">
        <f t="shared" ref="Q11" si="17">(K11/F11)-1</f>
        <v>#DIV/0!</v>
      </c>
      <c r="R11" s="189"/>
      <c r="S11" s="190">
        <v>0.2</v>
      </c>
      <c r="T11" s="210">
        <f t="shared" si="8"/>
        <v>0</v>
      </c>
      <c r="U11" s="211">
        <f t="shared" si="9"/>
        <v>0</v>
      </c>
      <c r="V11" s="211">
        <f t="shared" si="10"/>
        <v>0</v>
      </c>
      <c r="W11" s="211">
        <f t="shared" si="11"/>
        <v>0</v>
      </c>
      <c r="Y11" s="188">
        <f t="shared" si="12"/>
        <v>1.1276595744680855</v>
      </c>
      <c r="Z11" s="189">
        <v>0.13</v>
      </c>
      <c r="AA11" s="190">
        <v>0.4</v>
      </c>
      <c r="AB11" s="191">
        <f t="shared" si="13"/>
        <v>35</v>
      </c>
      <c r="AC11" s="192">
        <f t="shared" si="14"/>
        <v>74.468085106382986</v>
      </c>
      <c r="AD11" s="192">
        <f t="shared" si="15"/>
        <v>9.6808510638297882</v>
      </c>
      <c r="AE11" s="192">
        <f t="shared" si="16"/>
        <v>29.787234042553195</v>
      </c>
      <c r="AH11" s="193"/>
      <c r="AI11" s="193"/>
      <c r="AJ11" s="193"/>
      <c r="AK11" s="193"/>
    </row>
    <row r="12" spans="1:37" s="185" customFormat="1" ht="15.75">
      <c r="B12" s="362" t="s">
        <v>386</v>
      </c>
      <c r="C12" s="240" t="s">
        <v>397</v>
      </c>
      <c r="D12" s="241" t="s">
        <v>245</v>
      </c>
      <c r="E12" s="242">
        <v>1700</v>
      </c>
      <c r="F12" s="243">
        <v>0</v>
      </c>
      <c r="G12" s="359">
        <v>30</v>
      </c>
      <c r="H12" s="359">
        <f t="shared" ref="H12:H14" si="18">ROUND(F12*E12,2)</f>
        <v>0</v>
      </c>
      <c r="I12" s="359">
        <f t="shared" ref="I12:I14" si="19">ROUND(G12*E12,2)</f>
        <v>51000</v>
      </c>
      <c r="J12" s="359">
        <f t="shared" ref="J12:J14" si="20">ROUND((F12+G12)*E12,2)</f>
        <v>51000</v>
      </c>
      <c r="K12" s="359">
        <f t="shared" ref="K12:K14" si="21">U12</f>
        <v>0</v>
      </c>
      <c r="L12" s="359">
        <f t="shared" ref="L12:L14" si="22">AC12</f>
        <v>63.829787234042556</v>
      </c>
      <c r="M12" s="360">
        <f t="shared" ref="M12:M14" si="23">ROUND(K12*E12,2)</f>
        <v>0</v>
      </c>
      <c r="N12" s="360">
        <f t="shared" ref="N12:N14" si="24">ROUND(L12*E12,2)</f>
        <v>108510.64</v>
      </c>
      <c r="O12" s="363">
        <f t="shared" ref="O12:O14" si="25">ROUND((K12+L12)*E12,2)</f>
        <v>108510.64</v>
      </c>
      <c r="P12" s="187"/>
      <c r="Q12" s="188" t="e">
        <f t="shared" ref="Q12:Q14" si="26">(K12/F12)-1</f>
        <v>#DIV/0!</v>
      </c>
      <c r="R12" s="189"/>
      <c r="S12" s="190">
        <v>0.2</v>
      </c>
      <c r="T12" s="210">
        <f t="shared" ref="T12:T14" si="27">F12</f>
        <v>0</v>
      </c>
      <c r="U12" s="211">
        <f t="shared" ref="U12:U14" si="28">T12/(1-S12-R12)</f>
        <v>0</v>
      </c>
      <c r="V12" s="211">
        <f t="shared" ref="V12:V14" si="29">U12*R12</f>
        <v>0</v>
      </c>
      <c r="W12" s="211">
        <f t="shared" ref="W12:W14" si="30">U12-V12-T12</f>
        <v>0</v>
      </c>
      <c r="Y12" s="188">
        <f t="shared" ref="Y12:Y14" si="31">(L12/G12)-1</f>
        <v>1.1276595744680851</v>
      </c>
      <c r="Z12" s="189">
        <v>0.13</v>
      </c>
      <c r="AA12" s="190">
        <v>0.4</v>
      </c>
      <c r="AB12" s="191">
        <f t="shared" ref="AB12:AB14" si="32">G12</f>
        <v>30</v>
      </c>
      <c r="AC12" s="192">
        <f t="shared" ref="AC12:AC14" si="33">AB12/(1-AA12-Z12)</f>
        <v>63.829787234042556</v>
      </c>
      <c r="AD12" s="192">
        <f t="shared" ref="AD12:AD14" si="34">AC12*Z12</f>
        <v>8.297872340425533</v>
      </c>
      <c r="AE12" s="192">
        <f t="shared" ref="AE12:AE14" si="35">AC12-AD12-AB12</f>
        <v>25.531914893617021</v>
      </c>
      <c r="AH12" s="193"/>
      <c r="AI12" s="193"/>
      <c r="AJ12" s="193"/>
      <c r="AK12" s="193"/>
    </row>
    <row r="13" spans="1:37" s="185" customFormat="1" ht="15.75">
      <c r="B13" s="362" t="s">
        <v>387</v>
      </c>
      <c r="C13" s="240" t="s">
        <v>400</v>
      </c>
      <c r="D13" s="241" t="s">
        <v>245</v>
      </c>
      <c r="E13" s="242">
        <v>170</v>
      </c>
      <c r="F13" s="243">
        <v>0</v>
      </c>
      <c r="G13" s="359">
        <v>63</v>
      </c>
      <c r="H13" s="359">
        <f t="shared" ref="H13" si="36">ROUND(F13*E13,2)</f>
        <v>0</v>
      </c>
      <c r="I13" s="359">
        <f t="shared" ref="I13" si="37">ROUND(G13*E13,2)</f>
        <v>10710</v>
      </c>
      <c r="J13" s="359">
        <f t="shared" ref="J13" si="38">ROUND((F13+G13)*E13,2)</f>
        <v>10710</v>
      </c>
      <c r="K13" s="359">
        <f t="shared" ref="K13" si="39">U13</f>
        <v>0</v>
      </c>
      <c r="L13" s="359">
        <f t="shared" ref="L13" si="40">AC13</f>
        <v>134.04255319148936</v>
      </c>
      <c r="M13" s="360">
        <f t="shared" ref="M13" si="41">ROUND(K13*E13,2)</f>
        <v>0</v>
      </c>
      <c r="N13" s="360">
        <f t="shared" ref="N13" si="42">ROUND(L13*E13,2)</f>
        <v>22787.23</v>
      </c>
      <c r="O13" s="363">
        <f t="shared" ref="O13" si="43">ROUND((K13+L13)*E13,2)</f>
        <v>22787.23</v>
      </c>
      <c r="P13" s="187"/>
      <c r="Q13" s="188" t="e">
        <f t="shared" ref="Q13" si="44">(K13/F13)-1</f>
        <v>#DIV/0!</v>
      </c>
      <c r="R13" s="189"/>
      <c r="S13" s="190">
        <v>0.2</v>
      </c>
      <c r="T13" s="210">
        <f t="shared" ref="T13" si="45">F13</f>
        <v>0</v>
      </c>
      <c r="U13" s="211">
        <f t="shared" ref="U13" si="46">T13/(1-S13-R13)</f>
        <v>0</v>
      </c>
      <c r="V13" s="211">
        <f t="shared" ref="V13" si="47">U13*R13</f>
        <v>0</v>
      </c>
      <c r="W13" s="211">
        <f t="shared" ref="W13" si="48">U13-V13-T13</f>
        <v>0</v>
      </c>
      <c r="Y13" s="188">
        <f t="shared" ref="Y13" si="49">(L13/G13)-1</f>
        <v>1.1276595744680851</v>
      </c>
      <c r="Z13" s="189">
        <v>0.13</v>
      </c>
      <c r="AA13" s="190">
        <v>0.4</v>
      </c>
      <c r="AB13" s="191">
        <f t="shared" ref="AB13" si="50">G13</f>
        <v>63</v>
      </c>
      <c r="AC13" s="192">
        <f t="shared" ref="AC13" si="51">AB13/(1-AA13-Z13)</f>
        <v>134.04255319148936</v>
      </c>
      <c r="AD13" s="192">
        <f t="shared" ref="AD13" si="52">AC13*Z13</f>
        <v>17.425531914893618</v>
      </c>
      <c r="AE13" s="192">
        <f t="shared" ref="AE13" si="53">AC13-AD13-AB13</f>
        <v>53.61702127659575</v>
      </c>
      <c r="AH13" s="193"/>
      <c r="AI13" s="193"/>
      <c r="AJ13" s="193"/>
      <c r="AK13" s="193"/>
    </row>
    <row r="14" spans="1:37" s="185" customFormat="1" ht="15.75">
      <c r="B14" s="362" t="s">
        <v>388</v>
      </c>
      <c r="C14" s="240" t="s">
        <v>399</v>
      </c>
      <c r="D14" s="241" t="s">
        <v>245</v>
      </c>
      <c r="E14" s="242">
        <v>230</v>
      </c>
      <c r="F14" s="243">
        <v>0</v>
      </c>
      <c r="G14" s="359">
        <v>75</v>
      </c>
      <c r="H14" s="359">
        <f t="shared" si="18"/>
        <v>0</v>
      </c>
      <c r="I14" s="359">
        <f t="shared" si="19"/>
        <v>17250</v>
      </c>
      <c r="J14" s="359">
        <f t="shared" si="20"/>
        <v>17250</v>
      </c>
      <c r="K14" s="359">
        <f t="shared" si="21"/>
        <v>0</v>
      </c>
      <c r="L14" s="359">
        <f t="shared" si="22"/>
        <v>159.57446808510639</v>
      </c>
      <c r="M14" s="360">
        <f t="shared" si="23"/>
        <v>0</v>
      </c>
      <c r="N14" s="360">
        <f t="shared" si="24"/>
        <v>36702.129999999997</v>
      </c>
      <c r="O14" s="363">
        <f t="shared" si="25"/>
        <v>36702.129999999997</v>
      </c>
      <c r="P14" s="187"/>
      <c r="Q14" s="188" t="e">
        <f t="shared" si="26"/>
        <v>#DIV/0!</v>
      </c>
      <c r="R14" s="189"/>
      <c r="S14" s="190">
        <v>0.2</v>
      </c>
      <c r="T14" s="210">
        <f t="shared" si="27"/>
        <v>0</v>
      </c>
      <c r="U14" s="211">
        <f t="shared" si="28"/>
        <v>0</v>
      </c>
      <c r="V14" s="211">
        <f t="shared" si="29"/>
        <v>0</v>
      </c>
      <c r="W14" s="211">
        <f t="shared" si="30"/>
        <v>0</v>
      </c>
      <c r="Y14" s="188">
        <f t="shared" si="31"/>
        <v>1.1276595744680851</v>
      </c>
      <c r="Z14" s="189">
        <v>0.13</v>
      </c>
      <c r="AA14" s="190">
        <v>0.4</v>
      </c>
      <c r="AB14" s="191">
        <f t="shared" si="32"/>
        <v>75</v>
      </c>
      <c r="AC14" s="192">
        <f t="shared" si="33"/>
        <v>159.57446808510639</v>
      </c>
      <c r="AD14" s="192">
        <f t="shared" si="34"/>
        <v>20.74468085106383</v>
      </c>
      <c r="AE14" s="192">
        <f t="shared" si="35"/>
        <v>63.829787234042556</v>
      </c>
      <c r="AH14" s="193"/>
      <c r="AI14" s="193"/>
      <c r="AJ14" s="193"/>
      <c r="AK14" s="193"/>
    </row>
    <row r="15" spans="1:37" s="185" customFormat="1" ht="15.75">
      <c r="B15" s="362" t="s">
        <v>389</v>
      </c>
      <c r="C15" s="240" t="s">
        <v>401</v>
      </c>
      <c r="D15" s="241" t="s">
        <v>245</v>
      </c>
      <c r="E15" s="242">
        <v>1300</v>
      </c>
      <c r="F15" s="243">
        <v>0</v>
      </c>
      <c r="G15" s="359">
        <v>35</v>
      </c>
      <c r="H15" s="359">
        <f t="shared" si="0"/>
        <v>0</v>
      </c>
      <c r="I15" s="359">
        <f t="shared" si="1"/>
        <v>45500</v>
      </c>
      <c r="J15" s="359">
        <f t="shared" si="2"/>
        <v>45500</v>
      </c>
      <c r="K15" s="359">
        <f t="shared" si="3"/>
        <v>0</v>
      </c>
      <c r="L15" s="359">
        <f t="shared" si="4"/>
        <v>74.468085106382986</v>
      </c>
      <c r="M15" s="360">
        <f t="shared" si="5"/>
        <v>0</v>
      </c>
      <c r="N15" s="360">
        <f t="shared" si="6"/>
        <v>96808.51</v>
      </c>
      <c r="O15" s="363">
        <f t="shared" si="7"/>
        <v>96808.51</v>
      </c>
      <c r="P15" s="187"/>
      <c r="Q15" s="188" t="e">
        <f t="shared" ref="Q15:Q19" si="54">(K15/F15)-1</f>
        <v>#DIV/0!</v>
      </c>
      <c r="R15" s="189"/>
      <c r="S15" s="190">
        <v>0.2</v>
      </c>
      <c r="T15" s="210">
        <f t="shared" si="8"/>
        <v>0</v>
      </c>
      <c r="U15" s="211">
        <f t="shared" si="9"/>
        <v>0</v>
      </c>
      <c r="V15" s="211">
        <f t="shared" si="10"/>
        <v>0</v>
      </c>
      <c r="W15" s="211">
        <f t="shared" si="11"/>
        <v>0</v>
      </c>
      <c r="Y15" s="188">
        <f t="shared" si="12"/>
        <v>1.1276595744680855</v>
      </c>
      <c r="Z15" s="189">
        <v>0.13</v>
      </c>
      <c r="AA15" s="190">
        <v>0.4</v>
      </c>
      <c r="AB15" s="191">
        <f t="shared" si="13"/>
        <v>35</v>
      </c>
      <c r="AC15" s="192">
        <f t="shared" si="14"/>
        <v>74.468085106382986</v>
      </c>
      <c r="AD15" s="192">
        <f t="shared" si="15"/>
        <v>9.6808510638297882</v>
      </c>
      <c r="AE15" s="192">
        <f t="shared" si="16"/>
        <v>29.787234042553195</v>
      </c>
      <c r="AH15" s="193"/>
      <c r="AI15" s="193"/>
      <c r="AJ15" s="193"/>
      <c r="AK15" s="193"/>
    </row>
    <row r="16" spans="1:37" s="185" customFormat="1" ht="25.5">
      <c r="B16" s="362" t="s">
        <v>394</v>
      </c>
      <c r="C16" s="240" t="s">
        <v>398</v>
      </c>
      <c r="D16" s="241" t="s">
        <v>382</v>
      </c>
      <c r="E16" s="242">
        <v>1</v>
      </c>
      <c r="F16" s="243">
        <v>0</v>
      </c>
      <c r="G16" s="359">
        <v>50000</v>
      </c>
      <c r="H16" s="359">
        <f t="shared" si="0"/>
        <v>0</v>
      </c>
      <c r="I16" s="359">
        <f t="shared" si="1"/>
        <v>50000</v>
      </c>
      <c r="J16" s="359">
        <f t="shared" si="2"/>
        <v>50000</v>
      </c>
      <c r="K16" s="359">
        <f t="shared" si="3"/>
        <v>0</v>
      </c>
      <c r="L16" s="359">
        <f t="shared" si="4"/>
        <v>106382.97872340426</v>
      </c>
      <c r="M16" s="360">
        <f t="shared" si="5"/>
        <v>0</v>
      </c>
      <c r="N16" s="360">
        <f t="shared" si="6"/>
        <v>106382.98</v>
      </c>
      <c r="O16" s="363">
        <f t="shared" si="7"/>
        <v>106382.98</v>
      </c>
      <c r="P16" s="187"/>
      <c r="Q16" s="188" t="e">
        <f t="shared" si="54"/>
        <v>#DIV/0!</v>
      </c>
      <c r="R16" s="189"/>
      <c r="S16" s="190">
        <v>0.2</v>
      </c>
      <c r="T16" s="210">
        <f t="shared" si="8"/>
        <v>0</v>
      </c>
      <c r="U16" s="211">
        <f t="shared" si="9"/>
        <v>0</v>
      </c>
      <c r="V16" s="211">
        <f t="shared" si="10"/>
        <v>0</v>
      </c>
      <c r="W16" s="211">
        <f t="shared" si="11"/>
        <v>0</v>
      </c>
      <c r="Y16" s="188">
        <f t="shared" si="12"/>
        <v>1.1276595744680851</v>
      </c>
      <c r="Z16" s="189">
        <v>0.13</v>
      </c>
      <c r="AA16" s="190">
        <v>0.4</v>
      </c>
      <c r="AB16" s="191">
        <f t="shared" si="13"/>
        <v>50000</v>
      </c>
      <c r="AC16" s="192">
        <f t="shared" si="14"/>
        <v>106382.97872340426</v>
      </c>
      <c r="AD16" s="192">
        <f t="shared" si="15"/>
        <v>13829.787234042555</v>
      </c>
      <c r="AE16" s="192">
        <f t="shared" si="16"/>
        <v>42553.191489361707</v>
      </c>
      <c r="AH16" s="193"/>
      <c r="AI16" s="193"/>
      <c r="AJ16" s="193"/>
      <c r="AK16" s="193"/>
    </row>
    <row r="17" spans="1:37" s="185" customFormat="1" ht="25.5">
      <c r="B17" s="362" t="s">
        <v>402</v>
      </c>
      <c r="C17" s="240" t="s">
        <v>381</v>
      </c>
      <c r="D17" s="241" t="s">
        <v>382</v>
      </c>
      <c r="E17" s="242">
        <v>1</v>
      </c>
      <c r="F17" s="243">
        <f>1200*24.2</f>
        <v>29040</v>
      </c>
      <c r="G17" s="359">
        <f>484*35</f>
        <v>16940</v>
      </c>
      <c r="H17" s="359">
        <f t="shared" si="0"/>
        <v>29040</v>
      </c>
      <c r="I17" s="359">
        <f t="shared" si="1"/>
        <v>16940</v>
      </c>
      <c r="J17" s="359">
        <f t="shared" si="2"/>
        <v>45980</v>
      </c>
      <c r="K17" s="359">
        <f t="shared" si="3"/>
        <v>36300</v>
      </c>
      <c r="L17" s="359">
        <f t="shared" si="4"/>
        <v>36042.553191489365</v>
      </c>
      <c r="M17" s="360">
        <f t="shared" si="5"/>
        <v>36300</v>
      </c>
      <c r="N17" s="360">
        <f t="shared" si="6"/>
        <v>36042.550000000003</v>
      </c>
      <c r="O17" s="363">
        <f t="shared" si="7"/>
        <v>72342.55</v>
      </c>
      <c r="P17" s="187"/>
      <c r="Q17" s="188">
        <f t="shared" si="54"/>
        <v>0.25</v>
      </c>
      <c r="R17" s="189"/>
      <c r="S17" s="190">
        <v>0.2</v>
      </c>
      <c r="T17" s="210">
        <f t="shared" si="8"/>
        <v>29040</v>
      </c>
      <c r="U17" s="211">
        <f t="shared" si="9"/>
        <v>36300</v>
      </c>
      <c r="V17" s="211">
        <f t="shared" si="10"/>
        <v>0</v>
      </c>
      <c r="W17" s="211">
        <f t="shared" si="11"/>
        <v>7260</v>
      </c>
      <c r="Y17" s="188">
        <f t="shared" si="12"/>
        <v>1.1276595744680855</v>
      </c>
      <c r="Z17" s="189">
        <v>0.13</v>
      </c>
      <c r="AA17" s="190">
        <v>0.4</v>
      </c>
      <c r="AB17" s="191">
        <f t="shared" si="13"/>
        <v>16940</v>
      </c>
      <c r="AC17" s="192">
        <f t="shared" si="14"/>
        <v>36042.553191489365</v>
      </c>
      <c r="AD17" s="192">
        <f t="shared" si="15"/>
        <v>4685.5319148936178</v>
      </c>
      <c r="AE17" s="192">
        <f t="shared" si="16"/>
        <v>14417.021276595748</v>
      </c>
      <c r="AH17" s="193"/>
      <c r="AI17" s="193"/>
      <c r="AJ17" s="193"/>
      <c r="AK17" s="193"/>
    </row>
    <row r="18" spans="1:37" s="185" customFormat="1" ht="15.75">
      <c r="B18" s="362" t="s">
        <v>403</v>
      </c>
      <c r="C18" s="240" t="s">
        <v>379</v>
      </c>
      <c r="D18" s="241" t="s">
        <v>245</v>
      </c>
      <c r="E18" s="242">
        <v>80</v>
      </c>
      <c r="F18" s="243">
        <v>0</v>
      </c>
      <c r="G18" s="359">
        <v>230</v>
      </c>
      <c r="H18" s="359">
        <f t="shared" ref="H18" si="55">ROUND(F18*E18,2)</f>
        <v>0</v>
      </c>
      <c r="I18" s="359">
        <f t="shared" ref="I18" si="56">ROUND(G18*E18,2)</f>
        <v>18400</v>
      </c>
      <c r="J18" s="359">
        <f t="shared" ref="J18" si="57">ROUND((F18+G18)*E18,2)</f>
        <v>18400</v>
      </c>
      <c r="K18" s="359">
        <f t="shared" ref="K18" si="58">U18</f>
        <v>0</v>
      </c>
      <c r="L18" s="359">
        <f t="shared" ref="L18" si="59">AC18</f>
        <v>489.36170212765961</v>
      </c>
      <c r="M18" s="360">
        <f t="shared" ref="M18" si="60">ROUND(K18*E18,2)</f>
        <v>0</v>
      </c>
      <c r="N18" s="360">
        <f t="shared" ref="N18" si="61">ROUND(L18*E18,2)</f>
        <v>39148.94</v>
      </c>
      <c r="O18" s="363">
        <f t="shared" ref="O18" si="62">ROUND((K18+L18)*E18,2)</f>
        <v>39148.94</v>
      </c>
      <c r="P18" s="187"/>
      <c r="Q18" s="188" t="e">
        <f t="shared" ref="Q18" si="63">(K18/F18)-1</f>
        <v>#DIV/0!</v>
      </c>
      <c r="R18" s="189"/>
      <c r="S18" s="190">
        <v>0.2</v>
      </c>
      <c r="T18" s="210">
        <f t="shared" ref="T18" si="64">F18</f>
        <v>0</v>
      </c>
      <c r="U18" s="211">
        <f t="shared" ref="U18" si="65">T18/(1-S18-R18)</f>
        <v>0</v>
      </c>
      <c r="V18" s="211">
        <f t="shared" ref="V18" si="66">U18*R18</f>
        <v>0</v>
      </c>
      <c r="W18" s="211">
        <f t="shared" ref="W18" si="67">U18-V18-T18</f>
        <v>0</v>
      </c>
      <c r="Y18" s="188">
        <f t="shared" ref="Y18" si="68">(L18/G18)-1</f>
        <v>1.1276595744680851</v>
      </c>
      <c r="Z18" s="189">
        <v>0.13</v>
      </c>
      <c r="AA18" s="190">
        <v>0.4</v>
      </c>
      <c r="AB18" s="191">
        <f t="shared" ref="AB18" si="69">G18</f>
        <v>230</v>
      </c>
      <c r="AC18" s="192">
        <f t="shared" ref="AC18" si="70">AB18/(1-AA18-Z18)</f>
        <v>489.36170212765961</v>
      </c>
      <c r="AD18" s="192">
        <f t="shared" ref="AD18" si="71">AC18*Z18</f>
        <v>63.61702127659575</v>
      </c>
      <c r="AE18" s="192">
        <f t="shared" ref="AE18" si="72">AC18-AD18-AB18</f>
        <v>195.74468085106389</v>
      </c>
      <c r="AH18" s="193"/>
      <c r="AI18" s="193"/>
      <c r="AJ18" s="193"/>
      <c r="AK18" s="193"/>
    </row>
    <row r="19" spans="1:37" s="185" customFormat="1" ht="24.75" customHeight="1">
      <c r="B19" s="362" t="s">
        <v>404</v>
      </c>
      <c r="C19" s="240" t="s">
        <v>383</v>
      </c>
      <c r="D19" s="241" t="s">
        <v>380</v>
      </c>
      <c r="E19" s="242">
        <v>1</v>
      </c>
      <c r="F19" s="243">
        <v>0</v>
      </c>
      <c r="G19" s="359">
        <v>12000</v>
      </c>
      <c r="H19" s="359">
        <f t="shared" si="0"/>
        <v>0</v>
      </c>
      <c r="I19" s="359">
        <f t="shared" si="1"/>
        <v>12000</v>
      </c>
      <c r="J19" s="359">
        <f t="shared" si="2"/>
        <v>12000</v>
      </c>
      <c r="K19" s="359">
        <f t="shared" si="3"/>
        <v>0</v>
      </c>
      <c r="L19" s="359">
        <f t="shared" si="4"/>
        <v>25531.914893617024</v>
      </c>
      <c r="M19" s="360">
        <f t="shared" si="5"/>
        <v>0</v>
      </c>
      <c r="N19" s="360">
        <f t="shared" si="6"/>
        <v>25531.91</v>
      </c>
      <c r="O19" s="363">
        <f t="shared" si="7"/>
        <v>25531.91</v>
      </c>
      <c r="P19" s="187"/>
      <c r="Q19" s="188" t="e">
        <f t="shared" si="54"/>
        <v>#DIV/0!</v>
      </c>
      <c r="R19" s="189"/>
      <c r="S19" s="190">
        <v>0.2</v>
      </c>
      <c r="T19" s="210">
        <f t="shared" si="8"/>
        <v>0</v>
      </c>
      <c r="U19" s="211">
        <f t="shared" si="9"/>
        <v>0</v>
      </c>
      <c r="V19" s="211">
        <f t="shared" si="10"/>
        <v>0</v>
      </c>
      <c r="W19" s="211">
        <f t="shared" si="11"/>
        <v>0</v>
      </c>
      <c r="Y19" s="188">
        <f t="shared" si="12"/>
        <v>1.1276595744680855</v>
      </c>
      <c r="Z19" s="189">
        <v>0.13</v>
      </c>
      <c r="AA19" s="190">
        <v>0.4</v>
      </c>
      <c r="AB19" s="191">
        <f t="shared" si="13"/>
        <v>12000</v>
      </c>
      <c r="AC19" s="192">
        <f t="shared" si="14"/>
        <v>25531.914893617024</v>
      </c>
      <c r="AD19" s="192">
        <f t="shared" si="15"/>
        <v>3319.1489361702133</v>
      </c>
      <c r="AE19" s="192">
        <f t="shared" si="16"/>
        <v>10212.765957446813</v>
      </c>
      <c r="AH19" s="193"/>
      <c r="AI19" s="193"/>
      <c r="AJ19" s="193"/>
      <c r="AK19" s="193"/>
    </row>
    <row r="20" spans="1:37" ht="19.5" hidden="1" thickBot="1">
      <c r="B20" s="364"/>
      <c r="C20" s="365"/>
      <c r="D20" s="365"/>
      <c r="E20" s="365"/>
      <c r="F20" s="365"/>
      <c r="G20" s="365"/>
      <c r="H20" s="361">
        <f>SUM(H9:H19)</f>
        <v>358040</v>
      </c>
      <c r="I20" s="361">
        <f>SUM(I9:I19)</f>
        <v>442300</v>
      </c>
      <c r="J20" s="361">
        <f>SUM(J9:J19)</f>
        <v>800340</v>
      </c>
      <c r="K20" s="361"/>
      <c r="L20" s="361"/>
      <c r="M20" s="361">
        <f>SUM(M9:M19)</f>
        <v>474966.67</v>
      </c>
      <c r="N20" s="361">
        <f>SUM(N9:N19)</f>
        <v>941063.82</v>
      </c>
      <c r="O20" s="361">
        <f>SUM(O9:O19)</f>
        <v>1416030.4899999998</v>
      </c>
      <c r="P20" s="187"/>
      <c r="Q20" s="188"/>
      <c r="R20" s="189"/>
      <c r="S20" s="190"/>
      <c r="T20" s="210"/>
      <c r="U20" s="211"/>
      <c r="V20" s="211"/>
      <c r="W20" s="211"/>
      <c r="X20" s="185"/>
      <c r="Y20" s="188"/>
      <c r="Z20" s="189">
        <v>0.13</v>
      </c>
      <c r="AA20" s="190"/>
      <c r="AB20" s="191"/>
      <c r="AC20" s="192"/>
      <c r="AD20" s="192"/>
      <c r="AE20" s="192"/>
      <c r="AH20" s="174"/>
      <c r="AI20" s="174"/>
      <c r="AJ20" s="174"/>
      <c r="AK20" s="174"/>
    </row>
    <row r="21" spans="1:37" ht="9" customHeight="1" thickBot="1">
      <c r="A21" s="354"/>
      <c r="B21" s="355"/>
      <c r="C21" s="230"/>
      <c r="E21" s="231"/>
      <c r="F21" s="232"/>
      <c r="G21" s="232"/>
      <c r="H21" s="232"/>
      <c r="I21" s="232"/>
      <c r="J21" s="232"/>
      <c r="K21" s="232"/>
      <c r="L21" s="232"/>
      <c r="M21" s="232"/>
      <c r="N21" s="232"/>
      <c r="O21" s="232"/>
      <c r="P21" s="194"/>
      <c r="Q21" s="2"/>
      <c r="R21" s="195"/>
      <c r="S21" s="190"/>
      <c r="T21" s="196"/>
      <c r="U21" s="197"/>
      <c r="V21" s="197"/>
      <c r="W21" s="197"/>
      <c r="AA21" s="190"/>
      <c r="AH21" s="171" t="s">
        <v>102</v>
      </c>
      <c r="AJ21" s="171">
        <v>1578.8</v>
      </c>
    </row>
    <row r="22" spans="1:37" ht="12.95" customHeight="1">
      <c r="A22" s="354"/>
      <c r="B22" s="355"/>
      <c r="C22" s="230"/>
      <c r="E22" s="231"/>
      <c r="F22" s="232"/>
      <c r="G22" s="232"/>
      <c r="H22" s="397" t="s">
        <v>95</v>
      </c>
      <c r="I22" s="397" t="s">
        <v>96</v>
      </c>
      <c r="J22" s="397" t="s">
        <v>97</v>
      </c>
      <c r="K22" s="232"/>
      <c r="L22" s="232"/>
      <c r="M22" s="397" t="s">
        <v>277</v>
      </c>
      <c r="N22" s="397" t="s">
        <v>278</v>
      </c>
      <c r="O22" s="397" t="s">
        <v>279</v>
      </c>
      <c r="P22" s="194"/>
      <c r="Q22" s="59" t="s">
        <v>103</v>
      </c>
      <c r="R22" s="59" t="s">
        <v>104</v>
      </c>
      <c r="S22" s="59" t="s">
        <v>105</v>
      </c>
      <c r="T22" s="59" t="s">
        <v>106</v>
      </c>
      <c r="U22" s="59" t="s">
        <v>107</v>
      </c>
      <c r="V22" s="197">
        <v>533.16</v>
      </c>
      <c r="W22" s="197">
        <f>V22</f>
        <v>533.16</v>
      </c>
    </row>
    <row r="23" spans="1:37" ht="12.95" customHeight="1" thickBot="1">
      <c r="A23" s="354"/>
      <c r="B23" s="356"/>
      <c r="C23" s="198"/>
      <c r="D23" s="198"/>
      <c r="E23" s="233"/>
      <c r="F23" s="232"/>
      <c r="G23" s="232"/>
      <c r="H23" s="398"/>
      <c r="I23" s="398"/>
      <c r="J23" s="398"/>
      <c r="K23" s="232"/>
      <c r="L23" s="232"/>
      <c r="M23" s="398"/>
      <c r="N23" s="398"/>
      <c r="O23" s="398"/>
      <c r="P23" s="1"/>
      <c r="Q23" s="59"/>
      <c r="R23" s="195"/>
      <c r="S23" s="195"/>
      <c r="T23" s="196"/>
      <c r="U23" s="197"/>
      <c r="V23" s="197">
        <f>O24/V22</f>
        <v>2655.9203428614296</v>
      </c>
      <c r="W23" s="197">
        <f>J24/W22</f>
        <v>1501.125365743867</v>
      </c>
    </row>
    <row r="24" spans="1:37" s="174" customFormat="1" ht="49.5" customHeight="1" thickBot="1">
      <c r="A24" s="171"/>
      <c r="B24" s="377" t="s">
        <v>2</v>
      </c>
      <c r="C24" s="378"/>
      <c r="D24" s="378"/>
      <c r="E24" s="378"/>
      <c r="F24" s="378"/>
      <c r="G24" s="379"/>
      <c r="H24" s="339">
        <f>H20</f>
        <v>358040</v>
      </c>
      <c r="I24" s="339">
        <f>I20</f>
        <v>442300</v>
      </c>
      <c r="J24" s="339">
        <f>J20</f>
        <v>800340</v>
      </c>
      <c r="K24" s="340"/>
      <c r="L24" s="341"/>
      <c r="M24" s="339">
        <f>M20</f>
        <v>474966.67</v>
      </c>
      <c r="N24" s="341">
        <f>N20</f>
        <v>941063.82</v>
      </c>
      <c r="O24" s="341">
        <f>O20</f>
        <v>1416030.4899999998</v>
      </c>
      <c r="P24" s="238"/>
      <c r="Q24" s="199">
        <f>O24*0.13</f>
        <v>184083.96369999996</v>
      </c>
      <c r="R24" s="199">
        <f>O24*0.1</f>
        <v>141603.04899999997</v>
      </c>
      <c r="S24" s="199">
        <f>O24-J24-Q24-R24-Q28</f>
        <v>290003.47729999979</v>
      </c>
      <c r="T24" s="218">
        <f>S24/O24</f>
        <v>0.20480030574765368</v>
      </c>
      <c r="U24" s="218">
        <f>(O24/J24)-1</f>
        <v>0.76928616587950094</v>
      </c>
    </row>
    <row r="25" spans="1:37" ht="8.25" customHeight="1">
      <c r="B25" s="369"/>
      <c r="C25" s="370"/>
      <c r="D25" s="370"/>
      <c r="E25" s="370"/>
      <c r="F25" s="370"/>
      <c r="G25" s="370"/>
      <c r="H25" s="370"/>
      <c r="I25" s="370"/>
      <c r="J25" s="370"/>
      <c r="K25" s="370"/>
      <c r="L25" s="370"/>
      <c r="M25" s="370"/>
      <c r="N25" s="370"/>
      <c r="O25" s="371"/>
      <c r="P25" s="173"/>
    </row>
    <row r="26" spans="1:37" ht="15.75" customHeight="1">
      <c r="B26" s="372" t="s">
        <v>90</v>
      </c>
      <c r="C26" s="373"/>
      <c r="D26" s="373"/>
      <c r="E26" s="373"/>
      <c r="F26" s="373"/>
      <c r="G26" s="373"/>
      <c r="H26" s="329"/>
      <c r="I26" s="329"/>
      <c r="J26" s="329"/>
      <c r="K26" s="330"/>
      <c r="L26" s="330"/>
      <c r="M26" s="331"/>
      <c r="N26" s="331"/>
      <c r="O26" s="235"/>
      <c r="P26" s="201"/>
      <c r="Q26" s="202"/>
      <c r="R26" s="198"/>
      <c r="S26" s="198"/>
    </row>
    <row r="27" spans="1:37" ht="27.75" customHeight="1">
      <c r="B27" s="372" t="s">
        <v>391</v>
      </c>
      <c r="C27" s="373"/>
      <c r="D27" s="373"/>
      <c r="E27" s="373"/>
      <c r="F27" s="373"/>
      <c r="G27" s="373"/>
      <c r="H27" s="332"/>
      <c r="I27" s="332"/>
      <c r="J27" s="332"/>
      <c r="K27" s="332"/>
      <c r="L27" s="332"/>
      <c r="M27" s="332"/>
      <c r="N27" s="332"/>
      <c r="O27" s="342"/>
      <c r="P27" s="204"/>
      <c r="Q27" s="205" t="s">
        <v>281</v>
      </c>
      <c r="R27" s="198"/>
      <c r="S27" s="198"/>
    </row>
    <row r="28" spans="1:37" ht="17.25" customHeight="1">
      <c r="B28" s="374" t="s">
        <v>405</v>
      </c>
      <c r="C28" s="375"/>
      <c r="D28" s="375"/>
      <c r="E28" s="375"/>
      <c r="F28" s="375"/>
      <c r="G28" s="375"/>
      <c r="H28" s="338"/>
      <c r="I28" s="338"/>
      <c r="J28" s="338"/>
      <c r="K28" s="338"/>
      <c r="L28" s="338"/>
      <c r="M28" s="338"/>
      <c r="N28" s="338"/>
      <c r="O28" s="343"/>
      <c r="P28" s="204"/>
      <c r="Q28" s="328">
        <v>0</v>
      </c>
      <c r="R28" s="198"/>
      <c r="S28" s="198"/>
    </row>
    <row r="29" spans="1:37" ht="28.5" customHeight="1">
      <c r="B29" s="374"/>
      <c r="C29" s="375"/>
      <c r="D29" s="375"/>
      <c r="E29" s="375"/>
      <c r="F29" s="375"/>
      <c r="G29" s="375"/>
      <c r="H29" s="330"/>
      <c r="I29" s="330"/>
      <c r="J29" s="330"/>
      <c r="K29" s="330"/>
      <c r="L29" s="330"/>
      <c r="M29" s="330"/>
      <c r="N29" s="333"/>
      <c r="O29" s="234"/>
      <c r="P29" s="204"/>
      <c r="Q29" s="205"/>
      <c r="R29" s="198"/>
      <c r="S29" s="198"/>
    </row>
    <row r="30" spans="1:37" ht="6" customHeight="1">
      <c r="B30" s="168"/>
      <c r="C30" s="334"/>
      <c r="D30" s="335"/>
      <c r="E30" s="336"/>
      <c r="F30" s="335"/>
      <c r="G30" s="335"/>
      <c r="H30" s="335"/>
      <c r="I30" s="335"/>
      <c r="J30" s="335"/>
      <c r="K30" s="335"/>
      <c r="L30" s="335"/>
      <c r="M30" s="335"/>
      <c r="N30" s="337"/>
      <c r="O30" s="203"/>
      <c r="P30" s="204"/>
      <c r="Q30" s="205"/>
      <c r="R30" s="198"/>
      <c r="S30" s="198"/>
    </row>
    <row r="31" spans="1:37" ht="34.5" customHeight="1">
      <c r="B31" s="366" t="s">
        <v>274</v>
      </c>
      <c r="C31" s="367"/>
      <c r="D31" s="367"/>
      <c r="E31" s="367"/>
      <c r="F31" s="367"/>
      <c r="G31" s="367"/>
      <c r="H31" s="367"/>
      <c r="I31" s="367"/>
      <c r="J31" s="367"/>
      <c r="K31" s="367"/>
      <c r="L31" s="367"/>
      <c r="M31" s="367"/>
      <c r="N31" s="367"/>
      <c r="O31" s="368"/>
      <c r="P31" s="169"/>
      <c r="Q31" s="206"/>
    </row>
    <row r="32" spans="1:37" ht="7.5" customHeight="1" thickBot="1">
      <c r="B32" s="200"/>
      <c r="C32" s="207"/>
      <c r="D32" s="207"/>
      <c r="E32" s="228"/>
      <c r="F32" s="207"/>
      <c r="G32" s="207"/>
      <c r="H32" s="207"/>
      <c r="I32" s="207"/>
      <c r="J32" s="207"/>
      <c r="K32" s="207"/>
      <c r="L32" s="207"/>
      <c r="M32" s="207"/>
      <c r="N32" s="207"/>
      <c r="O32" s="208"/>
    </row>
    <row r="33" spans="1:17">
      <c r="A33" s="170"/>
      <c r="Q33" s="170"/>
    </row>
    <row r="34" spans="1:17">
      <c r="C34" s="198"/>
    </row>
    <row r="35" spans="1:17" ht="15">
      <c r="C35" s="185"/>
    </row>
    <row r="36" spans="1:17" ht="15">
      <c r="C36" s="185"/>
    </row>
    <row r="37" spans="1:17" ht="15">
      <c r="C37" s="185"/>
    </row>
    <row r="38" spans="1:17" ht="15">
      <c r="C38" s="185"/>
    </row>
    <row r="39" spans="1:17" ht="15">
      <c r="C39" s="185"/>
    </row>
    <row r="40" spans="1:17" ht="15">
      <c r="C40" s="185"/>
    </row>
    <row r="41" spans="1:17" ht="15">
      <c r="C41" s="185"/>
    </row>
    <row r="42" spans="1:17" ht="15">
      <c r="C42" s="185"/>
    </row>
    <row r="43" spans="1:17" ht="15">
      <c r="C43" s="185"/>
    </row>
    <row r="44" spans="1:17" ht="15">
      <c r="C44" s="185"/>
    </row>
    <row r="45" spans="1:17" ht="15">
      <c r="C45" s="185"/>
    </row>
    <row r="46" spans="1:17" ht="15">
      <c r="C46" s="185"/>
    </row>
    <row r="47" spans="1:17" ht="15">
      <c r="C47" s="185"/>
    </row>
    <row r="48" spans="1:17" ht="15">
      <c r="C48" s="185"/>
    </row>
    <row r="49" spans="3:3" ht="15">
      <c r="C49" s="185"/>
    </row>
    <row r="50" spans="3:3" ht="15">
      <c r="C50" s="185"/>
    </row>
    <row r="51" spans="3:3" ht="15">
      <c r="C51" s="185"/>
    </row>
    <row r="52" spans="3:3" ht="15">
      <c r="C52" s="185"/>
    </row>
    <row r="53" spans="3:3" ht="15">
      <c r="C53" s="185"/>
    </row>
    <row r="54" spans="3:3" ht="15">
      <c r="C54" s="185"/>
    </row>
    <row r="55" spans="3:3" ht="15">
      <c r="C55" s="185"/>
    </row>
    <row r="56" spans="3:3" ht="15">
      <c r="C56" s="185"/>
    </row>
    <row r="57" spans="3:3" ht="15">
      <c r="C57" s="185"/>
    </row>
    <row r="58" spans="3:3" ht="15">
      <c r="C58" s="185"/>
    </row>
    <row r="59" spans="3:3" ht="15">
      <c r="C59" s="185"/>
    </row>
    <row r="60" spans="3:3" ht="15">
      <c r="C60" s="185"/>
    </row>
    <row r="61" spans="3:3" ht="15">
      <c r="C61" s="185"/>
    </row>
    <row r="62" spans="3:3" ht="15">
      <c r="C62" s="185"/>
    </row>
    <row r="63" spans="3:3" ht="15">
      <c r="C63" s="185"/>
    </row>
    <row r="64" spans="3:3" ht="15">
      <c r="C64" s="185"/>
    </row>
    <row r="65" spans="3:3" ht="15">
      <c r="C65" s="185"/>
    </row>
    <row r="66" spans="3:3" ht="15">
      <c r="C66" s="185"/>
    </row>
    <row r="67" spans="3:3" ht="15">
      <c r="C67" s="185"/>
    </row>
    <row r="68" spans="3:3" ht="15">
      <c r="C68" s="185"/>
    </row>
    <row r="69" spans="3:3" ht="15">
      <c r="C69" s="185"/>
    </row>
    <row r="70" spans="3:3" ht="15">
      <c r="C70" s="185"/>
    </row>
    <row r="71" spans="3:3" ht="15">
      <c r="C71" s="185"/>
    </row>
    <row r="72" spans="3:3" ht="15">
      <c r="C72" s="185"/>
    </row>
    <row r="73" spans="3:3" ht="15">
      <c r="C73" s="185"/>
    </row>
    <row r="74" spans="3:3" ht="15">
      <c r="C74" s="185"/>
    </row>
    <row r="75" spans="3:3" ht="15">
      <c r="C75" s="185"/>
    </row>
    <row r="76" spans="3:3" ht="15">
      <c r="C76" s="185"/>
    </row>
    <row r="77" spans="3:3" ht="15">
      <c r="C77" s="185"/>
    </row>
    <row r="78" spans="3:3" ht="15">
      <c r="C78" s="185"/>
    </row>
    <row r="79" spans="3:3" ht="15">
      <c r="C79" s="185"/>
    </row>
    <row r="80" spans="3:3" ht="15">
      <c r="C80" s="185"/>
    </row>
    <row r="81" spans="3:3" ht="15">
      <c r="C81" s="185"/>
    </row>
    <row r="82" spans="3:3" ht="15">
      <c r="C82" s="185"/>
    </row>
    <row r="83" spans="3:3" ht="15">
      <c r="C83" s="185"/>
    </row>
    <row r="84" spans="3:3" ht="15">
      <c r="C84" s="185"/>
    </row>
    <row r="85" spans="3:3" ht="15">
      <c r="C85" s="185"/>
    </row>
    <row r="86" spans="3:3" ht="15">
      <c r="C86" s="185"/>
    </row>
    <row r="87" spans="3:3" ht="15">
      <c r="C87" s="185"/>
    </row>
    <row r="88" spans="3:3" ht="15">
      <c r="C88" s="209"/>
    </row>
    <row r="89" spans="3:3" ht="15">
      <c r="C89" s="209"/>
    </row>
    <row r="90" spans="3:3" ht="15">
      <c r="C90" s="209"/>
    </row>
    <row r="91" spans="3:3" ht="15">
      <c r="C91" s="209"/>
    </row>
    <row r="92" spans="3:3" ht="15">
      <c r="C92" s="185"/>
    </row>
    <row r="93" spans="3:3" ht="15">
      <c r="C93" s="185"/>
    </row>
    <row r="94" spans="3:3" ht="15">
      <c r="C94" s="185"/>
    </row>
    <row r="95" spans="3:3" ht="15">
      <c r="C95" s="185"/>
    </row>
  </sheetData>
  <sheetProtection formatCells="0" formatColumns="0" formatRows="0" insertColumns="0" insertRows="0" insertHyperlinks="0" deleteColumns="0" deleteRows="0" sort="0" autoFilter="0" pivotTables="0"/>
  <dataConsolidate/>
  <mergeCells count="21">
    <mergeCell ref="B1:E1"/>
    <mergeCell ref="B2:O2"/>
    <mergeCell ref="B3:O3"/>
    <mergeCell ref="H22:H23"/>
    <mergeCell ref="I22:I23"/>
    <mergeCell ref="J22:J23"/>
    <mergeCell ref="M22:M23"/>
    <mergeCell ref="N22:N23"/>
    <mergeCell ref="O22:O23"/>
    <mergeCell ref="Y3:AE3"/>
    <mergeCell ref="B4:O4"/>
    <mergeCell ref="Q7:W7"/>
    <mergeCell ref="Z7:AE7"/>
    <mergeCell ref="B6:O6"/>
    <mergeCell ref="B31:O31"/>
    <mergeCell ref="B25:O25"/>
    <mergeCell ref="B27:G27"/>
    <mergeCell ref="B28:G29"/>
    <mergeCell ref="Q3:W3"/>
    <mergeCell ref="B24:G24"/>
    <mergeCell ref="B26:G26"/>
  </mergeCells>
  <phoneticPr fontId="31" type="noConversion"/>
  <printOptions horizontalCentered="1"/>
  <pageMargins left="0.23622047244094491" right="0.23622047244094491" top="0.35433070866141736" bottom="0.15748031496062992" header="0.31496062992125984" footer="0.31496062992125984"/>
  <pageSetup paperSize="202" scale="48" fitToHeight="0" orientation="portrait" r:id="rId1"/>
  <ignoredErrors>
    <ignoredError sqref="J24:L24" unlocked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L76"/>
  <sheetViews>
    <sheetView topLeftCell="A54" workbookViewId="0">
      <selection activeCell="L59" sqref="L59"/>
    </sheetView>
  </sheetViews>
  <sheetFormatPr defaultRowHeight="12.75"/>
  <cols>
    <col min="1" max="1" width="5.5703125" style="244" customWidth="1"/>
    <col min="2" max="2" width="27.28515625" style="244" bestFit="1" customWidth="1"/>
    <col min="3" max="3" width="13.28515625" style="244" bestFit="1" customWidth="1"/>
    <col min="4" max="4" width="14.42578125" style="244" bestFit="1" customWidth="1"/>
    <col min="5" max="5" width="12.140625" style="244" bestFit="1" customWidth="1"/>
    <col min="6" max="6" width="13.42578125" style="244" bestFit="1" customWidth="1"/>
    <col min="7" max="7" width="9.5703125" style="244" hidden="1" customWidth="1"/>
    <col min="8" max="8" width="18.5703125" style="244" bestFit="1" customWidth="1"/>
    <col min="9" max="9" width="19.7109375" style="244" bestFit="1" customWidth="1"/>
    <col min="10" max="10" width="14.28515625" style="244" bestFit="1" customWidth="1"/>
    <col min="11" max="11" width="15.42578125" style="244" bestFit="1" customWidth="1"/>
    <col min="12" max="12" width="13.5703125" style="244" bestFit="1" customWidth="1"/>
    <col min="13" max="16384" width="9.140625" style="244"/>
  </cols>
  <sheetData>
    <row r="2" spans="2:12" ht="13.5" thickBot="1"/>
    <row r="3" spans="2:12" ht="15.75" thickBot="1">
      <c r="B3" s="421" t="s">
        <v>341</v>
      </c>
      <c r="C3" s="422"/>
      <c r="D3" s="422"/>
      <c r="E3" s="422"/>
      <c r="F3" s="422"/>
      <c r="G3" s="422"/>
      <c r="H3" s="422"/>
      <c r="I3" s="422"/>
      <c r="J3" s="422"/>
      <c r="K3" s="422"/>
      <c r="L3" s="423"/>
    </row>
    <row r="4" spans="2:12">
      <c r="B4" s="265" t="s">
        <v>282</v>
      </c>
      <c r="C4" s="289">
        <v>1</v>
      </c>
      <c r="D4" s="270">
        <v>0.2</v>
      </c>
      <c r="E4" s="271">
        <f>D4*J6</f>
        <v>34.577999999999996</v>
      </c>
      <c r="F4" s="428" t="s">
        <v>378</v>
      </c>
      <c r="G4" s="428"/>
      <c r="H4" s="428"/>
      <c r="I4" s="428"/>
      <c r="J4" s="428"/>
      <c r="K4" s="428"/>
      <c r="L4" s="429"/>
    </row>
    <row r="5" spans="2:12">
      <c r="B5" s="258" t="s">
        <v>285</v>
      </c>
      <c r="C5" s="266" t="s">
        <v>284</v>
      </c>
      <c r="D5" s="259" t="s">
        <v>289</v>
      </c>
      <c r="E5" s="259" t="s">
        <v>283</v>
      </c>
      <c r="F5" s="267" t="s">
        <v>293</v>
      </c>
      <c r="G5"/>
      <c r="H5" s="124" t="s">
        <v>294</v>
      </c>
      <c r="I5" s="259" t="s">
        <v>291</v>
      </c>
      <c r="J5" s="259" t="s">
        <v>292</v>
      </c>
      <c r="K5" s="259" t="s">
        <v>1</v>
      </c>
      <c r="L5" s="260" t="s">
        <v>295</v>
      </c>
    </row>
    <row r="6" spans="2:12">
      <c r="B6" s="261" t="s">
        <v>286</v>
      </c>
      <c r="C6">
        <v>62.89</v>
      </c>
      <c r="D6" s="154" t="s">
        <v>290</v>
      </c>
      <c r="E6" s="61">
        <v>1</v>
      </c>
      <c r="F6" s="115">
        <f>C4*E6</f>
        <v>1</v>
      </c>
      <c r="G6" s="115" t="e">
        <f t="shared" ref="G6" si="0">D6*B4</f>
        <v>#VALUE!</v>
      </c>
      <c r="H6" s="115">
        <f>E6*C4</f>
        <v>1</v>
      </c>
      <c r="I6">
        <f>F6*C6</f>
        <v>62.89</v>
      </c>
      <c r="J6" s="424">
        <f>SUM(I6:I8)</f>
        <v>172.89</v>
      </c>
      <c r="K6" s="424">
        <f>J6+E4</f>
        <v>207.46799999999999</v>
      </c>
      <c r="L6" s="426">
        <f>K6/C4</f>
        <v>207.46799999999999</v>
      </c>
    </row>
    <row r="7" spans="2:12">
      <c r="B7" s="261" t="s">
        <v>287</v>
      </c>
      <c r="C7">
        <v>35</v>
      </c>
      <c r="D7" s="154">
        <v>20</v>
      </c>
      <c r="E7" s="61">
        <v>8</v>
      </c>
      <c r="F7" s="115">
        <f>E7*C4</f>
        <v>8</v>
      </c>
      <c r="G7" s="115">
        <f>F7/D7</f>
        <v>0.4</v>
      </c>
      <c r="H7" s="61">
        <f>CEILING(G7,1)</f>
        <v>1</v>
      </c>
      <c r="I7">
        <f>H7*C7</f>
        <v>35</v>
      </c>
      <c r="J7" s="424"/>
      <c r="K7" s="424"/>
      <c r="L7" s="426"/>
    </row>
    <row r="8" spans="2:12" ht="13.5" thickBot="1">
      <c r="B8" s="263" t="s">
        <v>288</v>
      </c>
      <c r="C8" s="262">
        <v>75</v>
      </c>
      <c r="D8" s="268">
        <v>5</v>
      </c>
      <c r="E8" s="269">
        <v>1</v>
      </c>
      <c r="F8" s="264">
        <f>E8*C4</f>
        <v>1</v>
      </c>
      <c r="G8" s="264">
        <f>F8/D8</f>
        <v>0.2</v>
      </c>
      <c r="H8" s="269">
        <f>CEILING(G8,1)</f>
        <v>1</v>
      </c>
      <c r="I8" s="262">
        <f>H8*C8</f>
        <v>75</v>
      </c>
      <c r="J8" s="425"/>
      <c r="K8" s="425"/>
      <c r="L8" s="427"/>
    </row>
    <row r="9" spans="2:12" ht="13.5" thickBot="1">
      <c r="B9" s="249"/>
    </row>
    <row r="10" spans="2:12" ht="15.75" thickBot="1">
      <c r="B10" s="421" t="s">
        <v>342</v>
      </c>
      <c r="C10" s="422"/>
      <c r="D10" s="422"/>
      <c r="E10" s="422"/>
      <c r="F10" s="422"/>
      <c r="G10" s="422"/>
      <c r="H10" s="422"/>
      <c r="I10" s="422"/>
      <c r="J10" s="422"/>
      <c r="K10" s="422"/>
      <c r="L10" s="423"/>
    </row>
    <row r="11" spans="2:12">
      <c r="B11" s="265" t="s">
        <v>282</v>
      </c>
      <c r="C11" s="289">
        <v>1</v>
      </c>
      <c r="D11" s="270">
        <v>0.2</v>
      </c>
      <c r="E11" s="271">
        <f>D11*J13</f>
        <v>32.098000000000006</v>
      </c>
      <c r="F11" s="428" t="s">
        <v>378</v>
      </c>
      <c r="G11" s="428"/>
      <c r="H11" s="428"/>
      <c r="I11" s="428"/>
      <c r="J11" s="428"/>
      <c r="K11" s="428"/>
      <c r="L11" s="429"/>
    </row>
    <row r="12" spans="2:12">
      <c r="B12" s="258" t="s">
        <v>285</v>
      </c>
      <c r="C12" s="266" t="s">
        <v>284</v>
      </c>
      <c r="D12" s="259" t="s">
        <v>289</v>
      </c>
      <c r="E12" s="259" t="s">
        <v>283</v>
      </c>
      <c r="F12" s="267" t="s">
        <v>293</v>
      </c>
      <c r="G12"/>
      <c r="H12" s="124" t="s">
        <v>294</v>
      </c>
      <c r="I12" s="259" t="s">
        <v>291</v>
      </c>
      <c r="J12" s="259" t="s">
        <v>292</v>
      </c>
      <c r="K12" s="259" t="s">
        <v>1</v>
      </c>
      <c r="L12" s="260" t="s">
        <v>295</v>
      </c>
    </row>
    <row r="13" spans="2:12">
      <c r="B13" s="261" t="s">
        <v>286</v>
      </c>
      <c r="C13">
        <v>50.49</v>
      </c>
      <c r="D13" s="154" t="s">
        <v>290</v>
      </c>
      <c r="E13" s="61">
        <v>1</v>
      </c>
      <c r="F13" s="115">
        <f>C11*E13</f>
        <v>1</v>
      </c>
      <c r="G13" s="115" t="e">
        <f t="shared" ref="G13" si="1">D13*B11</f>
        <v>#VALUE!</v>
      </c>
      <c r="H13" s="115">
        <f>E13*C11</f>
        <v>1</v>
      </c>
      <c r="I13">
        <f>F13*C13</f>
        <v>50.49</v>
      </c>
      <c r="J13" s="424">
        <f>SUM(I13:I15)</f>
        <v>160.49</v>
      </c>
      <c r="K13" s="424">
        <f>J13+E11</f>
        <v>192.58800000000002</v>
      </c>
      <c r="L13" s="426">
        <f>K13/C11</f>
        <v>192.58800000000002</v>
      </c>
    </row>
    <row r="14" spans="2:12">
      <c r="B14" s="261" t="s">
        <v>287</v>
      </c>
      <c r="C14">
        <v>35</v>
      </c>
      <c r="D14" s="154">
        <v>20</v>
      </c>
      <c r="E14" s="61">
        <v>8</v>
      </c>
      <c r="F14" s="115">
        <f>E14*C11</f>
        <v>8</v>
      </c>
      <c r="G14" s="115">
        <f>F14/D14</f>
        <v>0.4</v>
      </c>
      <c r="H14" s="61">
        <f>CEILING(G14,1)</f>
        <v>1</v>
      </c>
      <c r="I14">
        <f>H14*C14</f>
        <v>35</v>
      </c>
      <c r="J14" s="424"/>
      <c r="K14" s="424"/>
      <c r="L14" s="426"/>
    </row>
    <row r="15" spans="2:12" ht="13.5" thickBot="1">
      <c r="B15" s="263" t="s">
        <v>288</v>
      </c>
      <c r="C15" s="262">
        <v>75</v>
      </c>
      <c r="D15" s="268">
        <v>5</v>
      </c>
      <c r="E15" s="269">
        <v>1</v>
      </c>
      <c r="F15" s="264">
        <f>E15*C11</f>
        <v>1</v>
      </c>
      <c r="G15" s="264">
        <f>F15/D15</f>
        <v>0.2</v>
      </c>
      <c r="H15" s="269">
        <f>CEILING(G15,1)</f>
        <v>1</v>
      </c>
      <c r="I15" s="262">
        <f>H15*C15</f>
        <v>75</v>
      </c>
      <c r="J15" s="425"/>
      <c r="K15" s="425"/>
      <c r="L15" s="427"/>
    </row>
    <row r="16" spans="2:12">
      <c r="B16" s="249"/>
      <c r="D16" s="246"/>
      <c r="E16" s="247"/>
      <c r="F16" s="248"/>
      <c r="G16" s="248"/>
      <c r="H16" s="247"/>
      <c r="J16" s="250"/>
      <c r="K16" s="250"/>
      <c r="L16" s="250"/>
    </row>
    <row r="17" spans="2:12">
      <c r="B17" s="249"/>
      <c r="D17" s="246"/>
      <c r="E17" s="247"/>
      <c r="F17" s="248"/>
      <c r="G17" s="248"/>
      <c r="H17" s="247"/>
      <c r="J17" s="250"/>
      <c r="K17" s="250"/>
      <c r="L17" s="250"/>
    </row>
    <row r="18" spans="2:12" ht="13.5" thickBot="1">
      <c r="B18" s="249"/>
      <c r="D18" s="246"/>
      <c r="E18" s="247"/>
      <c r="F18" s="248"/>
      <c r="G18" s="248"/>
      <c r="H18" s="247"/>
      <c r="J18" s="250"/>
      <c r="K18" s="250"/>
      <c r="L18" s="250"/>
    </row>
    <row r="19" spans="2:12" ht="15.75" thickBot="1">
      <c r="B19" s="421" t="s">
        <v>315</v>
      </c>
      <c r="C19" s="422"/>
      <c r="D19" s="422"/>
      <c r="E19" s="423"/>
      <c r="F19" s="406"/>
      <c r="G19" s="406"/>
      <c r="H19" s="406"/>
      <c r="I19" s="406"/>
      <c r="J19" s="407"/>
      <c r="K19" s="407"/>
      <c r="L19" s="407"/>
    </row>
    <row r="20" spans="2:12">
      <c r="B20" s="290" t="s">
        <v>296</v>
      </c>
      <c r="C20" s="291" t="s">
        <v>309</v>
      </c>
      <c r="D20" s="292" t="s">
        <v>310</v>
      </c>
      <c r="E20" s="293" t="s">
        <v>311</v>
      </c>
      <c r="I20" s="245"/>
    </row>
    <row r="21" spans="2:12">
      <c r="B21" s="294" t="s">
        <v>306</v>
      </c>
      <c r="C21" s="303">
        <v>20.2</v>
      </c>
      <c r="D21" s="304">
        <v>9.7100000000000009</v>
      </c>
      <c r="E21" s="297">
        <f>C21*D21</f>
        <v>196.14200000000002</v>
      </c>
      <c r="H21" s="252"/>
    </row>
    <row r="22" spans="2:12">
      <c r="B22" s="294" t="s">
        <v>307</v>
      </c>
      <c r="C22" s="303">
        <f>(20.2*2)+(9.71*2)</f>
        <v>59.82</v>
      </c>
      <c r="D22" s="304">
        <v>5.67</v>
      </c>
      <c r="E22" s="297">
        <f t="shared" ref="E22" si="2">C22*D22</f>
        <v>339.17939999999999</v>
      </c>
      <c r="H22" s="252"/>
    </row>
    <row r="23" spans="2:12">
      <c r="B23" s="294" t="s">
        <v>308</v>
      </c>
      <c r="C23" s="303">
        <f>(9.71*8)+(4*2)+(2.4*2)+(20.2*2)+(2.5*4)+(1.5*2)+(2.5*2)+(1.6*2)</f>
        <v>152.07999999999998</v>
      </c>
      <c r="D23" s="304">
        <v>4.09</v>
      </c>
      <c r="E23" s="297">
        <f>C23*D23</f>
        <v>622.0071999999999</v>
      </c>
      <c r="H23" s="252"/>
    </row>
    <row r="24" spans="2:12">
      <c r="B24" s="298" t="s">
        <v>312</v>
      </c>
      <c r="C24" s="305">
        <f>(3*2)+(4.2*2)+(2.5*4)+(1.5*4)</f>
        <v>30.4</v>
      </c>
      <c r="D24" s="305">
        <v>3.92</v>
      </c>
      <c r="E24" s="299">
        <f>C24*D24</f>
        <v>119.16799999999999</v>
      </c>
      <c r="H24" s="252"/>
    </row>
    <row r="25" spans="2:12">
      <c r="B25" s="298" t="s">
        <v>313</v>
      </c>
      <c r="C25" s="305">
        <f>C23-C24</f>
        <v>121.67999999999998</v>
      </c>
      <c r="D25" s="305" t="s">
        <v>290</v>
      </c>
      <c r="E25" s="299">
        <f>E23-E24</f>
        <v>502.83919999999989</v>
      </c>
      <c r="H25" s="252"/>
    </row>
    <row r="26" spans="2:12" ht="13.5" thickBot="1">
      <c r="B26" s="300" t="s">
        <v>314</v>
      </c>
      <c r="C26" s="306">
        <v>20.2</v>
      </c>
      <c r="D26" s="307">
        <v>9.7100000000000009</v>
      </c>
      <c r="E26" s="302">
        <f>C26*D26</f>
        <v>196.14200000000002</v>
      </c>
      <c r="F26" s="252"/>
      <c r="H26" s="252"/>
    </row>
    <row r="27" spans="2:12">
      <c r="B27" s="249"/>
      <c r="C27" s="248"/>
      <c r="D27" s="251"/>
      <c r="E27" s="248"/>
    </row>
    <row r="28" spans="2:12">
      <c r="B28" s="249"/>
      <c r="D28" s="246"/>
      <c r="F28" s="248"/>
      <c r="G28" s="248"/>
      <c r="H28" s="247"/>
      <c r="J28" s="250"/>
      <c r="K28" s="250"/>
      <c r="L28" s="250"/>
    </row>
    <row r="29" spans="2:12" ht="13.5" thickBot="1">
      <c r="B29" s="249"/>
      <c r="D29" s="246"/>
      <c r="E29" s="247"/>
      <c r="F29" s="248"/>
      <c r="G29" s="248"/>
      <c r="H29" s="247"/>
      <c r="J29" s="250"/>
      <c r="K29" s="250"/>
      <c r="L29" s="250"/>
    </row>
    <row r="30" spans="2:12" ht="15.75" thickBot="1">
      <c r="B30" s="421" t="s">
        <v>305</v>
      </c>
      <c r="C30" s="422"/>
      <c r="D30" s="422"/>
      <c r="E30" s="422"/>
      <c r="F30" s="422"/>
      <c r="G30" s="422"/>
      <c r="H30" s="423"/>
    </row>
    <row r="31" spans="2:12">
      <c r="B31" s="290" t="s">
        <v>296</v>
      </c>
      <c r="C31" s="291" t="s">
        <v>297</v>
      </c>
      <c r="D31" s="291" t="s">
        <v>298</v>
      </c>
      <c r="E31" s="291" t="s">
        <v>299</v>
      </c>
      <c r="F31" s="291" t="s">
        <v>300</v>
      </c>
      <c r="G31" s="291"/>
      <c r="H31" s="308" t="s">
        <v>301</v>
      </c>
    </row>
    <row r="32" spans="2:12">
      <c r="B32" s="309" t="s">
        <v>343</v>
      </c>
      <c r="C32" s="296" t="s">
        <v>290</v>
      </c>
      <c r="D32" s="296" t="s">
        <v>290</v>
      </c>
      <c r="E32" s="295">
        <v>15</v>
      </c>
      <c r="F32" s="411">
        <f>SUM(E32:E39)</f>
        <v>88.345533333333321</v>
      </c>
      <c r="G32" s="411">
        <f>F32/22</f>
        <v>4.0157060606060604</v>
      </c>
      <c r="H32" s="413">
        <f>ROUNDUP(G32/1,0)</f>
        <v>5</v>
      </c>
    </row>
    <row r="33" spans="2:11">
      <c r="B33" s="309" t="s">
        <v>302</v>
      </c>
      <c r="C33" s="303">
        <v>5600</v>
      </c>
      <c r="D33" s="295">
        <v>700</v>
      </c>
      <c r="E33" s="295">
        <f>C33/D33</f>
        <v>8</v>
      </c>
      <c r="F33" s="411"/>
      <c r="G33" s="411"/>
      <c r="H33" s="413"/>
    </row>
    <row r="34" spans="2:11">
      <c r="B34" s="309" t="s">
        <v>303</v>
      </c>
      <c r="C34" s="303">
        <f>E22</f>
        <v>339.17939999999999</v>
      </c>
      <c r="D34" s="295">
        <v>15</v>
      </c>
      <c r="E34" s="295">
        <f>C34/D34</f>
        <v>22.61196</v>
      </c>
      <c r="F34" s="411"/>
      <c r="G34" s="411"/>
      <c r="H34" s="413"/>
    </row>
    <row r="35" spans="2:11">
      <c r="B35" s="309" t="s">
        <v>304</v>
      </c>
      <c r="C35" s="303">
        <f>E23</f>
        <v>622.0071999999999</v>
      </c>
      <c r="D35" s="295">
        <v>30</v>
      </c>
      <c r="E35" s="295">
        <f>C35/D35</f>
        <v>20.733573333333329</v>
      </c>
      <c r="F35" s="411"/>
      <c r="G35" s="411"/>
      <c r="H35" s="413"/>
    </row>
    <row r="36" spans="2:11">
      <c r="B36" s="309" t="s">
        <v>316</v>
      </c>
      <c r="C36" s="296" t="s">
        <v>290</v>
      </c>
      <c r="D36" s="296" t="s">
        <v>290</v>
      </c>
      <c r="E36" s="415">
        <v>22</v>
      </c>
      <c r="F36" s="411"/>
      <c r="G36" s="411"/>
      <c r="H36" s="413"/>
    </row>
    <row r="37" spans="2:11">
      <c r="B37" s="309" t="s">
        <v>344</v>
      </c>
      <c r="C37" s="296" t="s">
        <v>290</v>
      </c>
      <c r="D37" s="296" t="s">
        <v>290</v>
      </c>
      <c r="E37" s="415"/>
      <c r="F37" s="411"/>
      <c r="G37" s="411"/>
      <c r="H37" s="413"/>
    </row>
    <row r="38" spans="2:11">
      <c r="B38" s="309" t="s">
        <v>345</v>
      </c>
      <c r="C38" s="296" t="s">
        <v>290</v>
      </c>
      <c r="D38" s="296" t="s">
        <v>290</v>
      </c>
      <c r="E38" s="415"/>
      <c r="F38" s="411"/>
      <c r="G38" s="411"/>
      <c r="H38" s="413"/>
    </row>
    <row r="39" spans="2:11" ht="13.5" thickBot="1">
      <c r="B39" s="300" t="s">
        <v>346</v>
      </c>
      <c r="C39" s="301" t="s">
        <v>290</v>
      </c>
      <c r="D39" s="301" t="s">
        <v>290</v>
      </c>
      <c r="E39" s="416"/>
      <c r="F39" s="412"/>
      <c r="G39" s="412"/>
      <c r="H39" s="414"/>
    </row>
    <row r="40" spans="2:11">
      <c r="G40" s="253"/>
    </row>
    <row r="41" spans="2:11" ht="13.5" thickBot="1">
      <c r="G41" s="253"/>
    </row>
    <row r="42" spans="2:11" ht="13.5" thickBot="1">
      <c r="B42" s="408" t="s">
        <v>317</v>
      </c>
      <c r="C42" s="409"/>
      <c r="D42" s="409"/>
      <c r="E42" s="409"/>
      <c r="F42" s="409"/>
      <c r="G42" s="409"/>
      <c r="H42" s="409"/>
      <c r="I42" s="409"/>
      <c r="J42" s="409"/>
      <c r="K42" s="410"/>
    </row>
    <row r="43" spans="2:11">
      <c r="B43" s="311" t="s">
        <v>296</v>
      </c>
      <c r="C43" s="256" t="s">
        <v>328</v>
      </c>
      <c r="D43" s="256" t="s">
        <v>73</v>
      </c>
      <c r="E43" s="256" t="s">
        <v>370</v>
      </c>
      <c r="F43" s="256" t="s">
        <v>369</v>
      </c>
      <c r="G43" s="144"/>
      <c r="H43" s="256" t="s">
        <v>371</v>
      </c>
      <c r="I43" s="256" t="s">
        <v>372</v>
      </c>
      <c r="J43" s="417" t="s">
        <v>101</v>
      </c>
      <c r="K43" s="418"/>
    </row>
    <row r="44" spans="2:11" ht="25.5">
      <c r="B44" s="312" t="s">
        <v>318</v>
      </c>
      <c r="C44" s="313" t="s">
        <v>327</v>
      </c>
      <c r="D44" s="310">
        <v>8</v>
      </c>
      <c r="E44" s="314">
        <v>610</v>
      </c>
      <c r="F44" s="314">
        <f>E44*D44</f>
        <v>4880</v>
      </c>
      <c r="G44" s="144"/>
      <c r="H44" s="315">
        <v>150</v>
      </c>
      <c r="I44" s="315">
        <f>H44*D44</f>
        <v>1200</v>
      </c>
      <c r="J44" s="419">
        <f>I44+F44</f>
        <v>6080</v>
      </c>
      <c r="K44" s="420"/>
    </row>
    <row r="45" spans="2:11" ht="25.5">
      <c r="B45" s="316" t="s">
        <v>323</v>
      </c>
      <c r="C45" s="313" t="s">
        <v>327</v>
      </c>
      <c r="D45" s="310">
        <v>6</v>
      </c>
      <c r="E45" s="314">
        <v>150</v>
      </c>
      <c r="F45" s="314">
        <f t="shared" ref="F45:F55" si="3">E45*D45</f>
        <v>900</v>
      </c>
      <c r="G45" s="144"/>
      <c r="H45" s="315">
        <v>50</v>
      </c>
      <c r="I45" s="315">
        <f t="shared" ref="I45:I55" si="4">H45*D45</f>
        <v>300</v>
      </c>
      <c r="J45" s="419">
        <f t="shared" ref="J45:J55" si="5">I45+F45</f>
        <v>1200</v>
      </c>
      <c r="K45" s="420"/>
    </row>
    <row r="46" spans="2:11" ht="25.5">
      <c r="B46" s="317" t="s">
        <v>324</v>
      </c>
      <c r="C46" s="318" t="s">
        <v>311</v>
      </c>
      <c r="D46" s="310">
        <v>4.24</v>
      </c>
      <c r="E46" s="314">
        <v>838.66</v>
      </c>
      <c r="F46" s="314">
        <f t="shared" si="3"/>
        <v>3555.9184</v>
      </c>
      <c r="G46" s="144"/>
      <c r="H46" s="315">
        <v>150</v>
      </c>
      <c r="I46" s="315">
        <f t="shared" si="4"/>
        <v>636</v>
      </c>
      <c r="J46" s="419">
        <f t="shared" si="5"/>
        <v>4191.9184000000005</v>
      </c>
      <c r="K46" s="420"/>
    </row>
    <row r="47" spans="2:11">
      <c r="B47" s="316" t="s">
        <v>329</v>
      </c>
      <c r="C47" s="313" t="s">
        <v>327</v>
      </c>
      <c r="D47" s="310">
        <v>1</v>
      </c>
      <c r="E47" s="314">
        <v>350</v>
      </c>
      <c r="F47" s="314">
        <f t="shared" si="3"/>
        <v>350</v>
      </c>
      <c r="G47" s="144"/>
      <c r="H47" s="315">
        <v>150</v>
      </c>
      <c r="I47" s="315">
        <f t="shared" si="4"/>
        <v>150</v>
      </c>
      <c r="J47" s="419">
        <f t="shared" si="5"/>
        <v>500</v>
      </c>
      <c r="K47" s="420"/>
    </row>
    <row r="48" spans="2:11" ht="25.5">
      <c r="B48" s="316" t="s">
        <v>325</v>
      </c>
      <c r="C48" s="313" t="s">
        <v>327</v>
      </c>
      <c r="D48" s="310">
        <v>7</v>
      </c>
      <c r="E48" s="314">
        <v>200</v>
      </c>
      <c r="F48" s="314">
        <f t="shared" si="3"/>
        <v>1400</v>
      </c>
      <c r="G48" s="144"/>
      <c r="H48" s="315">
        <v>5</v>
      </c>
      <c r="I48" s="315">
        <f t="shared" si="4"/>
        <v>35</v>
      </c>
      <c r="J48" s="419">
        <f t="shared" si="5"/>
        <v>1435</v>
      </c>
      <c r="K48" s="420"/>
    </row>
    <row r="49" spans="2:11" ht="38.25">
      <c r="B49" s="316" t="s">
        <v>326</v>
      </c>
      <c r="C49" s="313" t="s">
        <v>327</v>
      </c>
      <c r="D49" s="310">
        <v>2</v>
      </c>
      <c r="E49" s="314">
        <v>650</v>
      </c>
      <c r="F49" s="314">
        <f t="shared" si="3"/>
        <v>1300</v>
      </c>
      <c r="G49" s="144"/>
      <c r="H49" s="315">
        <v>150</v>
      </c>
      <c r="I49" s="315">
        <f t="shared" si="4"/>
        <v>300</v>
      </c>
      <c r="J49" s="419">
        <f t="shared" si="5"/>
        <v>1600</v>
      </c>
      <c r="K49" s="420"/>
    </row>
    <row r="50" spans="2:11">
      <c r="B50" s="294" t="s">
        <v>330</v>
      </c>
      <c r="C50" s="313" t="s">
        <v>327</v>
      </c>
      <c r="D50" s="310">
        <v>4</v>
      </c>
      <c r="E50" s="314">
        <v>40</v>
      </c>
      <c r="F50" s="314">
        <f t="shared" si="3"/>
        <v>160</v>
      </c>
      <c r="G50" s="144"/>
      <c r="H50" s="315">
        <v>5</v>
      </c>
      <c r="I50" s="315">
        <f t="shared" si="4"/>
        <v>20</v>
      </c>
      <c r="J50" s="419">
        <f t="shared" si="5"/>
        <v>180</v>
      </c>
      <c r="K50" s="420"/>
    </row>
    <row r="51" spans="2:11" ht="38.25">
      <c r="B51" s="317" t="s">
        <v>333</v>
      </c>
      <c r="C51" s="319" t="s">
        <v>72</v>
      </c>
      <c r="D51" s="326">
        <v>8</v>
      </c>
      <c r="E51" s="314">
        <v>115</v>
      </c>
      <c r="F51" s="314">
        <f t="shared" si="3"/>
        <v>920</v>
      </c>
      <c r="G51" s="314"/>
      <c r="H51" s="315">
        <v>5</v>
      </c>
      <c r="I51" s="315">
        <f t="shared" si="4"/>
        <v>40</v>
      </c>
      <c r="J51" s="419">
        <f t="shared" si="5"/>
        <v>960</v>
      </c>
      <c r="K51" s="420"/>
    </row>
    <row r="52" spans="2:11" ht="25.5">
      <c r="B52" s="317" t="s">
        <v>334</v>
      </c>
      <c r="C52" s="319" t="s">
        <v>72</v>
      </c>
      <c r="D52" s="326">
        <v>4</v>
      </c>
      <c r="E52" s="314">
        <v>210</v>
      </c>
      <c r="F52" s="314">
        <f t="shared" si="3"/>
        <v>840</v>
      </c>
      <c r="G52" s="314"/>
      <c r="H52" s="315">
        <v>5</v>
      </c>
      <c r="I52" s="315">
        <f t="shared" si="4"/>
        <v>20</v>
      </c>
      <c r="J52" s="419">
        <f t="shared" si="5"/>
        <v>860</v>
      </c>
      <c r="K52" s="420"/>
    </row>
    <row r="53" spans="2:11" ht="38.25">
      <c r="B53" s="317" t="s">
        <v>335</v>
      </c>
      <c r="C53" s="319" t="s">
        <v>72</v>
      </c>
      <c r="D53" s="326">
        <v>3</v>
      </c>
      <c r="E53" s="314">
        <v>150</v>
      </c>
      <c r="F53" s="314">
        <f t="shared" si="3"/>
        <v>450</v>
      </c>
      <c r="G53" s="314"/>
      <c r="H53" s="315">
        <v>5</v>
      </c>
      <c r="I53" s="315">
        <f t="shared" si="4"/>
        <v>15</v>
      </c>
      <c r="J53" s="419">
        <f t="shared" si="5"/>
        <v>465</v>
      </c>
      <c r="K53" s="420"/>
    </row>
    <row r="54" spans="2:11" ht="38.25">
      <c r="B54" s="317" t="s">
        <v>336</v>
      </c>
      <c r="C54" s="319" t="s">
        <v>72</v>
      </c>
      <c r="D54" s="326">
        <v>6</v>
      </c>
      <c r="E54" s="314">
        <v>555</v>
      </c>
      <c r="F54" s="314">
        <f t="shared" si="3"/>
        <v>3330</v>
      </c>
      <c r="G54" s="314"/>
      <c r="H54" s="315">
        <v>120</v>
      </c>
      <c r="I54" s="315">
        <f t="shared" si="4"/>
        <v>720</v>
      </c>
      <c r="J54" s="419">
        <f t="shared" si="5"/>
        <v>4050</v>
      </c>
      <c r="K54" s="420"/>
    </row>
    <row r="55" spans="2:11" ht="38.25">
      <c r="B55" s="317" t="s">
        <v>337</v>
      </c>
      <c r="C55" s="319" t="s">
        <v>280</v>
      </c>
      <c r="D55" s="326">
        <v>35.159999999999997</v>
      </c>
      <c r="E55" s="314">
        <v>650</v>
      </c>
      <c r="F55" s="314">
        <f t="shared" si="3"/>
        <v>22853.999999999996</v>
      </c>
      <c r="G55" s="314"/>
      <c r="H55" s="315">
        <v>0</v>
      </c>
      <c r="I55" s="315">
        <f t="shared" si="4"/>
        <v>0</v>
      </c>
      <c r="J55" s="419">
        <f t="shared" si="5"/>
        <v>22853.999999999996</v>
      </c>
      <c r="K55" s="420"/>
    </row>
    <row r="56" spans="2:11" ht="13.5" thickBot="1">
      <c r="B56" s="320" t="s">
        <v>101</v>
      </c>
      <c r="C56" s="321"/>
      <c r="D56" s="322"/>
      <c r="E56" s="323"/>
      <c r="F56" s="324">
        <f>SUM(F44:F55)</f>
        <v>40939.918399999995</v>
      </c>
      <c r="G56" s="323"/>
      <c r="H56" s="323"/>
      <c r="I56" s="324">
        <f>SUM(I44:I55)</f>
        <v>3436</v>
      </c>
      <c r="J56" s="434">
        <f>SUM(J44:K55)</f>
        <v>44375.918399999995</v>
      </c>
      <c r="K56" s="435"/>
    </row>
    <row r="57" spans="2:11" ht="13.5" thickBot="1">
      <c r="B57" s="408" t="s">
        <v>339</v>
      </c>
      <c r="C57" s="409"/>
      <c r="D57" s="409"/>
      <c r="E57" s="409"/>
      <c r="F57" s="409"/>
      <c r="G57" s="409"/>
      <c r="H57" s="409"/>
      <c r="I57" s="409"/>
      <c r="J57" s="409" t="s">
        <v>340</v>
      </c>
      <c r="K57" s="410"/>
    </row>
    <row r="58" spans="2:11">
      <c r="B58" s="311" t="s">
        <v>296</v>
      </c>
      <c r="C58" s="256" t="s">
        <v>328</v>
      </c>
      <c r="D58" s="256" t="s">
        <v>73</v>
      </c>
      <c r="E58" s="256" t="s">
        <v>319</v>
      </c>
      <c r="F58" s="256" t="s">
        <v>320</v>
      </c>
      <c r="G58" s="144"/>
      <c r="H58" s="256" t="s">
        <v>321</v>
      </c>
      <c r="I58" s="256" t="s">
        <v>322</v>
      </c>
      <c r="J58" s="256" t="s">
        <v>319</v>
      </c>
      <c r="K58" s="327" t="s">
        <v>322</v>
      </c>
    </row>
    <row r="59" spans="2:11">
      <c r="B59" s="309" t="s">
        <v>331</v>
      </c>
      <c r="C59" s="313" t="s">
        <v>327</v>
      </c>
      <c r="D59" s="310">
        <v>7</v>
      </c>
      <c r="E59" s="314">
        <v>391.96</v>
      </c>
      <c r="F59" s="314">
        <f>E59*D59</f>
        <v>2743.72</v>
      </c>
      <c r="G59" s="144"/>
      <c r="H59" s="314"/>
      <c r="I59" s="314">
        <f>F59+H59</f>
        <v>2743.72</v>
      </c>
      <c r="J59" s="144">
        <v>150</v>
      </c>
      <c r="K59" s="254">
        <f>J59*D59</f>
        <v>1050</v>
      </c>
    </row>
    <row r="60" spans="2:11">
      <c r="B60" s="309" t="s">
        <v>332</v>
      </c>
      <c r="C60" s="313" t="s">
        <v>327</v>
      </c>
      <c r="D60" s="310">
        <v>1</v>
      </c>
      <c r="E60" s="314">
        <v>1390</v>
      </c>
      <c r="F60" s="314">
        <f>E60*D60</f>
        <v>1390</v>
      </c>
      <c r="G60" s="144"/>
      <c r="H60" s="314"/>
      <c r="I60" s="314">
        <f>F60+H60</f>
        <v>1390</v>
      </c>
      <c r="J60" s="144">
        <v>150</v>
      </c>
      <c r="K60" s="254">
        <f t="shared" ref="K60:K61" si="6">J60*D60</f>
        <v>150</v>
      </c>
    </row>
    <row r="61" spans="2:11">
      <c r="B61" s="309" t="s">
        <v>338</v>
      </c>
      <c r="C61" s="313" t="s">
        <v>327</v>
      </c>
      <c r="D61" s="310">
        <v>3</v>
      </c>
      <c r="E61" s="144">
        <v>2000</v>
      </c>
      <c r="F61" s="314">
        <f>E61*D61</f>
        <v>6000</v>
      </c>
      <c r="G61" s="144"/>
      <c r="H61" s="314"/>
      <c r="I61" s="314">
        <f>F61+H61</f>
        <v>6000</v>
      </c>
      <c r="J61" s="144">
        <v>200</v>
      </c>
      <c r="K61" s="254">
        <f t="shared" si="6"/>
        <v>600</v>
      </c>
    </row>
    <row r="62" spans="2:11" ht="13.5" thickBot="1">
      <c r="B62" s="320" t="s">
        <v>101</v>
      </c>
      <c r="C62" s="321"/>
      <c r="D62" s="322"/>
      <c r="E62" s="323"/>
      <c r="F62" s="323"/>
      <c r="G62" s="323"/>
      <c r="H62" s="323"/>
      <c r="I62" s="323">
        <f>SUM(I59:I61)</f>
        <v>10133.719999999999</v>
      </c>
      <c r="J62" s="255"/>
      <c r="K62" s="325">
        <f>SUM(K59:K61)</f>
        <v>1800</v>
      </c>
    </row>
    <row r="65" spans="2:11" ht="13.5" thickBot="1"/>
    <row r="66" spans="2:11" ht="13.5" thickBot="1">
      <c r="B66" s="408" t="s">
        <v>365</v>
      </c>
      <c r="C66" s="409"/>
      <c r="D66" s="409"/>
      <c r="E66" s="409"/>
      <c r="F66" s="409"/>
      <c r="G66" s="409"/>
      <c r="H66" s="409"/>
      <c r="I66" s="409"/>
      <c r="J66" s="409"/>
      <c r="K66" s="410"/>
    </row>
    <row r="67" spans="2:11" ht="13.5" thickBot="1">
      <c r="B67" s="432" t="s">
        <v>363</v>
      </c>
      <c r="C67" s="433"/>
      <c r="D67" s="433"/>
      <c r="E67" s="430" t="s">
        <v>364</v>
      </c>
      <c r="F67" s="430"/>
      <c r="G67" s="430"/>
      <c r="H67" s="430"/>
      <c r="I67" s="403" t="s">
        <v>368</v>
      </c>
      <c r="J67" s="404"/>
      <c r="K67" s="405"/>
    </row>
    <row r="68" spans="2:11">
      <c r="B68" s="273" t="s">
        <v>347</v>
      </c>
      <c r="C68" s="274">
        <v>116.54</v>
      </c>
      <c r="D68" s="257" t="s">
        <v>311</v>
      </c>
      <c r="E68" s="275" t="s">
        <v>351</v>
      </c>
      <c r="F68" s="276">
        <v>3.4119999999999999</v>
      </c>
      <c r="G68" s="257"/>
      <c r="H68" s="257" t="s">
        <v>352</v>
      </c>
      <c r="I68" s="273" t="s">
        <v>367</v>
      </c>
      <c r="J68" s="256" t="s">
        <v>366</v>
      </c>
      <c r="K68" s="283" t="s">
        <v>322</v>
      </c>
    </row>
    <row r="69" spans="2:11">
      <c r="B69" s="273" t="s">
        <v>348</v>
      </c>
      <c r="C69" s="274">
        <v>200</v>
      </c>
      <c r="D69" s="257" t="s">
        <v>359</v>
      </c>
      <c r="E69" s="275" t="s">
        <v>353</v>
      </c>
      <c r="F69" s="276">
        <v>12000</v>
      </c>
      <c r="G69" s="257"/>
      <c r="H69" s="257" t="s">
        <v>352</v>
      </c>
      <c r="I69" s="284">
        <v>30000</v>
      </c>
      <c r="J69" s="144">
        <v>6000</v>
      </c>
      <c r="K69" s="254">
        <f>J69*H74</f>
        <v>24000</v>
      </c>
    </row>
    <row r="70" spans="2:11">
      <c r="B70" s="273" t="s">
        <v>349</v>
      </c>
      <c r="C70" s="274">
        <v>90</v>
      </c>
      <c r="D70" s="257"/>
      <c r="E70" s="144"/>
      <c r="F70" s="144"/>
      <c r="G70" s="144"/>
      <c r="H70" s="144"/>
      <c r="I70" s="273" t="s">
        <v>373</v>
      </c>
      <c r="J70" s="144">
        <v>3966</v>
      </c>
      <c r="K70" s="254">
        <f>(J70*0.2)+J70</f>
        <v>4759.2</v>
      </c>
    </row>
    <row r="71" spans="2:11" ht="13.5" thickBot="1">
      <c r="B71" s="273" t="s">
        <v>350</v>
      </c>
      <c r="C71" s="274">
        <v>100</v>
      </c>
      <c r="D71" s="257" t="s">
        <v>360</v>
      </c>
      <c r="E71" s="144"/>
      <c r="F71" s="144"/>
      <c r="G71" s="144"/>
      <c r="H71" s="257"/>
      <c r="I71" s="401" t="s">
        <v>376</v>
      </c>
      <c r="J71" s="402"/>
      <c r="K71" s="283">
        <f>SUM(K69:K70)</f>
        <v>28759.200000000001</v>
      </c>
    </row>
    <row r="72" spans="2:11" ht="13.5" thickBot="1">
      <c r="B72" s="431" t="s">
        <v>362</v>
      </c>
      <c r="C72" s="430"/>
      <c r="D72" s="430"/>
      <c r="E72" s="430" t="s">
        <v>361</v>
      </c>
      <c r="F72" s="430"/>
      <c r="G72" s="144"/>
      <c r="H72" s="285"/>
      <c r="I72" s="403" t="s">
        <v>377</v>
      </c>
      <c r="J72" s="404"/>
      <c r="K72" s="405"/>
    </row>
    <row r="73" spans="2:11">
      <c r="B73" s="273" t="s">
        <v>355</v>
      </c>
      <c r="C73" s="277">
        <f>C68*C69</f>
        <v>23308</v>
      </c>
      <c r="D73" s="257" t="s">
        <v>358</v>
      </c>
      <c r="E73" s="278">
        <f>C75*F68</f>
        <v>110234.89599999999</v>
      </c>
      <c r="F73" s="257" t="s">
        <v>352</v>
      </c>
      <c r="G73" s="144"/>
      <c r="H73" s="286">
        <f>E73/I69</f>
        <v>3.674496533333333</v>
      </c>
      <c r="I73" s="273" t="s">
        <v>374</v>
      </c>
      <c r="J73" s="144">
        <v>2800</v>
      </c>
      <c r="K73" s="254">
        <f>J73</f>
        <v>2800</v>
      </c>
    </row>
    <row r="74" spans="2:11">
      <c r="B74" s="273" t="s">
        <v>356</v>
      </c>
      <c r="C74" s="277">
        <f>C70*C71</f>
        <v>9000</v>
      </c>
      <c r="D74" s="257" t="s">
        <v>358</v>
      </c>
      <c r="E74" s="279"/>
      <c r="F74" s="144"/>
      <c r="G74" s="144"/>
      <c r="H74" s="286">
        <f>ROUNDUP(H73/1,0)</f>
        <v>4</v>
      </c>
      <c r="I74" s="273" t="s">
        <v>375</v>
      </c>
      <c r="J74" s="144">
        <f>2000*4</f>
        <v>8000</v>
      </c>
      <c r="K74" s="254">
        <f>J74</f>
        <v>8000</v>
      </c>
    </row>
    <row r="75" spans="2:11" ht="13.5" thickBot="1">
      <c r="B75" s="280" t="s">
        <v>357</v>
      </c>
      <c r="C75" s="281">
        <f>C73+C74</f>
        <v>32308</v>
      </c>
      <c r="D75" s="282" t="s">
        <v>358</v>
      </c>
      <c r="E75" s="281">
        <f>E73/F69</f>
        <v>9.1862413333333333</v>
      </c>
      <c r="F75" s="282" t="s">
        <v>354</v>
      </c>
      <c r="G75" s="255"/>
      <c r="H75" s="287"/>
      <c r="I75" s="399" t="s">
        <v>376</v>
      </c>
      <c r="J75" s="400"/>
      <c r="K75" s="288">
        <f>SUM(K73:K74)</f>
        <v>10800</v>
      </c>
    </row>
    <row r="76" spans="2:11">
      <c r="C76" s="272"/>
    </row>
  </sheetData>
  <mergeCells count="44">
    <mergeCell ref="J47:K47"/>
    <mergeCell ref="J48:K48"/>
    <mergeCell ref="E72:F72"/>
    <mergeCell ref="B72:D72"/>
    <mergeCell ref="B67:D67"/>
    <mergeCell ref="E67:H67"/>
    <mergeCell ref="B66:K66"/>
    <mergeCell ref="I67:K67"/>
    <mergeCell ref="J54:K54"/>
    <mergeCell ref="J55:K55"/>
    <mergeCell ref="J56:K56"/>
    <mergeCell ref="J49:K49"/>
    <mergeCell ref="J50:K50"/>
    <mergeCell ref="J51:K51"/>
    <mergeCell ref="J52:K52"/>
    <mergeCell ref="J53:K53"/>
    <mergeCell ref="B19:E19"/>
    <mergeCell ref="B30:H30"/>
    <mergeCell ref="B3:L3"/>
    <mergeCell ref="B10:L10"/>
    <mergeCell ref="J13:J15"/>
    <mergeCell ref="K13:K15"/>
    <mergeCell ref="L13:L15"/>
    <mergeCell ref="J6:J8"/>
    <mergeCell ref="K6:K8"/>
    <mergeCell ref="L6:L8"/>
    <mergeCell ref="F11:L11"/>
    <mergeCell ref="F4:L4"/>
    <mergeCell ref="I75:J75"/>
    <mergeCell ref="I71:J71"/>
    <mergeCell ref="I72:K72"/>
    <mergeCell ref="F19:I19"/>
    <mergeCell ref="J19:L19"/>
    <mergeCell ref="B57:I57"/>
    <mergeCell ref="J57:K57"/>
    <mergeCell ref="F32:F39"/>
    <mergeCell ref="H32:H39"/>
    <mergeCell ref="E36:E39"/>
    <mergeCell ref="G32:G39"/>
    <mergeCell ref="B42:K42"/>
    <mergeCell ref="J43:K43"/>
    <mergeCell ref="J44:K44"/>
    <mergeCell ref="J45:K45"/>
    <mergeCell ref="J46:K46"/>
  </mergeCells>
  <pageMargins left="0.511811024" right="0.511811024" top="0.78740157499999996" bottom="0.78740157499999996" header="0.31496062000000002" footer="0.31496062000000002"/>
  <ignoredErrors>
    <ignoredError sqref="E25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35"/>
  <sheetViews>
    <sheetView workbookViewId="0">
      <selection activeCell="C4" sqref="C4"/>
    </sheetView>
  </sheetViews>
  <sheetFormatPr defaultRowHeight="12.75"/>
  <cols>
    <col min="1" max="1" width="2.7109375" customWidth="1"/>
    <col min="2" max="2" width="28" bestFit="1" customWidth="1"/>
    <col min="3" max="3" width="17.7109375" bestFit="1" customWidth="1"/>
    <col min="4" max="4" width="18.28515625" bestFit="1" customWidth="1"/>
    <col min="5" max="5" width="13.28515625" bestFit="1" customWidth="1"/>
    <col min="6" max="6" width="10.5703125" bestFit="1" customWidth="1"/>
    <col min="7" max="7" width="17.5703125" bestFit="1" customWidth="1"/>
    <col min="8" max="8" width="7" bestFit="1" customWidth="1"/>
    <col min="9" max="9" width="10.5703125" bestFit="1" customWidth="1"/>
  </cols>
  <sheetData>
    <row r="1" spans="2:8" ht="13.5" thickBot="1"/>
    <row r="2" spans="2:8">
      <c r="B2" s="127" t="s">
        <v>199</v>
      </c>
      <c r="C2" s="128">
        <v>0</v>
      </c>
      <c r="D2" s="129" t="s">
        <v>122</v>
      </c>
    </row>
    <row r="3" spans="2:8">
      <c r="B3" s="130" t="s">
        <v>198</v>
      </c>
      <c r="C3" s="126">
        <v>0</v>
      </c>
      <c r="D3" s="131" t="s">
        <v>122</v>
      </c>
    </row>
    <row r="4" spans="2:8">
      <c r="B4" s="130" t="s">
        <v>200</v>
      </c>
      <c r="C4" s="126">
        <v>0</v>
      </c>
      <c r="D4" s="131" t="s">
        <v>122</v>
      </c>
    </row>
    <row r="5" spans="2:8">
      <c r="B5" s="130" t="s">
        <v>201</v>
      </c>
      <c r="C5" s="126"/>
      <c r="D5" s="131" t="s">
        <v>122</v>
      </c>
    </row>
    <row r="6" spans="2:8" ht="13.5" thickBot="1">
      <c r="B6" s="132" t="s">
        <v>1</v>
      </c>
      <c r="C6" s="236">
        <v>0</v>
      </c>
      <c r="D6" s="133" t="s">
        <v>122</v>
      </c>
    </row>
    <row r="7" spans="2:8" ht="13.5" thickBot="1"/>
    <row r="8" spans="2:8">
      <c r="B8" s="127" t="s">
        <v>202</v>
      </c>
      <c r="C8" s="136" t="s">
        <v>204</v>
      </c>
      <c r="D8" s="137">
        <v>30</v>
      </c>
      <c r="G8" s="60"/>
      <c r="H8" s="62"/>
    </row>
    <row r="9" spans="2:8">
      <c r="B9" s="130" t="s">
        <v>203</v>
      </c>
      <c r="C9" s="148" t="s">
        <v>257</v>
      </c>
      <c r="D9" s="138">
        <v>30</v>
      </c>
      <c r="G9" s="60"/>
      <c r="H9" s="62"/>
    </row>
    <row r="10" spans="2:8">
      <c r="B10" s="130" t="s">
        <v>133</v>
      </c>
      <c r="C10" s="135"/>
      <c r="D10" s="139">
        <v>0.8</v>
      </c>
      <c r="G10" s="60"/>
      <c r="H10" s="62"/>
    </row>
    <row r="11" spans="2:8">
      <c r="B11" s="130" t="s">
        <v>134</v>
      </c>
      <c r="C11" s="135"/>
      <c r="D11" s="139">
        <f>D10*D9</f>
        <v>24</v>
      </c>
    </row>
    <row r="12" spans="2:8">
      <c r="B12" s="130" t="s">
        <v>135</v>
      </c>
      <c r="C12" s="135"/>
      <c r="D12" s="139">
        <f>D10*D9</f>
        <v>24</v>
      </c>
    </row>
    <row r="13" spans="2:8">
      <c r="B13" s="130" t="s">
        <v>136</v>
      </c>
      <c r="C13" s="135"/>
      <c r="D13" s="140">
        <v>14</v>
      </c>
    </row>
    <row r="14" spans="2:8" ht="13.5" thickBot="1">
      <c r="B14" s="141" t="s">
        <v>137</v>
      </c>
      <c r="C14" s="142"/>
      <c r="D14" s="143">
        <f>SUM(D11:D13)</f>
        <v>62</v>
      </c>
    </row>
    <row r="15" spans="2:8">
      <c r="B15" s="63"/>
      <c r="C15" s="63"/>
    </row>
    <row r="16" spans="2:8" ht="38.25">
      <c r="B16" s="436" t="s">
        <v>138</v>
      </c>
      <c r="C16" s="124" t="s">
        <v>139</v>
      </c>
      <c r="D16" s="124" t="s">
        <v>141</v>
      </c>
      <c r="E16" s="125" t="s">
        <v>140</v>
      </c>
    </row>
    <row r="17" spans="2:6">
      <c r="B17" s="436"/>
      <c r="C17" s="144">
        <v>0</v>
      </c>
      <c r="D17" s="61">
        <v>1</v>
      </c>
      <c r="E17">
        <f>C17*D17</f>
        <v>0</v>
      </c>
    </row>
    <row r="18" spans="2:6">
      <c r="B18" s="123" t="s">
        <v>205</v>
      </c>
      <c r="C18" s="145">
        <f>'Fundação '!C44+'Aço '!C44+Cobertura!C44+'Plaqueamento Interno '!C44+'Revestimento '!C44+Muro!C44+'Instalação Portas'!C44+'Pintura '!C44</f>
        <v>156.5</v>
      </c>
      <c r="D18" s="61"/>
    </row>
    <row r="19" spans="2:6">
      <c r="B19" s="122" t="s">
        <v>137</v>
      </c>
      <c r="C19" s="122"/>
      <c r="D19" s="122"/>
      <c r="E19" s="122">
        <f>E17</f>
        <v>0</v>
      </c>
    </row>
    <row r="20" spans="2:6">
      <c r="F20" s="61"/>
    </row>
    <row r="21" spans="2:6">
      <c r="F21" s="61"/>
    </row>
    <row r="22" spans="2:6">
      <c r="F22" s="61"/>
    </row>
    <row r="23" spans="2:6">
      <c r="B23" s="60" t="s">
        <v>216</v>
      </c>
      <c r="C23">
        <v>7500</v>
      </c>
      <c r="F23" s="61"/>
    </row>
    <row r="24" spans="2:6">
      <c r="B24" s="60" t="s">
        <v>163</v>
      </c>
      <c r="C24">
        <f>'Fundação '!E53</f>
        <v>49714</v>
      </c>
      <c r="D24" s="109">
        <f>C6</f>
        <v>0</v>
      </c>
      <c r="E24" t="e">
        <f t="shared" ref="E24:E25" si="0">C24/D24</f>
        <v>#DIV/0!</v>
      </c>
    </row>
    <row r="25" spans="2:6">
      <c r="B25" s="60" t="s">
        <v>158</v>
      </c>
      <c r="C25">
        <f>'Aço '!D46</f>
        <v>145050.54545454547</v>
      </c>
      <c r="D25" s="109">
        <f>C6</f>
        <v>0</v>
      </c>
      <c r="E25" t="e">
        <f t="shared" si="0"/>
        <v>#DIV/0!</v>
      </c>
    </row>
    <row r="26" spans="2:6">
      <c r="B26" s="60" t="s">
        <v>160</v>
      </c>
      <c r="C26">
        <f>Cobertura!D46</f>
        <v>9277.818181818182</v>
      </c>
      <c r="D26" s="109">
        <f>C6</f>
        <v>0</v>
      </c>
      <c r="E26" t="e">
        <f>C26/D26</f>
        <v>#DIV/0!</v>
      </c>
    </row>
    <row r="27" spans="2:6">
      <c r="B27" s="60" t="s">
        <v>206</v>
      </c>
      <c r="C27">
        <f>'Plaqueamento Interno '!D46</f>
        <v>18228.772727272728</v>
      </c>
      <c r="D27" s="109">
        <f>C6</f>
        <v>0</v>
      </c>
      <c r="E27" t="e">
        <f>C27/D27</f>
        <v>#DIV/0!</v>
      </c>
    </row>
    <row r="28" spans="2:6">
      <c r="B28" s="60" t="s">
        <v>207</v>
      </c>
      <c r="C28">
        <f>'Plaqueamento Externo'!D46+20000</f>
        <v>41343.272727272728</v>
      </c>
      <c r="D28" s="109">
        <f>C6</f>
        <v>0</v>
      </c>
      <c r="E28" t="e">
        <f>C28/D28</f>
        <v>#DIV/0!</v>
      </c>
    </row>
    <row r="29" spans="2:6">
      <c r="B29" s="60"/>
      <c r="D29" s="109"/>
    </row>
    <row r="30" spans="2:6">
      <c r="B30" s="60" t="s">
        <v>164</v>
      </c>
      <c r="C30">
        <v>15000</v>
      </c>
      <c r="D30" s="109"/>
    </row>
    <row r="31" spans="2:6">
      <c r="B31" s="60" t="s">
        <v>165</v>
      </c>
      <c r="C31">
        <v>15000</v>
      </c>
      <c r="D31" s="109"/>
    </row>
    <row r="34" spans="2:3">
      <c r="B34" s="60" t="s">
        <v>101</v>
      </c>
      <c r="C34">
        <f>SUM(C24:C31)</f>
        <v>293614.40909090912</v>
      </c>
    </row>
    <row r="35" spans="2:3">
      <c r="C35" t="e">
        <f>C34/C6</f>
        <v>#DIV/0!</v>
      </c>
    </row>
  </sheetData>
  <mergeCells count="1">
    <mergeCell ref="B16:B17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73"/>
  <sheetViews>
    <sheetView workbookViewId="0">
      <selection activeCell="C4" sqref="C4"/>
    </sheetView>
  </sheetViews>
  <sheetFormatPr defaultRowHeight="12.75"/>
  <cols>
    <col min="1" max="1" width="2.7109375" customWidth="1"/>
    <col min="2" max="2" width="36.7109375" bestFit="1" customWidth="1"/>
    <col min="3" max="3" width="17.7109375" bestFit="1" customWidth="1"/>
    <col min="4" max="4" width="18.28515625" bestFit="1" customWidth="1"/>
    <col min="5" max="5" width="20.7109375" bestFit="1" customWidth="1"/>
    <col min="6" max="6" width="22.28515625" bestFit="1" customWidth="1"/>
    <col min="7" max="7" width="27.140625" bestFit="1" customWidth="1"/>
    <col min="8" max="8" width="13.28515625" bestFit="1" customWidth="1"/>
  </cols>
  <sheetData>
    <row r="2" spans="1:9">
      <c r="A2" s="437"/>
      <c r="B2" s="64" t="s">
        <v>131</v>
      </c>
      <c r="C2" s="65">
        <v>0</v>
      </c>
      <c r="D2" s="66" t="s">
        <v>132</v>
      </c>
      <c r="G2" s="60"/>
      <c r="H2" s="62"/>
    </row>
    <row r="3" spans="1:9">
      <c r="A3" s="437"/>
      <c r="B3" s="67" t="s">
        <v>258</v>
      </c>
      <c r="C3" s="146">
        <v>0</v>
      </c>
      <c r="D3" s="69" t="s">
        <v>132</v>
      </c>
      <c r="G3" s="60"/>
      <c r="H3" s="62"/>
    </row>
    <row r="4" spans="1:9">
      <c r="A4" s="437"/>
      <c r="B4" s="67" t="s">
        <v>133</v>
      </c>
      <c r="C4" s="147">
        <v>0.8</v>
      </c>
      <c r="D4" s="71"/>
      <c r="G4" s="60"/>
      <c r="H4" s="62"/>
      <c r="I4" s="60"/>
    </row>
    <row r="5" spans="1:9">
      <c r="A5" s="437"/>
      <c r="B5" s="67" t="s">
        <v>134</v>
      </c>
      <c r="C5" s="72">
        <f>C4*C3</f>
        <v>0</v>
      </c>
      <c r="D5" s="71"/>
    </row>
    <row r="6" spans="1:9">
      <c r="A6" s="437"/>
      <c r="B6" s="67" t="s">
        <v>135</v>
      </c>
      <c r="C6" s="72">
        <f>C4*C3</f>
        <v>0</v>
      </c>
      <c r="D6" s="71"/>
    </row>
    <row r="7" spans="1:9">
      <c r="A7" s="437"/>
      <c r="B7" s="67" t="s">
        <v>136</v>
      </c>
      <c r="C7" s="147">
        <f>'RESUMO CUSTOS '!D13</f>
        <v>14</v>
      </c>
      <c r="D7" s="71"/>
    </row>
    <row r="8" spans="1:9">
      <c r="A8" s="437"/>
      <c r="B8" s="73" t="s">
        <v>137</v>
      </c>
      <c r="C8" s="74">
        <f>SUM(C5:C7)</f>
        <v>14</v>
      </c>
      <c r="D8" s="75"/>
    </row>
    <row r="9" spans="1:9">
      <c r="B9" s="63"/>
      <c r="C9" s="63"/>
    </row>
    <row r="10" spans="1:9" ht="25.5">
      <c r="A10" s="437"/>
      <c r="B10" s="438" t="s">
        <v>138</v>
      </c>
      <c r="C10" s="76" t="s">
        <v>139</v>
      </c>
      <c r="D10" s="76" t="s">
        <v>141</v>
      </c>
      <c r="E10" s="77" t="s">
        <v>140</v>
      </c>
    </row>
    <row r="11" spans="1:9">
      <c r="A11" s="437"/>
      <c r="B11" s="439"/>
      <c r="C11" s="70">
        <v>0</v>
      </c>
      <c r="D11" s="78">
        <v>1</v>
      </c>
      <c r="E11" s="71">
        <f>C11*D11</f>
        <v>0</v>
      </c>
    </row>
    <row r="12" spans="1:9">
      <c r="A12" s="437"/>
      <c r="B12" s="73" t="s">
        <v>137</v>
      </c>
      <c r="C12" s="74"/>
      <c r="D12" s="74"/>
      <c r="E12" s="79">
        <f>E11</f>
        <v>0</v>
      </c>
    </row>
    <row r="13" spans="1:9">
      <c r="B13" s="63"/>
      <c r="C13" s="63"/>
    </row>
    <row r="15" spans="1:9" ht="38.25">
      <c r="A15" s="437"/>
      <c r="B15" s="80"/>
      <c r="C15" s="81" t="s">
        <v>128</v>
      </c>
      <c r="D15" s="81" t="s">
        <v>129</v>
      </c>
      <c r="E15" s="81" t="s">
        <v>115</v>
      </c>
      <c r="F15" s="81" t="s">
        <v>116</v>
      </c>
      <c r="G15" s="77" t="s">
        <v>117</v>
      </c>
    </row>
    <row r="16" spans="1:9">
      <c r="A16" s="437"/>
      <c r="B16" s="67" t="s">
        <v>127</v>
      </c>
      <c r="C16" s="82"/>
      <c r="D16" s="82"/>
      <c r="E16" s="72">
        <v>7500</v>
      </c>
      <c r="F16" s="82">
        <f>22*50</f>
        <v>1100</v>
      </c>
      <c r="G16" s="71">
        <f>E16+F16</f>
        <v>8600</v>
      </c>
    </row>
    <row r="17" spans="1:7">
      <c r="A17" s="437"/>
      <c r="B17" s="67" t="s">
        <v>123</v>
      </c>
      <c r="C17" s="82"/>
      <c r="D17" s="82"/>
      <c r="E17" s="72">
        <v>5500</v>
      </c>
      <c r="F17" s="82">
        <f t="shared" ref="F17:F20" si="0">22*50</f>
        <v>1100</v>
      </c>
      <c r="G17" s="71">
        <f>F17+E17</f>
        <v>6600</v>
      </c>
    </row>
    <row r="18" spans="1:7">
      <c r="A18" s="437"/>
      <c r="B18" s="67" t="s">
        <v>168</v>
      </c>
      <c r="C18" s="82">
        <v>200</v>
      </c>
      <c r="D18" s="83">
        <v>22</v>
      </c>
      <c r="E18" s="72">
        <f>D18*C18</f>
        <v>4400</v>
      </c>
      <c r="F18" s="82">
        <f t="shared" si="0"/>
        <v>1100</v>
      </c>
      <c r="G18" s="71">
        <f>E18+F18</f>
        <v>5500</v>
      </c>
    </row>
    <row r="19" spans="1:7">
      <c r="A19" s="437"/>
      <c r="B19" s="67" t="s">
        <v>169</v>
      </c>
      <c r="C19" s="82">
        <v>150</v>
      </c>
      <c r="D19" s="83">
        <v>22</v>
      </c>
      <c r="E19" s="72">
        <f>D19*C19</f>
        <v>3300</v>
      </c>
      <c r="F19" s="82">
        <f t="shared" si="0"/>
        <v>1100</v>
      </c>
      <c r="G19" s="71">
        <f>E19+F19</f>
        <v>4400</v>
      </c>
    </row>
    <row r="20" spans="1:7">
      <c r="A20" s="437"/>
      <c r="B20" s="67" t="s">
        <v>126</v>
      </c>
      <c r="C20" s="82">
        <v>120</v>
      </c>
      <c r="D20" s="83">
        <v>22</v>
      </c>
      <c r="E20" s="72">
        <f>D20*C20</f>
        <v>2640</v>
      </c>
      <c r="F20" s="82">
        <f t="shared" si="0"/>
        <v>1100</v>
      </c>
      <c r="G20" s="71">
        <f>E20+F20</f>
        <v>3740</v>
      </c>
    </row>
    <row r="21" spans="1:7">
      <c r="A21" s="437"/>
      <c r="B21" s="67"/>
      <c r="C21" s="82"/>
      <c r="D21" s="82"/>
      <c r="E21" s="72"/>
      <c r="F21" s="72"/>
      <c r="G21" s="71"/>
    </row>
    <row r="22" spans="1:7">
      <c r="A22" s="437"/>
      <c r="B22" s="84" t="s">
        <v>118</v>
      </c>
      <c r="C22" s="85"/>
      <c r="D22" s="85"/>
      <c r="E22" s="72"/>
      <c r="F22" s="72"/>
      <c r="G22" s="71"/>
    </row>
    <row r="23" spans="1:7">
      <c r="A23" s="437"/>
      <c r="B23" s="67" t="s">
        <v>127</v>
      </c>
      <c r="C23" s="82"/>
      <c r="D23" s="82"/>
      <c r="E23" s="160">
        <v>0</v>
      </c>
      <c r="F23" s="72">
        <f>G16</f>
        <v>8600</v>
      </c>
      <c r="G23" s="87">
        <f>F23*E23</f>
        <v>0</v>
      </c>
    </row>
    <row r="24" spans="1:7">
      <c r="A24" s="437"/>
      <c r="B24" s="67" t="s">
        <v>123</v>
      </c>
      <c r="C24" s="82"/>
      <c r="D24" s="82"/>
      <c r="E24" s="160">
        <v>1</v>
      </c>
      <c r="F24" s="72">
        <f>G17</f>
        <v>6600</v>
      </c>
      <c r="G24" s="87">
        <f>F24*E24</f>
        <v>6600</v>
      </c>
    </row>
    <row r="25" spans="1:7">
      <c r="A25" s="437"/>
      <c r="B25" s="67" t="s">
        <v>168</v>
      </c>
      <c r="C25" s="82"/>
      <c r="D25" s="82"/>
      <c r="E25" s="160">
        <v>2</v>
      </c>
      <c r="F25" s="72">
        <f>G18</f>
        <v>5500</v>
      </c>
      <c r="G25" s="87">
        <f>F25*E25</f>
        <v>11000</v>
      </c>
    </row>
    <row r="26" spans="1:7">
      <c r="A26" s="437"/>
      <c r="B26" s="67" t="s">
        <v>169</v>
      </c>
      <c r="C26" s="82"/>
      <c r="D26" s="82"/>
      <c r="E26" s="160">
        <v>1</v>
      </c>
      <c r="F26" s="72">
        <f>G19</f>
        <v>4400</v>
      </c>
      <c r="G26" s="87">
        <f>F26*E26</f>
        <v>4400</v>
      </c>
    </row>
    <row r="27" spans="1:7">
      <c r="A27" s="437"/>
      <c r="B27" s="67" t="s">
        <v>126</v>
      </c>
      <c r="C27" s="82"/>
      <c r="D27" s="82"/>
      <c r="E27" s="160">
        <v>1</v>
      </c>
      <c r="F27" s="72">
        <f>G20</f>
        <v>3740</v>
      </c>
      <c r="G27" s="87">
        <f>F27*E27</f>
        <v>3740</v>
      </c>
    </row>
    <row r="28" spans="1:7">
      <c r="A28" s="437"/>
      <c r="B28" s="67"/>
      <c r="C28" s="82"/>
      <c r="D28" s="82"/>
      <c r="E28" s="86"/>
      <c r="F28" s="72"/>
      <c r="G28" s="71"/>
    </row>
    <row r="29" spans="1:7">
      <c r="A29" s="437"/>
      <c r="B29" s="67"/>
      <c r="C29" s="82"/>
      <c r="D29" s="82"/>
      <c r="E29" s="86"/>
      <c r="F29" s="72"/>
      <c r="G29" s="71"/>
    </row>
    <row r="30" spans="1:7">
      <c r="A30" s="437"/>
      <c r="B30" s="88" t="s">
        <v>119</v>
      </c>
      <c r="C30" s="89"/>
      <c r="D30" s="89"/>
      <c r="E30" s="89"/>
      <c r="F30" s="72"/>
      <c r="G30" s="90">
        <f>SUM(G23:G27)</f>
        <v>25740</v>
      </c>
    </row>
    <row r="31" spans="1:7">
      <c r="A31" s="437"/>
      <c r="B31" s="91" t="s">
        <v>130</v>
      </c>
      <c r="C31" s="92"/>
      <c r="D31" s="92"/>
      <c r="E31" s="93"/>
      <c r="F31" s="93"/>
      <c r="G31" s="94">
        <f>G30/22</f>
        <v>1170</v>
      </c>
    </row>
    <row r="33" spans="1:7">
      <c r="B33" s="60"/>
      <c r="C33" s="60"/>
      <c r="D33" s="60"/>
    </row>
    <row r="34" spans="1:7">
      <c r="A34" s="437"/>
      <c r="B34" s="64" t="s">
        <v>121</v>
      </c>
      <c r="C34" s="95" t="s">
        <v>142</v>
      </c>
      <c r="D34" s="95" t="s">
        <v>143</v>
      </c>
      <c r="E34" s="95" t="s">
        <v>144</v>
      </c>
      <c r="F34" s="95" t="s">
        <v>145</v>
      </c>
      <c r="G34" s="96" t="s">
        <v>101</v>
      </c>
    </row>
    <row r="35" spans="1:7">
      <c r="A35" s="437"/>
      <c r="B35" s="67"/>
      <c r="C35" s="97">
        <f>C3</f>
        <v>0</v>
      </c>
      <c r="D35" s="82">
        <v>1</v>
      </c>
      <c r="E35" s="72">
        <f>D35*C35</f>
        <v>0</v>
      </c>
      <c r="F35" s="72">
        <f>E35*2</f>
        <v>0</v>
      </c>
      <c r="G35" s="71">
        <f>F35</f>
        <v>0</v>
      </c>
    </row>
    <row r="36" spans="1:7">
      <c r="A36" s="437"/>
      <c r="B36" s="67" t="s">
        <v>146</v>
      </c>
      <c r="C36" s="97"/>
      <c r="D36" s="82"/>
      <c r="E36" s="72"/>
      <c r="F36" s="72"/>
      <c r="G36" s="71">
        <f>C7</f>
        <v>14</v>
      </c>
    </row>
    <row r="37" spans="1:7">
      <c r="A37" s="437"/>
      <c r="B37" s="67"/>
      <c r="C37" s="97" t="s">
        <v>148</v>
      </c>
      <c r="D37" s="98" t="s">
        <v>149</v>
      </c>
      <c r="E37" s="82" t="s">
        <v>162</v>
      </c>
      <c r="F37" s="72"/>
      <c r="G37" s="71"/>
    </row>
    <row r="38" spans="1:7">
      <c r="A38" s="437"/>
      <c r="B38" s="67" t="s">
        <v>147</v>
      </c>
      <c r="C38" s="99">
        <v>1000</v>
      </c>
      <c r="D38" s="100">
        <v>2</v>
      </c>
      <c r="E38" s="72">
        <v>450</v>
      </c>
      <c r="F38" s="72"/>
      <c r="G38" s="71">
        <f>(C38+E38)*D38</f>
        <v>2900</v>
      </c>
    </row>
    <row r="39" spans="1:7">
      <c r="A39" s="437"/>
      <c r="B39" s="91" t="s">
        <v>150</v>
      </c>
      <c r="C39" s="92"/>
      <c r="D39" s="92"/>
      <c r="E39" s="92"/>
      <c r="F39" s="92"/>
      <c r="G39" s="101">
        <f>SUM(G34:G38)</f>
        <v>2914</v>
      </c>
    </row>
    <row r="41" spans="1:7">
      <c r="B41" s="102" t="s">
        <v>151</v>
      </c>
      <c r="C41" s="103" t="s">
        <v>161</v>
      </c>
      <c r="D41" s="104" t="s">
        <v>120</v>
      </c>
    </row>
    <row r="42" spans="1:7" ht="25.5">
      <c r="B42" s="105" t="s">
        <v>155</v>
      </c>
      <c r="C42" s="86">
        <v>0</v>
      </c>
      <c r="D42" s="71">
        <f>C8*C42</f>
        <v>0</v>
      </c>
    </row>
    <row r="43" spans="1:7">
      <c r="B43" s="67" t="s">
        <v>153</v>
      </c>
      <c r="C43" s="86">
        <v>0</v>
      </c>
      <c r="D43" s="71">
        <f>E12*C43</f>
        <v>0</v>
      </c>
    </row>
    <row r="44" spans="1:7">
      <c r="B44" s="67" t="s">
        <v>154</v>
      </c>
      <c r="C44" s="86">
        <v>40</v>
      </c>
      <c r="D44" s="71">
        <f>G31*C44</f>
        <v>46800</v>
      </c>
    </row>
    <row r="45" spans="1:7">
      <c r="B45" s="67" t="s">
        <v>156</v>
      </c>
      <c r="C45" s="86">
        <v>1</v>
      </c>
      <c r="D45" s="71">
        <f>G39*C45</f>
        <v>2914</v>
      </c>
    </row>
    <row r="46" spans="1:7">
      <c r="B46" s="106" t="s">
        <v>157</v>
      </c>
      <c r="C46" s="107">
        <v>0</v>
      </c>
      <c r="D46" s="108">
        <f>SUM(D42:D45)</f>
        <v>49714</v>
      </c>
    </row>
    <row r="47" spans="1:7">
      <c r="C47" s="61">
        <f>C50</f>
        <v>0</v>
      </c>
      <c r="D47" t="e">
        <f>D46/C47</f>
        <v>#DIV/0!</v>
      </c>
    </row>
    <row r="50" spans="2:11">
      <c r="B50" s="60" t="s">
        <v>166</v>
      </c>
      <c r="C50" s="61">
        <f>'RESUMO CUSTOS '!C3</f>
        <v>0</v>
      </c>
      <c r="D50">
        <v>0</v>
      </c>
      <c r="E50">
        <f>D50*C50</f>
        <v>0</v>
      </c>
    </row>
    <row r="51" spans="2:11">
      <c r="B51" s="60" t="s">
        <v>167</v>
      </c>
      <c r="C51" s="61">
        <v>0</v>
      </c>
      <c r="D51">
        <v>0</v>
      </c>
      <c r="E51">
        <f>D51*C51</f>
        <v>0</v>
      </c>
    </row>
    <row r="52" spans="2:11">
      <c r="B52" s="60" t="s">
        <v>153</v>
      </c>
      <c r="E52">
        <v>0</v>
      </c>
    </row>
    <row r="53" spans="2:11">
      <c r="E53">
        <f>SUM(E50:E52)+D46</f>
        <v>49714</v>
      </c>
    </row>
    <row r="54" spans="2:11">
      <c r="E54" t="e">
        <f>E53/C47</f>
        <v>#DIV/0!</v>
      </c>
    </row>
    <row r="55" spans="2:11">
      <c r="C55" s="62"/>
      <c r="D55" s="62"/>
      <c r="E55" s="62"/>
      <c r="F55" s="62"/>
      <c r="G55" s="62"/>
      <c r="H55" s="62"/>
      <c r="I55" s="62"/>
      <c r="J55" s="62"/>
      <c r="K55" s="62"/>
    </row>
    <row r="56" spans="2:11">
      <c r="C56" s="62"/>
      <c r="D56" s="62"/>
      <c r="E56" s="62"/>
      <c r="F56" s="62"/>
      <c r="G56" s="62"/>
      <c r="H56" s="62"/>
      <c r="I56" s="62"/>
      <c r="J56" s="62"/>
      <c r="K56" s="62"/>
    </row>
    <row r="57" spans="2:11">
      <c r="C57" s="113"/>
      <c r="D57" s="112"/>
      <c r="E57" s="111"/>
      <c r="F57" s="112"/>
      <c r="G57" s="112"/>
      <c r="H57" s="62"/>
      <c r="I57" s="62"/>
      <c r="J57" s="62"/>
      <c r="K57" s="62"/>
    </row>
    <row r="58" spans="2:11">
      <c r="C58" s="61"/>
      <c r="D58" s="62"/>
      <c r="E58" s="61"/>
      <c r="F58" s="61"/>
      <c r="G58" s="61"/>
      <c r="H58" s="62"/>
      <c r="I58" s="62"/>
      <c r="J58" s="62"/>
      <c r="K58" s="62"/>
    </row>
    <row r="59" spans="2:11">
      <c r="C59" s="61"/>
      <c r="D59" s="62"/>
      <c r="E59" s="61"/>
      <c r="F59" s="61"/>
      <c r="G59" s="61"/>
      <c r="H59" s="62"/>
      <c r="I59" s="62"/>
      <c r="J59" s="62"/>
      <c r="K59" s="62"/>
    </row>
    <row r="60" spans="2:11">
      <c r="C60" s="62"/>
      <c r="D60" s="62"/>
      <c r="E60" s="62"/>
      <c r="F60" s="62"/>
      <c r="G60" s="62"/>
      <c r="H60" s="62"/>
      <c r="I60" s="62"/>
      <c r="J60" s="62"/>
      <c r="K60" s="62"/>
    </row>
    <row r="61" spans="2:11">
      <c r="C61" s="154"/>
      <c r="D61" s="62"/>
      <c r="E61" s="154" t="s">
        <v>220</v>
      </c>
      <c r="F61" s="153" t="s">
        <v>117</v>
      </c>
      <c r="G61" s="62"/>
      <c r="H61" s="62"/>
      <c r="I61" s="62"/>
      <c r="J61" s="62"/>
      <c r="K61" s="62"/>
    </row>
    <row r="62" spans="2:11">
      <c r="B62" s="60" t="s">
        <v>226</v>
      </c>
      <c r="C62" s="157">
        <f>10*28</f>
        <v>280</v>
      </c>
      <c r="D62" s="153" t="s">
        <v>227</v>
      </c>
      <c r="E62" s="155">
        <v>20</v>
      </c>
      <c r="F62" s="158">
        <f t="shared" ref="F62:F67" si="1">E62*C62</f>
        <v>5600</v>
      </c>
      <c r="G62" s="62"/>
      <c r="H62" s="62"/>
      <c r="I62" s="62"/>
      <c r="J62" s="62"/>
      <c r="K62" s="62"/>
    </row>
    <row r="63" spans="2:11">
      <c r="B63" s="60" t="s">
        <v>218</v>
      </c>
      <c r="C63" s="62">
        <v>58.23</v>
      </c>
      <c r="D63" s="153" t="s">
        <v>219</v>
      </c>
      <c r="E63" s="155">
        <v>480</v>
      </c>
      <c r="F63" s="156">
        <f t="shared" si="1"/>
        <v>27950.399999999998</v>
      </c>
      <c r="G63" s="62"/>
      <c r="H63" s="62"/>
      <c r="I63" s="62"/>
      <c r="J63" s="62"/>
      <c r="K63" s="62"/>
    </row>
    <row r="64" spans="2:11">
      <c r="B64" s="60" t="s">
        <v>221</v>
      </c>
      <c r="C64" s="114">
        <v>3</v>
      </c>
      <c r="D64" s="153" t="s">
        <v>222</v>
      </c>
      <c r="E64" s="155">
        <v>1800</v>
      </c>
      <c r="F64" s="156">
        <f t="shared" si="1"/>
        <v>5400</v>
      </c>
      <c r="G64" s="62"/>
      <c r="H64" s="62"/>
      <c r="I64" s="62"/>
      <c r="J64" s="62"/>
      <c r="K64" s="62"/>
    </row>
    <row r="65" spans="2:11">
      <c r="B65" s="60" t="s">
        <v>223</v>
      </c>
      <c r="C65" s="62">
        <f>736.3+1505.6+365.9+135.2</f>
        <v>2742.9999999999995</v>
      </c>
      <c r="D65" s="153" t="s">
        <v>217</v>
      </c>
      <c r="E65" s="155">
        <v>5.5</v>
      </c>
      <c r="F65" s="156">
        <f t="shared" si="1"/>
        <v>15086.499999999998</v>
      </c>
      <c r="G65" s="62"/>
      <c r="H65" s="62"/>
      <c r="I65" s="62"/>
      <c r="J65" s="62"/>
      <c r="K65" s="62"/>
    </row>
    <row r="66" spans="2:11">
      <c r="B66" s="60" t="s">
        <v>224</v>
      </c>
      <c r="C66" s="62">
        <v>1</v>
      </c>
      <c r="D66" s="62"/>
      <c r="E66" s="155">
        <v>9000</v>
      </c>
      <c r="F66" s="156">
        <f t="shared" si="1"/>
        <v>9000</v>
      </c>
      <c r="G66" s="62"/>
      <c r="H66" s="62"/>
      <c r="I66" s="62"/>
      <c r="J66" s="62"/>
      <c r="K66" s="62"/>
    </row>
    <row r="67" spans="2:11">
      <c r="B67" s="60" t="s">
        <v>225</v>
      </c>
      <c r="C67" s="62">
        <v>1.5</v>
      </c>
      <c r="D67" s="62"/>
      <c r="E67" s="155">
        <v>5500</v>
      </c>
      <c r="F67" s="156">
        <f t="shared" si="1"/>
        <v>8250</v>
      </c>
      <c r="G67" s="62"/>
      <c r="H67" s="62"/>
      <c r="I67" s="62"/>
      <c r="J67" s="62"/>
      <c r="K67" s="62"/>
    </row>
    <row r="68" spans="2:11">
      <c r="B68" s="60"/>
      <c r="C68" s="62"/>
      <c r="D68" s="62"/>
      <c r="E68" s="155"/>
      <c r="F68" s="156"/>
      <c r="G68" s="62"/>
      <c r="H68" s="62"/>
      <c r="I68" s="62"/>
      <c r="J68" s="62"/>
      <c r="K68" s="62"/>
    </row>
    <row r="69" spans="2:11">
      <c r="B69" s="60" t="s">
        <v>117</v>
      </c>
      <c r="C69" s="62"/>
      <c r="D69" s="62"/>
      <c r="E69" s="62"/>
      <c r="F69" s="156">
        <f>SUM(F62:F67)</f>
        <v>71286.899999999994</v>
      </c>
      <c r="G69" s="62"/>
      <c r="H69" s="62"/>
      <c r="I69" s="62"/>
      <c r="J69" s="62"/>
      <c r="K69" s="62"/>
    </row>
    <row r="70" spans="2:11">
      <c r="C70" s="62"/>
      <c r="D70" s="62"/>
      <c r="E70" s="62"/>
      <c r="F70" s="62"/>
      <c r="G70" s="62"/>
      <c r="H70" s="62"/>
      <c r="I70" s="62"/>
      <c r="J70" s="62"/>
      <c r="K70" s="62"/>
    </row>
    <row r="71" spans="2:11">
      <c r="C71" s="62"/>
      <c r="D71" s="62"/>
      <c r="E71" s="62"/>
      <c r="F71" s="62"/>
      <c r="G71" s="62"/>
      <c r="H71" s="62"/>
      <c r="I71" s="62"/>
      <c r="J71" s="62"/>
      <c r="K71" s="62"/>
    </row>
    <row r="72" spans="2:11">
      <c r="C72" s="62"/>
      <c r="D72" s="62"/>
      <c r="E72" s="62"/>
      <c r="F72" s="62"/>
      <c r="G72" s="62"/>
      <c r="H72" s="62"/>
      <c r="I72" s="62"/>
      <c r="J72" s="62"/>
      <c r="K72" s="62"/>
    </row>
    <row r="73" spans="2:11">
      <c r="C73" s="62"/>
      <c r="D73" s="62"/>
      <c r="E73" s="62"/>
      <c r="F73" s="62"/>
      <c r="G73" s="62"/>
      <c r="H73" s="62"/>
      <c r="I73" s="62"/>
      <c r="J73" s="62"/>
      <c r="K73" s="62"/>
    </row>
  </sheetData>
  <mergeCells count="5">
    <mergeCell ref="A2:A8"/>
    <mergeCell ref="A10:A12"/>
    <mergeCell ref="B10:B11"/>
    <mergeCell ref="A15:A31"/>
    <mergeCell ref="A34:A39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I54"/>
  <sheetViews>
    <sheetView topLeftCell="A16" workbookViewId="0">
      <selection activeCell="D45" sqref="D45"/>
    </sheetView>
  </sheetViews>
  <sheetFormatPr defaultRowHeight="12.75"/>
  <cols>
    <col min="1" max="1" width="2.7109375" customWidth="1"/>
    <col min="2" max="2" width="36.7109375" bestFit="1" customWidth="1"/>
    <col min="3" max="3" width="17.7109375" bestFit="1" customWidth="1"/>
    <col min="4" max="4" width="18.28515625" bestFit="1" customWidth="1"/>
    <col min="5" max="5" width="17.140625" customWidth="1"/>
    <col min="6" max="6" width="22.28515625" bestFit="1" customWidth="1"/>
    <col min="7" max="7" width="27.140625" bestFit="1" customWidth="1"/>
    <col min="8" max="8" width="13.28515625" bestFit="1" customWidth="1"/>
    <col min="9" max="9" width="10.5703125" bestFit="1" customWidth="1"/>
  </cols>
  <sheetData>
    <row r="2" spans="1:9">
      <c r="A2" s="437"/>
      <c r="B2" s="64" t="s">
        <v>131</v>
      </c>
      <c r="C2" s="65">
        <v>30</v>
      </c>
      <c r="D2" s="66" t="s">
        <v>132</v>
      </c>
      <c r="G2" s="60" t="s">
        <v>159</v>
      </c>
      <c r="H2" s="62">
        <f>'RESUMO CUSTOS '!C6</f>
        <v>0</v>
      </c>
    </row>
    <row r="3" spans="1:9">
      <c r="A3" s="437"/>
      <c r="B3" s="67" t="s">
        <v>258</v>
      </c>
      <c r="C3" s="149">
        <v>30</v>
      </c>
      <c r="D3" s="69" t="s">
        <v>132</v>
      </c>
      <c r="G3" s="60" t="s">
        <v>230</v>
      </c>
      <c r="H3" s="62">
        <f>H2*32</f>
        <v>0</v>
      </c>
      <c r="I3" s="60" t="s">
        <v>231</v>
      </c>
    </row>
    <row r="4" spans="1:9">
      <c r="A4" s="437"/>
      <c r="B4" s="67" t="s">
        <v>133</v>
      </c>
      <c r="C4" s="150">
        <v>0.8</v>
      </c>
      <c r="D4" s="71"/>
      <c r="H4" s="62">
        <f>H3/400</f>
        <v>0</v>
      </c>
      <c r="I4" s="60" t="s">
        <v>232</v>
      </c>
    </row>
    <row r="5" spans="1:9">
      <c r="A5" s="437"/>
      <c r="B5" s="67" t="s">
        <v>134</v>
      </c>
      <c r="C5" s="72">
        <f>C4*C3</f>
        <v>24</v>
      </c>
      <c r="D5" s="71"/>
    </row>
    <row r="6" spans="1:9">
      <c r="A6" s="437"/>
      <c r="B6" s="67" t="s">
        <v>135</v>
      </c>
      <c r="C6" s="72">
        <f>C4*C3</f>
        <v>24</v>
      </c>
      <c r="D6" s="71"/>
    </row>
    <row r="7" spans="1:9">
      <c r="A7" s="437"/>
      <c r="B7" s="67" t="s">
        <v>136</v>
      </c>
      <c r="C7" s="150">
        <v>0</v>
      </c>
      <c r="D7" s="71"/>
    </row>
    <row r="8" spans="1:9">
      <c r="A8" s="437"/>
      <c r="B8" s="73" t="s">
        <v>137</v>
      </c>
      <c r="C8" s="74">
        <f>SUM(C5:C7)</f>
        <v>48</v>
      </c>
      <c r="D8" s="75"/>
    </row>
    <row r="9" spans="1:9">
      <c r="B9" s="63"/>
      <c r="C9" s="63"/>
    </row>
    <row r="10" spans="1:9" ht="25.5">
      <c r="A10" s="437"/>
      <c r="B10" s="438" t="s">
        <v>138</v>
      </c>
      <c r="C10" s="76" t="s">
        <v>139</v>
      </c>
      <c r="D10" s="76" t="s">
        <v>141</v>
      </c>
      <c r="E10" s="77" t="s">
        <v>140</v>
      </c>
    </row>
    <row r="11" spans="1:9">
      <c r="A11" s="437"/>
      <c r="B11" s="439"/>
      <c r="C11" s="70">
        <v>3500</v>
      </c>
      <c r="D11" s="78">
        <v>0</v>
      </c>
      <c r="E11" s="71">
        <f>C11*D11</f>
        <v>0</v>
      </c>
    </row>
    <row r="12" spans="1:9">
      <c r="A12" s="437"/>
      <c r="B12" s="73" t="s">
        <v>137</v>
      </c>
      <c r="C12" s="74"/>
      <c r="D12" s="74"/>
      <c r="E12" s="79">
        <f>E11</f>
        <v>0</v>
      </c>
    </row>
    <row r="13" spans="1:9">
      <c r="B13" s="63"/>
      <c r="C13" s="63"/>
    </row>
    <row r="15" spans="1:9" ht="38.25">
      <c r="A15" s="437"/>
      <c r="B15" s="80"/>
      <c r="C15" s="81" t="s">
        <v>128</v>
      </c>
      <c r="D15" s="81" t="s">
        <v>129</v>
      </c>
      <c r="E15" s="81" t="s">
        <v>115</v>
      </c>
      <c r="F15" s="81" t="s">
        <v>116</v>
      </c>
      <c r="G15" s="77" t="s">
        <v>117</v>
      </c>
    </row>
    <row r="16" spans="1:9">
      <c r="A16" s="437"/>
      <c r="B16" s="67" t="s">
        <v>127</v>
      </c>
      <c r="C16" s="82"/>
      <c r="D16" s="82"/>
      <c r="E16" s="72">
        <v>7000</v>
      </c>
      <c r="F16" s="161">
        <f>D18*30</f>
        <v>780</v>
      </c>
      <c r="G16" s="71">
        <f>E16+F16</f>
        <v>7780</v>
      </c>
    </row>
    <row r="17" spans="1:7">
      <c r="A17" s="437"/>
      <c r="B17" s="67" t="s">
        <v>123</v>
      </c>
      <c r="C17" s="82"/>
      <c r="D17" s="82"/>
      <c r="E17" s="72">
        <v>5000</v>
      </c>
      <c r="F17" s="161">
        <f>D18*30</f>
        <v>780</v>
      </c>
      <c r="G17" s="71">
        <f>F17+E17</f>
        <v>5780</v>
      </c>
    </row>
    <row r="18" spans="1:7">
      <c r="A18" s="437"/>
      <c r="B18" s="67" t="s">
        <v>124</v>
      </c>
      <c r="C18" s="82">
        <v>250</v>
      </c>
      <c r="D18" s="83">
        <v>26</v>
      </c>
      <c r="E18" s="72">
        <f>D18*C18</f>
        <v>6500</v>
      </c>
      <c r="F18" s="161">
        <f>D18*30</f>
        <v>780</v>
      </c>
      <c r="G18" s="71">
        <f>E18+F18</f>
        <v>7280</v>
      </c>
    </row>
    <row r="19" spans="1:7">
      <c r="A19" s="437"/>
      <c r="B19" s="67" t="s">
        <v>125</v>
      </c>
      <c r="C19" s="82">
        <v>180</v>
      </c>
      <c r="D19" s="83">
        <v>26</v>
      </c>
      <c r="E19" s="72">
        <f>D19*C19</f>
        <v>4680</v>
      </c>
      <c r="F19" s="161">
        <f t="shared" ref="F19:F20" si="0">D19*30</f>
        <v>780</v>
      </c>
      <c r="G19" s="71">
        <f>E19+F19</f>
        <v>5460</v>
      </c>
    </row>
    <row r="20" spans="1:7">
      <c r="A20" s="437"/>
      <c r="B20" s="67" t="s">
        <v>126</v>
      </c>
      <c r="C20" s="82">
        <v>160</v>
      </c>
      <c r="D20" s="83">
        <v>26</v>
      </c>
      <c r="E20" s="72">
        <f>D20*C20</f>
        <v>4160</v>
      </c>
      <c r="F20" s="161">
        <f t="shared" si="0"/>
        <v>780</v>
      </c>
      <c r="G20" s="71">
        <f>E20+F20</f>
        <v>4940</v>
      </c>
    </row>
    <row r="21" spans="1:7">
      <c r="A21" s="437"/>
      <c r="B21" s="67"/>
      <c r="C21" s="82"/>
      <c r="D21" s="82"/>
      <c r="E21" s="72"/>
      <c r="F21" s="72"/>
      <c r="G21" s="71"/>
    </row>
    <row r="22" spans="1:7">
      <c r="A22" s="437"/>
      <c r="B22" s="84" t="s">
        <v>118</v>
      </c>
      <c r="C22" s="85"/>
      <c r="D22" s="85"/>
      <c r="E22" s="72"/>
      <c r="F22" s="72"/>
      <c r="G22" s="71"/>
    </row>
    <row r="23" spans="1:7">
      <c r="A23" s="437"/>
      <c r="B23" s="67" t="s">
        <v>127</v>
      </c>
      <c r="C23" s="82"/>
      <c r="D23" s="82"/>
      <c r="E23" s="86">
        <v>1</v>
      </c>
      <c r="F23" s="72">
        <f>G16</f>
        <v>7780</v>
      </c>
      <c r="G23" s="87">
        <f>F23*E23</f>
        <v>7780</v>
      </c>
    </row>
    <row r="24" spans="1:7">
      <c r="A24" s="437"/>
      <c r="B24" s="67" t="s">
        <v>123</v>
      </c>
      <c r="C24" s="82"/>
      <c r="D24" s="82"/>
      <c r="E24" s="160">
        <v>1</v>
      </c>
      <c r="F24" s="72">
        <f>G17</f>
        <v>5780</v>
      </c>
      <c r="G24" s="87">
        <f>F24*E24</f>
        <v>5780</v>
      </c>
    </row>
    <row r="25" spans="1:7">
      <c r="A25" s="437"/>
      <c r="B25" s="67" t="s">
        <v>124</v>
      </c>
      <c r="C25" s="82"/>
      <c r="D25" s="82"/>
      <c r="E25" s="160">
        <v>1</v>
      </c>
      <c r="F25" s="72">
        <f>G18</f>
        <v>7280</v>
      </c>
      <c r="G25" s="87">
        <f>F25*E25</f>
        <v>7280</v>
      </c>
    </row>
    <row r="26" spans="1:7">
      <c r="A26" s="437"/>
      <c r="B26" s="67" t="s">
        <v>125</v>
      </c>
      <c r="C26" s="82"/>
      <c r="D26" s="82"/>
      <c r="E26" s="160">
        <v>2</v>
      </c>
      <c r="F26" s="72">
        <f>G19</f>
        <v>5460</v>
      </c>
      <c r="G26" s="87">
        <f>F26*E26</f>
        <v>10920</v>
      </c>
    </row>
    <row r="27" spans="1:7">
      <c r="A27" s="437"/>
      <c r="B27" s="67" t="s">
        <v>126</v>
      </c>
      <c r="C27" s="82"/>
      <c r="D27" s="82"/>
      <c r="E27" s="160">
        <v>2</v>
      </c>
      <c r="F27" s="72">
        <f>G20</f>
        <v>4940</v>
      </c>
      <c r="G27" s="87">
        <f>F27*E27</f>
        <v>9880</v>
      </c>
    </row>
    <row r="28" spans="1:7">
      <c r="A28" s="437"/>
      <c r="B28" s="67"/>
      <c r="C28" s="82"/>
      <c r="D28" s="82"/>
      <c r="E28" s="86"/>
      <c r="F28" s="72"/>
      <c r="G28" s="71"/>
    </row>
    <row r="29" spans="1:7">
      <c r="A29" s="437"/>
      <c r="B29" s="67"/>
      <c r="C29" s="82"/>
      <c r="D29" s="82"/>
      <c r="E29" s="86"/>
      <c r="F29" s="72"/>
      <c r="G29" s="71"/>
    </row>
    <row r="30" spans="1:7">
      <c r="A30" s="437"/>
      <c r="B30" s="88" t="s">
        <v>119</v>
      </c>
      <c r="C30" s="89"/>
      <c r="D30" s="89"/>
      <c r="E30" s="89"/>
      <c r="F30" s="72"/>
      <c r="G30" s="90">
        <f>SUM(G23:G27)</f>
        <v>41640</v>
      </c>
    </row>
    <row r="31" spans="1:7">
      <c r="A31" s="437"/>
      <c r="B31" s="91" t="s">
        <v>130</v>
      </c>
      <c r="C31" s="92"/>
      <c r="D31" s="92"/>
      <c r="E31" s="93"/>
      <c r="F31" s="93"/>
      <c r="G31" s="94">
        <f>G30/22</f>
        <v>1892.7272727272727</v>
      </c>
    </row>
    <row r="33" spans="1:9">
      <c r="B33" s="60"/>
      <c r="C33" s="60"/>
      <c r="D33" s="60"/>
    </row>
    <row r="34" spans="1:9">
      <c r="A34" s="437"/>
      <c r="B34" s="64" t="s">
        <v>121</v>
      </c>
      <c r="C34" s="95" t="s">
        <v>142</v>
      </c>
      <c r="D34" s="95" t="s">
        <v>143</v>
      </c>
      <c r="E34" s="95" t="s">
        <v>144</v>
      </c>
      <c r="F34" s="95" t="s">
        <v>145</v>
      </c>
      <c r="G34" s="96" t="s">
        <v>101</v>
      </c>
    </row>
    <row r="35" spans="1:9">
      <c r="A35" s="437"/>
      <c r="B35" s="67"/>
      <c r="C35" s="97">
        <f>C3</f>
        <v>30</v>
      </c>
      <c r="D35" s="82">
        <v>0.8</v>
      </c>
      <c r="E35" s="72">
        <f>D35*C35</f>
        <v>24</v>
      </c>
      <c r="F35" s="72">
        <f>E35*2</f>
        <v>48</v>
      </c>
      <c r="G35" s="71">
        <f>F35</f>
        <v>48</v>
      </c>
    </row>
    <row r="36" spans="1:9">
      <c r="A36" s="437"/>
      <c r="B36" s="67" t="s">
        <v>146</v>
      </c>
      <c r="C36" s="97"/>
      <c r="D36" s="82"/>
      <c r="E36" s="72"/>
      <c r="F36" s="72"/>
      <c r="G36" s="71">
        <f>C7</f>
        <v>0</v>
      </c>
    </row>
    <row r="37" spans="1:9">
      <c r="A37" s="437"/>
      <c r="B37" s="67"/>
      <c r="C37" s="97" t="s">
        <v>148</v>
      </c>
      <c r="D37" s="98" t="s">
        <v>149</v>
      </c>
      <c r="E37" s="72"/>
      <c r="F37" s="72"/>
      <c r="G37" s="71"/>
    </row>
    <row r="38" spans="1:9">
      <c r="A38" s="437"/>
      <c r="B38" s="67" t="s">
        <v>147</v>
      </c>
      <c r="C38" s="99">
        <v>500</v>
      </c>
      <c r="D38" s="100">
        <v>3</v>
      </c>
      <c r="E38" s="72"/>
      <c r="F38" s="72"/>
      <c r="G38" s="71">
        <f>C38*D38</f>
        <v>1500</v>
      </c>
      <c r="I38">
        <f>15000/30</f>
        <v>500</v>
      </c>
    </row>
    <row r="39" spans="1:9">
      <c r="A39" s="437"/>
      <c r="B39" s="91" t="s">
        <v>150</v>
      </c>
      <c r="C39" s="92"/>
      <c r="D39" s="92"/>
      <c r="E39" s="92"/>
      <c r="F39" s="92"/>
      <c r="G39" s="101">
        <f>SUM(G34:G38)</f>
        <v>1548</v>
      </c>
    </row>
    <row r="41" spans="1:9">
      <c r="B41" s="102" t="s">
        <v>151</v>
      </c>
      <c r="C41" s="103" t="s">
        <v>152</v>
      </c>
      <c r="D41" s="104" t="s">
        <v>120</v>
      </c>
    </row>
    <row r="42" spans="1:9" ht="25.5">
      <c r="B42" s="105" t="s">
        <v>155</v>
      </c>
      <c r="C42" s="86">
        <v>0</v>
      </c>
      <c r="D42" s="71">
        <f>C8*C42</f>
        <v>0</v>
      </c>
    </row>
    <row r="43" spans="1:9">
      <c r="B43" s="67" t="s">
        <v>153</v>
      </c>
      <c r="C43" s="86">
        <v>0</v>
      </c>
      <c r="D43" s="71">
        <f>C11*C43</f>
        <v>0</v>
      </c>
    </row>
    <row r="44" spans="1:9">
      <c r="B44" s="67" t="s">
        <v>154</v>
      </c>
      <c r="C44" s="86">
        <v>75</v>
      </c>
      <c r="D44" s="71">
        <f>C44*G31</f>
        <v>141954.54545454547</v>
      </c>
    </row>
    <row r="45" spans="1:9">
      <c r="B45" s="67" t="s">
        <v>156</v>
      </c>
      <c r="C45" s="86">
        <v>2</v>
      </c>
      <c r="D45" s="71">
        <f>G39*C45</f>
        <v>3096</v>
      </c>
    </row>
    <row r="46" spans="1:9">
      <c r="B46" s="106" t="s">
        <v>157</v>
      </c>
      <c r="C46" s="107"/>
      <c r="D46" s="108">
        <f>SUM(D42:D45)</f>
        <v>145050.54545454547</v>
      </c>
    </row>
    <row r="47" spans="1:9">
      <c r="C47" s="61">
        <v>26000</v>
      </c>
      <c r="D47">
        <f>D46/C47</f>
        <v>5.5788671328671331</v>
      </c>
    </row>
    <row r="50" spans="3:7">
      <c r="D50">
        <f>6*C47</f>
        <v>156000</v>
      </c>
    </row>
    <row r="52" spans="3:7">
      <c r="C52" s="113"/>
      <c r="D52" s="112"/>
      <c r="E52" s="111"/>
      <c r="F52" s="112"/>
      <c r="G52" s="112"/>
    </row>
    <row r="53" spans="3:7">
      <c r="C53" s="61"/>
      <c r="D53" s="62"/>
      <c r="E53" s="61"/>
      <c r="F53" s="61"/>
      <c r="G53" s="61"/>
    </row>
    <row r="54" spans="3:7">
      <c r="C54" s="61"/>
      <c r="D54" s="62"/>
      <c r="E54" s="61"/>
      <c r="F54" s="61"/>
      <c r="G54" s="61"/>
    </row>
  </sheetData>
  <mergeCells count="5">
    <mergeCell ref="B10:B11"/>
    <mergeCell ref="A2:A8"/>
    <mergeCell ref="A10:A12"/>
    <mergeCell ref="A15:A31"/>
    <mergeCell ref="A34:A39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H47"/>
  <sheetViews>
    <sheetView workbookViewId="0">
      <selection activeCell="F19" sqref="F19"/>
    </sheetView>
  </sheetViews>
  <sheetFormatPr defaultRowHeight="12.75"/>
  <cols>
    <col min="1" max="1" width="2.7109375" customWidth="1"/>
    <col min="2" max="2" width="36.7109375" bestFit="1" customWidth="1"/>
    <col min="3" max="3" width="17.7109375" bestFit="1" customWidth="1"/>
    <col min="4" max="4" width="18.28515625" bestFit="1" customWidth="1"/>
    <col min="5" max="5" width="17.140625" customWidth="1"/>
    <col min="6" max="6" width="22.28515625" bestFit="1" customWidth="1"/>
    <col min="7" max="7" width="27.140625" bestFit="1" customWidth="1"/>
    <col min="8" max="8" width="10.5703125" bestFit="1" customWidth="1"/>
  </cols>
  <sheetData>
    <row r="2" spans="1:8">
      <c r="A2" s="437"/>
      <c r="B2" s="64" t="s">
        <v>131</v>
      </c>
      <c r="C2" s="65">
        <v>0</v>
      </c>
      <c r="D2" s="66" t="s">
        <v>132</v>
      </c>
      <c r="G2" s="60" t="s">
        <v>159</v>
      </c>
      <c r="H2" s="62">
        <v>430</v>
      </c>
    </row>
    <row r="3" spans="1:8">
      <c r="A3" s="437"/>
      <c r="B3" s="67" t="s">
        <v>258</v>
      </c>
      <c r="C3" s="146">
        <f>'RESUMO CUSTOS '!D9</f>
        <v>30</v>
      </c>
      <c r="D3" s="69" t="s">
        <v>132</v>
      </c>
    </row>
    <row r="4" spans="1:8">
      <c r="A4" s="437"/>
      <c r="B4" s="67" t="s">
        <v>133</v>
      </c>
      <c r="C4" s="147">
        <v>0.8</v>
      </c>
      <c r="D4" s="71"/>
    </row>
    <row r="5" spans="1:8">
      <c r="A5" s="437"/>
      <c r="B5" s="67" t="s">
        <v>134</v>
      </c>
      <c r="C5" s="72">
        <f>C4*C3</f>
        <v>24</v>
      </c>
      <c r="D5" s="71"/>
    </row>
    <row r="6" spans="1:8">
      <c r="A6" s="437"/>
      <c r="B6" s="67" t="s">
        <v>135</v>
      </c>
      <c r="C6" s="72">
        <f>C4*C3</f>
        <v>24</v>
      </c>
      <c r="D6" s="71"/>
    </row>
    <row r="7" spans="1:8">
      <c r="A7" s="437"/>
      <c r="B7" s="67" t="s">
        <v>136</v>
      </c>
      <c r="C7" s="147">
        <v>14</v>
      </c>
      <c r="D7" s="71"/>
    </row>
    <row r="8" spans="1:8">
      <c r="A8" s="437"/>
      <c r="B8" s="73" t="s">
        <v>137</v>
      </c>
      <c r="C8" s="74">
        <f>SUM(C5:C7)</f>
        <v>62</v>
      </c>
      <c r="D8" s="75"/>
    </row>
    <row r="9" spans="1:8">
      <c r="B9" s="63"/>
      <c r="C9" s="63"/>
    </row>
    <row r="10" spans="1:8" ht="25.5">
      <c r="A10" s="437"/>
      <c r="B10" s="438" t="s">
        <v>138</v>
      </c>
      <c r="C10" s="76" t="s">
        <v>139</v>
      </c>
      <c r="D10" s="76" t="s">
        <v>141</v>
      </c>
      <c r="E10" s="77" t="s">
        <v>140</v>
      </c>
    </row>
    <row r="11" spans="1:8">
      <c r="A11" s="437"/>
      <c r="B11" s="439"/>
      <c r="C11" s="70">
        <v>3500</v>
      </c>
      <c r="D11" s="78">
        <v>0</v>
      </c>
      <c r="E11" s="71">
        <f>C11*D11</f>
        <v>0</v>
      </c>
    </row>
    <row r="12" spans="1:8">
      <c r="A12" s="437"/>
      <c r="B12" s="73" t="s">
        <v>137</v>
      </c>
      <c r="C12" s="74"/>
      <c r="D12" s="74"/>
      <c r="E12" s="79">
        <f>E11</f>
        <v>0</v>
      </c>
    </row>
    <row r="13" spans="1:8">
      <c r="B13" s="63"/>
      <c r="C13" s="63"/>
    </row>
    <row r="15" spans="1:8" ht="38.25">
      <c r="A15" s="437"/>
      <c r="B15" s="80"/>
      <c r="C15" s="81" t="s">
        <v>128</v>
      </c>
      <c r="D15" s="81" t="s">
        <v>129</v>
      </c>
      <c r="E15" s="81" t="s">
        <v>115</v>
      </c>
      <c r="F15" s="81" t="s">
        <v>116</v>
      </c>
      <c r="G15" s="77" t="s">
        <v>117</v>
      </c>
    </row>
    <row r="16" spans="1:8">
      <c r="A16" s="437"/>
      <c r="B16" s="67" t="s">
        <v>127</v>
      </c>
      <c r="C16" s="82"/>
      <c r="D16" s="82"/>
      <c r="E16" s="72">
        <v>7500</v>
      </c>
      <c r="F16" s="82">
        <f>22*22</f>
        <v>484</v>
      </c>
      <c r="G16" s="71">
        <f>E16+F16</f>
        <v>7984</v>
      </c>
    </row>
    <row r="17" spans="1:7">
      <c r="A17" s="437"/>
      <c r="B17" s="67" t="s">
        <v>123</v>
      </c>
      <c r="C17" s="82"/>
      <c r="D17" s="82"/>
      <c r="E17" s="72">
        <v>10000</v>
      </c>
      <c r="F17" s="82">
        <f t="shared" ref="F17:F20" si="0">22*22</f>
        <v>484</v>
      </c>
      <c r="G17" s="71">
        <f>F17+E17</f>
        <v>10484</v>
      </c>
    </row>
    <row r="18" spans="1:7">
      <c r="A18" s="437"/>
      <c r="B18" s="67" t="s">
        <v>124</v>
      </c>
      <c r="C18" s="82">
        <v>250</v>
      </c>
      <c r="D18" s="83">
        <v>22</v>
      </c>
      <c r="E18" s="72">
        <f>D18*C18</f>
        <v>5500</v>
      </c>
      <c r="F18" s="82">
        <f t="shared" si="0"/>
        <v>484</v>
      </c>
      <c r="G18" s="71">
        <f>E18+F18</f>
        <v>5984</v>
      </c>
    </row>
    <row r="19" spans="1:7">
      <c r="A19" s="437"/>
      <c r="B19" s="67" t="s">
        <v>125</v>
      </c>
      <c r="C19" s="82">
        <v>180</v>
      </c>
      <c r="D19" s="83">
        <v>22</v>
      </c>
      <c r="E19" s="72">
        <f>D19*C19</f>
        <v>3960</v>
      </c>
      <c r="F19" s="82">
        <f t="shared" si="0"/>
        <v>484</v>
      </c>
      <c r="G19" s="71">
        <f>E19+F19</f>
        <v>4444</v>
      </c>
    </row>
    <row r="20" spans="1:7">
      <c r="A20" s="437"/>
      <c r="B20" s="67" t="s">
        <v>126</v>
      </c>
      <c r="C20" s="82">
        <v>160</v>
      </c>
      <c r="D20" s="83">
        <v>22</v>
      </c>
      <c r="E20" s="72">
        <f>D20*C20</f>
        <v>3520</v>
      </c>
      <c r="F20" s="82">
        <f t="shared" si="0"/>
        <v>484</v>
      </c>
      <c r="G20" s="71">
        <f>E20+F20</f>
        <v>4004</v>
      </c>
    </row>
    <row r="21" spans="1:7">
      <c r="A21" s="437"/>
      <c r="B21" s="67"/>
      <c r="C21" s="82"/>
      <c r="D21" s="82"/>
      <c r="E21" s="72"/>
      <c r="F21" s="72"/>
      <c r="G21" s="71"/>
    </row>
    <row r="22" spans="1:7">
      <c r="A22" s="437"/>
      <c r="B22" s="84" t="s">
        <v>118</v>
      </c>
      <c r="C22" s="85"/>
      <c r="D22" s="85"/>
      <c r="E22" s="72"/>
      <c r="F22" s="72"/>
      <c r="G22" s="71"/>
    </row>
    <row r="23" spans="1:7">
      <c r="A23" s="437"/>
      <c r="B23" s="67" t="s">
        <v>127</v>
      </c>
      <c r="C23" s="82"/>
      <c r="D23" s="82"/>
      <c r="E23" s="86">
        <v>1</v>
      </c>
      <c r="F23" s="72">
        <f>G16</f>
        <v>7984</v>
      </c>
      <c r="G23" s="87">
        <f>F23*E23</f>
        <v>7984</v>
      </c>
    </row>
    <row r="24" spans="1:7">
      <c r="A24" s="437"/>
      <c r="B24" s="67" t="s">
        <v>123</v>
      </c>
      <c r="C24" s="82"/>
      <c r="D24" s="82"/>
      <c r="E24" s="86">
        <v>1</v>
      </c>
      <c r="F24" s="72">
        <f>G17</f>
        <v>10484</v>
      </c>
      <c r="G24" s="87">
        <f>F24*E24</f>
        <v>10484</v>
      </c>
    </row>
    <row r="25" spans="1:7">
      <c r="A25" s="437"/>
      <c r="B25" s="67" t="s">
        <v>124</v>
      </c>
      <c r="C25" s="82"/>
      <c r="D25" s="82"/>
      <c r="E25" s="86">
        <v>1</v>
      </c>
      <c r="F25" s="72">
        <f>G18</f>
        <v>5984</v>
      </c>
      <c r="G25" s="87">
        <f>F25*E25</f>
        <v>5984</v>
      </c>
    </row>
    <row r="26" spans="1:7">
      <c r="A26" s="437"/>
      <c r="B26" s="67" t="s">
        <v>125</v>
      </c>
      <c r="C26" s="82"/>
      <c r="D26" s="82"/>
      <c r="E26" s="86">
        <v>1</v>
      </c>
      <c r="F26" s="72">
        <f>G19</f>
        <v>4444</v>
      </c>
      <c r="G26" s="87">
        <f>F26*E26</f>
        <v>4444</v>
      </c>
    </row>
    <row r="27" spans="1:7">
      <c r="A27" s="437"/>
      <c r="B27" s="67" t="s">
        <v>126</v>
      </c>
      <c r="C27" s="82"/>
      <c r="D27" s="82"/>
      <c r="E27" s="86">
        <v>1</v>
      </c>
      <c r="F27" s="72">
        <f>G20</f>
        <v>4004</v>
      </c>
      <c r="G27" s="87">
        <f>F27*E27</f>
        <v>4004</v>
      </c>
    </row>
    <row r="28" spans="1:7">
      <c r="A28" s="437"/>
      <c r="B28" s="67"/>
      <c r="C28" s="82"/>
      <c r="D28" s="82"/>
      <c r="E28" s="86"/>
      <c r="F28" s="72"/>
      <c r="G28" s="71"/>
    </row>
    <row r="29" spans="1:7">
      <c r="A29" s="437"/>
      <c r="B29" s="67"/>
      <c r="C29" s="82"/>
      <c r="D29" s="82"/>
      <c r="E29" s="86"/>
      <c r="F29" s="72"/>
      <c r="G29" s="71"/>
    </row>
    <row r="30" spans="1:7">
      <c r="A30" s="437"/>
      <c r="B30" s="88" t="s">
        <v>119</v>
      </c>
      <c r="C30" s="89"/>
      <c r="D30" s="89"/>
      <c r="E30" s="89"/>
      <c r="F30" s="72"/>
      <c r="G30" s="90">
        <f>SUM(G23:G27)</f>
        <v>32900</v>
      </c>
    </row>
    <row r="31" spans="1:7">
      <c r="A31" s="437"/>
      <c r="B31" s="91" t="s">
        <v>130</v>
      </c>
      <c r="C31" s="92"/>
      <c r="D31" s="92"/>
      <c r="E31" s="93"/>
      <c r="F31" s="93"/>
      <c r="G31" s="94">
        <f>G30/22</f>
        <v>1495.4545454545455</v>
      </c>
    </row>
    <row r="33" spans="1:7">
      <c r="B33" s="60"/>
      <c r="C33" s="60"/>
      <c r="D33" s="60"/>
    </row>
    <row r="34" spans="1:7">
      <c r="A34" s="437"/>
      <c r="B34" s="64" t="s">
        <v>121</v>
      </c>
      <c r="C34" s="95" t="s">
        <v>142</v>
      </c>
      <c r="D34" s="95" t="s">
        <v>143</v>
      </c>
      <c r="E34" s="95" t="s">
        <v>144</v>
      </c>
      <c r="F34" s="95" t="s">
        <v>145</v>
      </c>
      <c r="G34" s="96" t="s">
        <v>101</v>
      </c>
    </row>
    <row r="35" spans="1:7">
      <c r="A35" s="437"/>
      <c r="B35" s="67"/>
      <c r="C35" s="97">
        <f>C3</f>
        <v>30</v>
      </c>
      <c r="D35" s="82">
        <v>1</v>
      </c>
      <c r="E35" s="72">
        <f>D35*C35</f>
        <v>30</v>
      </c>
      <c r="F35" s="72">
        <f>E35*2</f>
        <v>60</v>
      </c>
      <c r="G35" s="71">
        <f>F35</f>
        <v>60</v>
      </c>
    </row>
    <row r="36" spans="1:7">
      <c r="A36" s="437"/>
      <c r="B36" s="67" t="s">
        <v>146</v>
      </c>
      <c r="C36" s="97"/>
      <c r="D36" s="82"/>
      <c r="E36" s="72"/>
      <c r="F36" s="72"/>
      <c r="G36" s="71">
        <f>C7</f>
        <v>14</v>
      </c>
    </row>
    <row r="37" spans="1:7">
      <c r="A37" s="437"/>
      <c r="B37" s="67"/>
      <c r="C37" s="97" t="s">
        <v>148</v>
      </c>
      <c r="D37" s="98" t="s">
        <v>149</v>
      </c>
      <c r="E37" s="82" t="s">
        <v>162</v>
      </c>
      <c r="F37" s="72"/>
      <c r="G37" s="71"/>
    </row>
    <row r="38" spans="1:7">
      <c r="A38" s="437"/>
      <c r="B38" s="67" t="s">
        <v>147</v>
      </c>
      <c r="C38" s="99">
        <v>1000</v>
      </c>
      <c r="D38" s="100">
        <v>1</v>
      </c>
      <c r="E38" s="72">
        <v>450</v>
      </c>
      <c r="F38" s="72"/>
      <c r="G38" s="71">
        <f>(C38+E38)*D38</f>
        <v>1450</v>
      </c>
    </row>
    <row r="39" spans="1:7">
      <c r="A39" s="437"/>
      <c r="B39" s="91" t="s">
        <v>150</v>
      </c>
      <c r="C39" s="92"/>
      <c r="D39" s="92"/>
      <c r="E39" s="92"/>
      <c r="F39" s="92"/>
      <c r="G39" s="101">
        <f>SUM(G34:G38)</f>
        <v>1524</v>
      </c>
    </row>
    <row r="41" spans="1:7">
      <c r="B41" s="102" t="s">
        <v>151</v>
      </c>
      <c r="C41" s="103" t="s">
        <v>161</v>
      </c>
      <c r="D41" s="104" t="s">
        <v>120</v>
      </c>
    </row>
    <row r="42" spans="1:7" ht="25.5">
      <c r="B42" s="105" t="s">
        <v>155</v>
      </c>
      <c r="C42" s="86">
        <v>4</v>
      </c>
      <c r="D42" s="71">
        <f>C8*C42</f>
        <v>248</v>
      </c>
    </row>
    <row r="43" spans="1:7">
      <c r="B43" s="67" t="s">
        <v>153</v>
      </c>
      <c r="C43" s="86">
        <v>0</v>
      </c>
      <c r="D43" s="71">
        <f>E12*C43</f>
        <v>0</v>
      </c>
    </row>
    <row r="44" spans="1:7">
      <c r="B44" s="67" t="s">
        <v>154</v>
      </c>
      <c r="C44" s="86">
        <v>4</v>
      </c>
      <c r="D44" s="71">
        <f>G31*C44</f>
        <v>5981.818181818182</v>
      </c>
    </row>
    <row r="45" spans="1:7">
      <c r="B45" s="67" t="s">
        <v>156</v>
      </c>
      <c r="C45" s="86">
        <v>2</v>
      </c>
      <c r="D45" s="71">
        <f>G39*C45</f>
        <v>3048</v>
      </c>
    </row>
    <row r="46" spans="1:7">
      <c r="B46" s="106" t="s">
        <v>157</v>
      </c>
      <c r="C46" s="107"/>
      <c r="D46" s="108">
        <f>SUM(D42:D45)</f>
        <v>9277.818181818182</v>
      </c>
    </row>
    <row r="47" spans="1:7">
      <c r="C47" s="61">
        <f>'RESUMO CUSTOS '!C6</f>
        <v>0</v>
      </c>
      <c r="D47" t="e">
        <f>D46/C47</f>
        <v>#DIV/0!</v>
      </c>
    </row>
  </sheetData>
  <mergeCells count="5">
    <mergeCell ref="A2:A8"/>
    <mergeCell ref="A10:A12"/>
    <mergeCell ref="B10:B11"/>
    <mergeCell ref="A15:A31"/>
    <mergeCell ref="A34:A39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O252"/>
  <sheetViews>
    <sheetView topLeftCell="A14" zoomScale="90" zoomScaleNormal="90" workbookViewId="0">
      <selection activeCell="E25" sqref="E25"/>
    </sheetView>
  </sheetViews>
  <sheetFormatPr defaultRowHeight="12.75"/>
  <cols>
    <col min="1" max="1" width="2.7109375" customWidth="1"/>
    <col min="2" max="2" width="36.7109375" bestFit="1" customWidth="1"/>
    <col min="3" max="3" width="17.7109375" bestFit="1" customWidth="1"/>
    <col min="4" max="4" width="18.28515625" bestFit="1" customWidth="1"/>
    <col min="5" max="5" width="17.140625" customWidth="1"/>
    <col min="6" max="6" width="22.28515625" bestFit="1" customWidth="1"/>
    <col min="7" max="7" width="27.140625" bestFit="1" customWidth="1"/>
    <col min="8" max="8" width="12.140625" bestFit="1" customWidth="1"/>
    <col min="9" max="9" width="13.85546875" bestFit="1" customWidth="1"/>
    <col min="10" max="10" width="10.5703125" bestFit="1" customWidth="1"/>
    <col min="11" max="11" width="14.140625" bestFit="1" customWidth="1"/>
    <col min="13" max="13" width="9.5703125" bestFit="1" customWidth="1"/>
    <col min="14" max="14" width="12.140625" bestFit="1" customWidth="1"/>
  </cols>
  <sheetData>
    <row r="2" spans="1:15">
      <c r="A2" s="437"/>
      <c r="B2" s="64" t="s">
        <v>131</v>
      </c>
      <c r="C2" s="65">
        <v>30</v>
      </c>
      <c r="D2" s="66" t="s">
        <v>132</v>
      </c>
      <c r="G2" s="60" t="s">
        <v>159</v>
      </c>
      <c r="H2" s="62">
        <f>'Aço '!H2</f>
        <v>0</v>
      </c>
    </row>
    <row r="3" spans="1:15">
      <c r="A3" s="437"/>
      <c r="B3" s="67" t="s">
        <v>258</v>
      </c>
      <c r="C3" s="68">
        <v>30</v>
      </c>
      <c r="D3" s="69" t="s">
        <v>132</v>
      </c>
    </row>
    <row r="4" spans="1:15">
      <c r="A4" s="437"/>
      <c r="B4" s="67" t="s">
        <v>133</v>
      </c>
      <c r="C4" s="70">
        <v>0.8</v>
      </c>
      <c r="D4" s="71"/>
      <c r="G4" s="60" t="s">
        <v>209</v>
      </c>
      <c r="H4" s="62">
        <v>1502.13</v>
      </c>
      <c r="I4" s="60" t="s">
        <v>122</v>
      </c>
      <c r="K4" s="60" t="s">
        <v>211</v>
      </c>
      <c r="N4" s="62">
        <v>0</v>
      </c>
      <c r="O4" s="60" t="s">
        <v>122</v>
      </c>
    </row>
    <row r="5" spans="1:15">
      <c r="A5" s="437"/>
      <c r="B5" s="67" t="s">
        <v>134</v>
      </c>
      <c r="C5" s="72">
        <f>C4*C3</f>
        <v>24</v>
      </c>
      <c r="D5" s="71"/>
      <c r="G5" s="60" t="s">
        <v>193</v>
      </c>
      <c r="H5" s="114">
        <f>H4/30</f>
        <v>50.071000000000005</v>
      </c>
      <c r="K5" s="60" t="s">
        <v>193</v>
      </c>
      <c r="N5" s="114">
        <f>N4/30</f>
        <v>0</v>
      </c>
    </row>
    <row r="6" spans="1:15">
      <c r="A6" s="437"/>
      <c r="B6" s="67" t="s">
        <v>135</v>
      </c>
      <c r="C6" s="72">
        <f>C4*C3</f>
        <v>24</v>
      </c>
      <c r="D6" s="71"/>
      <c r="G6" s="60" t="s">
        <v>194</v>
      </c>
      <c r="H6" s="114">
        <f>H4/60</f>
        <v>25.035500000000003</v>
      </c>
      <c r="K6" s="60" t="s">
        <v>194</v>
      </c>
      <c r="N6" s="114">
        <f>N4/60</f>
        <v>0</v>
      </c>
    </row>
    <row r="7" spans="1:15">
      <c r="A7" s="437"/>
      <c r="B7" s="67" t="s">
        <v>136</v>
      </c>
      <c r="C7" s="70">
        <v>0</v>
      </c>
      <c r="D7" s="71"/>
      <c r="G7" s="60" t="s">
        <v>195</v>
      </c>
      <c r="H7" s="114">
        <f>H4/90</f>
        <v>16.690333333333335</v>
      </c>
      <c r="K7" s="60" t="s">
        <v>195</v>
      </c>
      <c r="N7" s="114">
        <f>N4/90</f>
        <v>0</v>
      </c>
    </row>
    <row r="8" spans="1:15">
      <c r="A8" s="437"/>
      <c r="B8" s="73" t="s">
        <v>137</v>
      </c>
      <c r="C8" s="74">
        <f>SUM(C5:C7)</f>
        <v>48</v>
      </c>
      <c r="D8" s="75"/>
    </row>
    <row r="9" spans="1:15">
      <c r="B9" s="63"/>
      <c r="C9" s="63"/>
      <c r="G9" s="60" t="s">
        <v>213</v>
      </c>
      <c r="H9" s="114">
        <v>0</v>
      </c>
      <c r="I9" s="60" t="s">
        <v>122</v>
      </c>
      <c r="K9" s="60" t="s">
        <v>214</v>
      </c>
      <c r="N9" s="62">
        <v>0</v>
      </c>
      <c r="O9" s="60" t="s">
        <v>122</v>
      </c>
    </row>
    <row r="10" spans="1:15" ht="25.5">
      <c r="A10" s="437"/>
      <c r="B10" s="438" t="s">
        <v>138</v>
      </c>
      <c r="C10" s="76" t="s">
        <v>139</v>
      </c>
      <c r="D10" s="76" t="s">
        <v>141</v>
      </c>
      <c r="E10" s="77" t="s">
        <v>140</v>
      </c>
      <c r="G10" s="60" t="s">
        <v>193</v>
      </c>
      <c r="H10" s="114">
        <f>H9/30</f>
        <v>0</v>
      </c>
      <c r="I10" s="60"/>
      <c r="K10" s="60" t="s">
        <v>193</v>
      </c>
      <c r="L10" s="114"/>
      <c r="N10" s="114">
        <f>N9/30</f>
        <v>0</v>
      </c>
    </row>
    <row r="11" spans="1:15">
      <c r="A11" s="437"/>
      <c r="B11" s="439"/>
      <c r="C11" s="70">
        <v>3500</v>
      </c>
      <c r="D11" s="78">
        <v>0</v>
      </c>
      <c r="E11" s="71">
        <f>C11*D11</f>
        <v>0</v>
      </c>
      <c r="G11" s="60" t="s">
        <v>194</v>
      </c>
      <c r="H11" s="114">
        <f>H9/60</f>
        <v>0</v>
      </c>
      <c r="K11" s="60" t="s">
        <v>194</v>
      </c>
      <c r="L11" s="114"/>
      <c r="N11" s="114">
        <f>N9/60</f>
        <v>0</v>
      </c>
    </row>
    <row r="12" spans="1:15">
      <c r="A12" s="437"/>
      <c r="B12" s="73" t="s">
        <v>137</v>
      </c>
      <c r="C12" s="74"/>
      <c r="D12" s="74"/>
      <c r="E12" s="79">
        <f>E11</f>
        <v>0</v>
      </c>
      <c r="G12" s="60" t="s">
        <v>195</v>
      </c>
      <c r="H12" s="114">
        <f>H9/90</f>
        <v>0</v>
      </c>
      <c r="K12" s="60" t="s">
        <v>195</v>
      </c>
      <c r="L12" s="114"/>
      <c r="N12" s="114">
        <f>N9/90</f>
        <v>0</v>
      </c>
    </row>
    <row r="13" spans="1:15">
      <c r="B13" s="63"/>
      <c r="C13" s="63"/>
      <c r="H13" s="114"/>
    </row>
    <row r="15" spans="1:15" ht="38.25">
      <c r="A15" s="437"/>
      <c r="B15" s="80"/>
      <c r="C15" s="81" t="s">
        <v>128</v>
      </c>
      <c r="D15" s="81" t="s">
        <v>129</v>
      </c>
      <c r="E15" s="81" t="s">
        <v>115</v>
      </c>
      <c r="F15" s="81" t="s">
        <v>116</v>
      </c>
      <c r="G15" s="77" t="s">
        <v>117</v>
      </c>
      <c r="I15" s="62">
        <f>H4+H9+N9</f>
        <v>1502.13</v>
      </c>
      <c r="J15" s="125" t="s">
        <v>122</v>
      </c>
      <c r="M15" s="151">
        <f>H7+N7+H12+N12</f>
        <v>16.690333333333335</v>
      </c>
    </row>
    <row r="16" spans="1:15">
      <c r="A16" s="437"/>
      <c r="B16" s="67" t="s">
        <v>127</v>
      </c>
      <c r="C16" s="82"/>
      <c r="D16" s="82"/>
      <c r="E16" s="72">
        <v>7000</v>
      </c>
      <c r="F16" s="82">
        <f>D18*30</f>
        <v>780</v>
      </c>
      <c r="G16" s="71">
        <f>E16+F16</f>
        <v>7780</v>
      </c>
    </row>
    <row r="17" spans="1:7">
      <c r="A17" s="437"/>
      <c r="B17" s="67" t="s">
        <v>123</v>
      </c>
      <c r="C17" s="82"/>
      <c r="D17" s="82"/>
      <c r="E17" s="72">
        <v>5000</v>
      </c>
      <c r="F17" s="82">
        <f>D18*30</f>
        <v>780</v>
      </c>
      <c r="G17" s="71">
        <f>F17+E17</f>
        <v>5780</v>
      </c>
    </row>
    <row r="18" spans="1:7">
      <c r="A18" s="437"/>
      <c r="B18" s="67" t="s">
        <v>124</v>
      </c>
      <c r="C18" s="82">
        <v>250</v>
      </c>
      <c r="D18" s="83">
        <v>26</v>
      </c>
      <c r="E18" s="72">
        <f>D18*C18</f>
        <v>6500</v>
      </c>
      <c r="F18" s="82">
        <f>D18*30</f>
        <v>780</v>
      </c>
      <c r="G18" s="71">
        <f>E18+F18</f>
        <v>7280</v>
      </c>
    </row>
    <row r="19" spans="1:7">
      <c r="A19" s="437"/>
      <c r="B19" s="67" t="s">
        <v>125</v>
      </c>
      <c r="C19" s="82">
        <v>180</v>
      </c>
      <c r="D19" s="83">
        <v>26</v>
      </c>
      <c r="E19" s="72">
        <f>D19*C19</f>
        <v>4680</v>
      </c>
      <c r="F19" s="82">
        <f>D19*30</f>
        <v>780</v>
      </c>
      <c r="G19" s="71">
        <f>E19+F19</f>
        <v>5460</v>
      </c>
    </row>
    <row r="20" spans="1:7">
      <c r="A20" s="437"/>
      <c r="B20" s="67" t="s">
        <v>126</v>
      </c>
      <c r="C20" s="82">
        <v>160</v>
      </c>
      <c r="D20" s="83">
        <v>26</v>
      </c>
      <c r="E20" s="72">
        <f>D20*C20</f>
        <v>4160</v>
      </c>
      <c r="F20" s="82">
        <f>D20*30</f>
        <v>780</v>
      </c>
      <c r="G20" s="71">
        <f>E20+F20</f>
        <v>4940</v>
      </c>
    </row>
    <row r="21" spans="1:7">
      <c r="A21" s="437"/>
      <c r="B21" s="67"/>
      <c r="C21" s="82"/>
      <c r="D21" s="82"/>
      <c r="E21" s="72"/>
      <c r="F21" s="72"/>
      <c r="G21" s="71"/>
    </row>
    <row r="22" spans="1:7">
      <c r="A22" s="437"/>
      <c r="B22" s="84" t="s">
        <v>118</v>
      </c>
      <c r="C22" s="85"/>
      <c r="D22" s="85"/>
      <c r="E22" s="72"/>
      <c r="F22" s="72"/>
      <c r="G22" s="71"/>
    </row>
    <row r="23" spans="1:7">
      <c r="A23" s="437"/>
      <c r="B23" s="67" t="s">
        <v>127</v>
      </c>
      <c r="C23" s="82"/>
      <c r="D23" s="82"/>
      <c r="E23" s="86">
        <v>0.15</v>
      </c>
      <c r="F23" s="72">
        <f>G16</f>
        <v>7780</v>
      </c>
      <c r="G23" s="87">
        <f>F23*E23</f>
        <v>1167</v>
      </c>
    </row>
    <row r="24" spans="1:7">
      <c r="A24" s="437"/>
      <c r="B24" s="67" t="s">
        <v>123</v>
      </c>
      <c r="C24" s="82"/>
      <c r="D24" s="82"/>
      <c r="E24" s="86">
        <v>0.5</v>
      </c>
      <c r="F24" s="72">
        <f>G17</f>
        <v>5780</v>
      </c>
      <c r="G24" s="87">
        <f>F24*E24</f>
        <v>2890</v>
      </c>
    </row>
    <row r="25" spans="1:7">
      <c r="A25" s="437"/>
      <c r="B25" s="67" t="s">
        <v>124</v>
      </c>
      <c r="C25" s="82"/>
      <c r="D25" s="82"/>
      <c r="E25" s="86">
        <v>1</v>
      </c>
      <c r="F25" s="72">
        <f>G18</f>
        <v>7280</v>
      </c>
      <c r="G25" s="87">
        <f>F25*E25</f>
        <v>7280</v>
      </c>
    </row>
    <row r="26" spans="1:7">
      <c r="A26" s="437"/>
      <c r="B26" s="67" t="s">
        <v>125</v>
      </c>
      <c r="C26" s="82"/>
      <c r="D26" s="82"/>
      <c r="E26" s="86">
        <v>1</v>
      </c>
      <c r="F26" s="72">
        <f>G19</f>
        <v>5460</v>
      </c>
      <c r="G26" s="87">
        <f>F26*E26</f>
        <v>5460</v>
      </c>
    </row>
    <row r="27" spans="1:7">
      <c r="A27" s="437"/>
      <c r="B27" s="67" t="s">
        <v>126</v>
      </c>
      <c r="C27" s="82"/>
      <c r="D27" s="82"/>
      <c r="E27" s="86">
        <v>1</v>
      </c>
      <c r="F27" s="72">
        <f>G20</f>
        <v>4940</v>
      </c>
      <c r="G27" s="87">
        <f>F27*E27</f>
        <v>4940</v>
      </c>
    </row>
    <row r="28" spans="1:7">
      <c r="A28" s="437"/>
      <c r="B28" s="67"/>
      <c r="C28" s="82"/>
      <c r="D28" s="82"/>
      <c r="E28" s="86"/>
      <c r="F28" s="72"/>
      <c r="G28" s="71"/>
    </row>
    <row r="29" spans="1:7">
      <c r="A29" s="437"/>
      <c r="B29" s="67"/>
      <c r="C29" s="82"/>
      <c r="D29" s="82"/>
      <c r="E29" s="86"/>
      <c r="F29" s="72"/>
      <c r="G29" s="71"/>
    </row>
    <row r="30" spans="1:7">
      <c r="A30" s="437"/>
      <c r="B30" s="88" t="s">
        <v>119</v>
      </c>
      <c r="C30" s="89"/>
      <c r="D30" s="89"/>
      <c r="E30" s="89"/>
      <c r="F30" s="72"/>
      <c r="G30" s="90">
        <f>SUM(G23:G27)</f>
        <v>21737</v>
      </c>
    </row>
    <row r="31" spans="1:7">
      <c r="A31" s="437"/>
      <c r="B31" s="91" t="s">
        <v>130</v>
      </c>
      <c r="C31" s="92"/>
      <c r="D31" s="92"/>
      <c r="E31" s="93"/>
      <c r="F31" s="93"/>
      <c r="G31" s="94">
        <f>G30/22</f>
        <v>988.0454545454545</v>
      </c>
    </row>
    <row r="33" spans="1:7">
      <c r="B33" s="60"/>
      <c r="C33" s="60"/>
      <c r="D33" s="60"/>
    </row>
    <row r="34" spans="1:7">
      <c r="A34" s="437"/>
      <c r="B34" s="64" t="s">
        <v>121</v>
      </c>
      <c r="C34" s="95" t="s">
        <v>142</v>
      </c>
      <c r="D34" s="95" t="s">
        <v>143</v>
      </c>
      <c r="E34" s="95" t="s">
        <v>144</v>
      </c>
      <c r="F34" s="95" t="s">
        <v>145</v>
      </c>
      <c r="G34" s="96" t="s">
        <v>101</v>
      </c>
    </row>
    <row r="35" spans="1:7">
      <c r="A35" s="437"/>
      <c r="B35" s="67"/>
      <c r="C35" s="97">
        <f>C3</f>
        <v>30</v>
      </c>
      <c r="D35" s="82">
        <v>0.8</v>
      </c>
      <c r="E35" s="72">
        <f>D35*C35</f>
        <v>24</v>
      </c>
      <c r="F35" s="72">
        <f>E35*2</f>
        <v>48</v>
      </c>
      <c r="G35" s="71">
        <f>F35</f>
        <v>48</v>
      </c>
    </row>
    <row r="36" spans="1:7">
      <c r="A36" s="437"/>
      <c r="B36" s="67" t="s">
        <v>146</v>
      </c>
      <c r="C36" s="97"/>
      <c r="D36" s="82"/>
      <c r="E36" s="72"/>
      <c r="F36" s="72"/>
      <c r="G36" s="71">
        <f>C7</f>
        <v>0</v>
      </c>
    </row>
    <row r="37" spans="1:7">
      <c r="A37" s="437"/>
      <c r="B37" s="67"/>
      <c r="C37" s="97" t="s">
        <v>148</v>
      </c>
      <c r="D37" s="98" t="s">
        <v>149</v>
      </c>
      <c r="E37" s="72"/>
      <c r="F37" s="72"/>
      <c r="G37" s="71"/>
    </row>
    <row r="38" spans="1:7">
      <c r="A38" s="437"/>
      <c r="B38" s="67" t="s">
        <v>147</v>
      </c>
      <c r="C38" s="99">
        <v>500</v>
      </c>
      <c r="D38" s="100">
        <v>1</v>
      </c>
      <c r="E38" s="72"/>
      <c r="F38" s="72"/>
      <c r="G38" s="71">
        <f>C38*D38</f>
        <v>500</v>
      </c>
    </row>
    <row r="39" spans="1:7">
      <c r="A39" s="437"/>
      <c r="B39" s="91" t="s">
        <v>150</v>
      </c>
      <c r="C39" s="92"/>
      <c r="D39" s="92"/>
      <c r="E39" s="92"/>
      <c r="F39" s="92"/>
      <c r="G39" s="101">
        <f>SUM(G34:G38)</f>
        <v>548</v>
      </c>
    </row>
    <row r="41" spans="1:7">
      <c r="B41" s="102" t="s">
        <v>151</v>
      </c>
      <c r="C41" s="103" t="s">
        <v>152</v>
      </c>
      <c r="D41" s="104" t="s">
        <v>120</v>
      </c>
    </row>
    <row r="42" spans="1:7" ht="25.5">
      <c r="B42" s="105" t="s">
        <v>155</v>
      </c>
      <c r="C42" s="86">
        <v>7</v>
      </c>
      <c r="D42" s="71">
        <f>C8*C42</f>
        <v>336</v>
      </c>
    </row>
    <row r="43" spans="1:7">
      <c r="B43" s="67" t="s">
        <v>153</v>
      </c>
      <c r="C43" s="86">
        <v>0</v>
      </c>
      <c r="D43" s="71">
        <f>C43*C11</f>
        <v>0</v>
      </c>
    </row>
    <row r="44" spans="1:7">
      <c r="B44" s="67" t="s">
        <v>154</v>
      </c>
      <c r="C44" s="121">
        <v>17</v>
      </c>
      <c r="D44" s="71">
        <f>G31*C44</f>
        <v>16796.772727272728</v>
      </c>
    </row>
    <row r="45" spans="1:7">
      <c r="B45" s="67" t="s">
        <v>156</v>
      </c>
      <c r="C45" s="121">
        <v>2</v>
      </c>
      <c r="D45" s="71">
        <f>G39*C45</f>
        <v>1096</v>
      </c>
    </row>
    <row r="46" spans="1:7">
      <c r="B46" s="106" t="s">
        <v>157</v>
      </c>
      <c r="C46" s="107"/>
      <c r="D46" s="108">
        <f>SUM(D42:D45)</f>
        <v>18228.772727272728</v>
      </c>
    </row>
    <row r="47" spans="1:7">
      <c r="C47" s="61">
        <v>1502.13</v>
      </c>
      <c r="D47">
        <f>D46/C47</f>
        <v>12.135283049584741</v>
      </c>
    </row>
    <row r="51" spans="4:8">
      <c r="D51" s="113"/>
      <c r="E51" s="112"/>
      <c r="F51" s="111"/>
      <c r="G51" s="112"/>
      <c r="H51" s="112"/>
    </row>
    <row r="52" spans="4:8">
      <c r="D52" s="61"/>
      <c r="E52" s="62"/>
      <c r="F52" s="61"/>
      <c r="G52" s="61"/>
      <c r="H52" s="61"/>
    </row>
    <row r="53" spans="4:8">
      <c r="D53" s="440" t="s">
        <v>179</v>
      </c>
      <c r="E53" s="440"/>
      <c r="F53" s="440"/>
      <c r="G53" s="440"/>
      <c r="H53" s="440"/>
    </row>
    <row r="54" spans="4:8">
      <c r="D54" s="62"/>
    </row>
    <row r="55" spans="4:8" ht="25.5">
      <c r="D55" s="113" t="s">
        <v>181</v>
      </c>
      <c r="E55" s="116" t="s">
        <v>180</v>
      </c>
      <c r="F55" s="116" t="s">
        <v>182</v>
      </c>
      <c r="G55" s="116" t="s">
        <v>183</v>
      </c>
      <c r="H55" s="119" t="s">
        <v>184</v>
      </c>
    </row>
    <row r="56" spans="4:8">
      <c r="D56" s="115"/>
      <c r="E56" s="115">
        <v>2.7</v>
      </c>
      <c r="F56" s="115">
        <f>E56*D56</f>
        <v>0</v>
      </c>
      <c r="H56" s="120"/>
    </row>
    <row r="57" spans="4:8">
      <c r="D57" s="115"/>
      <c r="E57" s="115">
        <v>2.7</v>
      </c>
      <c r="F57" s="115">
        <f>E57*D57</f>
        <v>0</v>
      </c>
      <c r="H57" s="120"/>
    </row>
    <row r="58" spans="4:8">
      <c r="D58" s="115"/>
      <c r="E58" s="115">
        <v>2.7</v>
      </c>
      <c r="F58" s="115">
        <f>E58*D58</f>
        <v>0</v>
      </c>
      <c r="H58" s="120"/>
    </row>
    <row r="59" spans="4:8">
      <c r="D59" s="115"/>
      <c r="E59" s="115">
        <v>2.7</v>
      </c>
      <c r="F59" s="115">
        <f>E59*D59</f>
        <v>0</v>
      </c>
      <c r="H59" s="120"/>
    </row>
    <row r="60" spans="4:8">
      <c r="D60" s="62"/>
      <c r="F60" s="118">
        <f>SUM(F56:F59)</f>
        <v>0</v>
      </c>
      <c r="G60" s="118">
        <f>F60</f>
        <v>0</v>
      </c>
      <c r="H60" s="118">
        <f>SUM(F60+G60)</f>
        <v>0</v>
      </c>
    </row>
    <row r="61" spans="4:8">
      <c r="D61" s="62"/>
    </row>
    <row r="62" spans="4:8">
      <c r="D62" s="440" t="s">
        <v>185</v>
      </c>
      <c r="E62" s="440"/>
      <c r="F62" s="440"/>
      <c r="G62" s="440"/>
      <c r="H62" s="440"/>
    </row>
    <row r="63" spans="4:8">
      <c r="D63" s="62"/>
    </row>
    <row r="64" spans="4:8" ht="25.5">
      <c r="D64" s="113" t="s">
        <v>181</v>
      </c>
      <c r="E64" s="116" t="s">
        <v>180</v>
      </c>
      <c r="F64" s="116" t="s">
        <v>182</v>
      </c>
      <c r="G64" s="116" t="s">
        <v>183</v>
      </c>
      <c r="H64" s="119" t="s">
        <v>184</v>
      </c>
    </row>
    <row r="65" spans="4:8">
      <c r="D65" s="115"/>
      <c r="E65" s="115">
        <v>2.7</v>
      </c>
      <c r="F65" s="115">
        <f>E65*D65</f>
        <v>0</v>
      </c>
      <c r="H65" s="120"/>
    </row>
    <row r="66" spans="4:8">
      <c r="D66" s="115"/>
      <c r="E66" s="115">
        <v>2.7</v>
      </c>
      <c r="F66" s="115">
        <f>E66*D66</f>
        <v>0</v>
      </c>
      <c r="H66" s="120"/>
    </row>
    <row r="67" spans="4:8">
      <c r="D67" s="115"/>
      <c r="E67" s="115">
        <v>2.7</v>
      </c>
      <c r="F67" s="115">
        <f>E67*D67</f>
        <v>0</v>
      </c>
      <c r="H67" s="120"/>
    </row>
    <row r="68" spans="4:8">
      <c r="D68" s="115"/>
      <c r="E68" s="115">
        <v>2.7</v>
      </c>
      <c r="F68" s="115">
        <f>E68*D68</f>
        <v>0</v>
      </c>
      <c r="H68" s="120"/>
    </row>
    <row r="69" spans="4:8">
      <c r="D69" s="62"/>
      <c r="F69" s="118">
        <f>SUM(F65:F68)</f>
        <v>0</v>
      </c>
      <c r="G69" s="118">
        <f>F69</f>
        <v>0</v>
      </c>
      <c r="H69" s="118">
        <f>SUM(F69+G69)</f>
        <v>0</v>
      </c>
    </row>
    <row r="70" spans="4:8">
      <c r="D70" s="62"/>
    </row>
    <row r="71" spans="4:8">
      <c r="D71" s="440"/>
      <c r="E71" s="440"/>
      <c r="F71" s="440"/>
      <c r="G71" s="440"/>
      <c r="H71" s="440"/>
    </row>
    <row r="72" spans="4:8">
      <c r="D72" s="440" t="s">
        <v>228</v>
      </c>
      <c r="E72" s="441"/>
      <c r="F72" s="441"/>
      <c r="G72" s="441"/>
      <c r="H72" s="441"/>
    </row>
    <row r="73" spans="4:8" ht="25.5">
      <c r="D73" s="113" t="s">
        <v>187</v>
      </c>
      <c r="E73" s="116" t="s">
        <v>180</v>
      </c>
      <c r="F73" s="116" t="s">
        <v>188</v>
      </c>
      <c r="G73" s="116" t="s">
        <v>189</v>
      </c>
      <c r="H73" s="119" t="s">
        <v>184</v>
      </c>
    </row>
    <row r="74" spans="4:8">
      <c r="D74" s="115">
        <v>31.48</v>
      </c>
      <c r="E74" s="115">
        <v>3.1</v>
      </c>
      <c r="F74" s="115">
        <f>E74*D74</f>
        <v>97.588000000000008</v>
      </c>
      <c r="G74" s="115"/>
      <c r="H74" s="120"/>
    </row>
    <row r="75" spans="4:8">
      <c r="D75" s="115">
        <v>31.48</v>
      </c>
      <c r="E75" s="115">
        <v>3.1</v>
      </c>
      <c r="F75" s="115">
        <f>E75*D75</f>
        <v>97.588000000000008</v>
      </c>
      <c r="G75" s="115"/>
      <c r="H75" s="120"/>
    </row>
    <row r="76" spans="4:8">
      <c r="D76" s="115">
        <f>14*8</f>
        <v>112</v>
      </c>
      <c r="E76" s="115">
        <v>3.1</v>
      </c>
      <c r="F76" s="115">
        <f>E76*D76</f>
        <v>347.2</v>
      </c>
      <c r="G76" s="115"/>
      <c r="H76" s="120"/>
    </row>
    <row r="77" spans="4:8">
      <c r="D77" s="115">
        <f>12*4</f>
        <v>48</v>
      </c>
      <c r="E77" s="115">
        <v>3.1</v>
      </c>
      <c r="F77" s="115">
        <f>E77*D77</f>
        <v>148.80000000000001</v>
      </c>
      <c r="G77" s="115"/>
      <c r="H77" s="120"/>
    </row>
    <row r="78" spans="4:8">
      <c r="D78" s="115">
        <f>14.83*2</f>
        <v>29.66</v>
      </c>
      <c r="E78" s="115">
        <v>3.1</v>
      </c>
      <c r="F78" s="115">
        <f>E78*D78</f>
        <v>91.945999999999998</v>
      </c>
      <c r="G78" s="115"/>
      <c r="H78" s="118"/>
    </row>
    <row r="79" spans="4:8">
      <c r="D79" s="115">
        <f>8*4</f>
        <v>32</v>
      </c>
      <c r="E79" s="115">
        <v>3.1</v>
      </c>
      <c r="F79" s="115">
        <f t="shared" ref="F79" si="0">E79*D79</f>
        <v>99.2</v>
      </c>
      <c r="G79" s="115"/>
      <c r="H79" s="120"/>
    </row>
    <row r="80" spans="4:8">
      <c r="D80" s="115"/>
      <c r="E80" s="115"/>
      <c r="F80" s="115"/>
      <c r="G80" s="115"/>
      <c r="H80" s="120"/>
    </row>
    <row r="81" spans="3:11">
      <c r="C81" s="117"/>
      <c r="D81" s="115"/>
      <c r="F81" s="118">
        <f>SUM(F74:F80)</f>
        <v>882.322</v>
      </c>
      <c r="G81" s="115"/>
      <c r="H81" s="120"/>
    </row>
    <row r="82" spans="3:11">
      <c r="D82" s="115"/>
      <c r="G82" s="118">
        <f>SUM(G74:G81)</f>
        <v>0</v>
      </c>
      <c r="H82" s="118">
        <f>F81+G82</f>
        <v>882.322</v>
      </c>
      <c r="I82" s="151">
        <f>H82*1.1</f>
        <v>970.55420000000004</v>
      </c>
      <c r="J82">
        <v>18</v>
      </c>
      <c r="K82">
        <f>J82*I82</f>
        <v>17469.975600000002</v>
      </c>
    </row>
    <row r="83" spans="3:11">
      <c r="D83" s="62"/>
    </row>
    <row r="85" spans="3:11">
      <c r="D85" s="440" t="s">
        <v>229</v>
      </c>
      <c r="E85" s="440"/>
      <c r="F85" s="440"/>
      <c r="G85" s="440"/>
      <c r="H85" s="440"/>
    </row>
    <row r="86" spans="3:11" ht="25.5">
      <c r="D86" s="113" t="s">
        <v>187</v>
      </c>
      <c r="E86" s="116" t="s">
        <v>180</v>
      </c>
      <c r="F86" s="116" t="s">
        <v>188</v>
      </c>
      <c r="G86" s="116" t="s">
        <v>189</v>
      </c>
      <c r="H86" s="119" t="s">
        <v>184</v>
      </c>
    </row>
    <row r="87" spans="3:11">
      <c r="C87" s="117"/>
      <c r="D87" s="115"/>
      <c r="E87" s="115">
        <v>3.1</v>
      </c>
      <c r="F87" s="115">
        <f t="shared" ref="F87:F102" si="1">E87*D87</f>
        <v>0</v>
      </c>
      <c r="G87" s="115"/>
      <c r="H87" s="120"/>
    </row>
    <row r="88" spans="3:11">
      <c r="C88" s="117"/>
      <c r="D88" s="115"/>
      <c r="E88" s="115">
        <v>3.1</v>
      </c>
      <c r="F88" s="115">
        <f t="shared" si="1"/>
        <v>0</v>
      </c>
      <c r="G88" s="115"/>
      <c r="H88" s="120"/>
    </row>
    <row r="89" spans="3:11">
      <c r="C89" s="117"/>
      <c r="D89" s="115"/>
      <c r="E89" s="115">
        <v>3.1</v>
      </c>
      <c r="F89" s="115">
        <f t="shared" si="1"/>
        <v>0</v>
      </c>
      <c r="G89" s="115"/>
      <c r="H89" s="120"/>
    </row>
    <row r="90" spans="3:11">
      <c r="C90" s="117"/>
      <c r="D90" s="115"/>
      <c r="E90" s="115">
        <v>3.1</v>
      </c>
      <c r="F90" s="115">
        <f t="shared" si="1"/>
        <v>0</v>
      </c>
      <c r="G90" s="115"/>
      <c r="H90" s="120"/>
    </row>
    <row r="91" spans="3:11">
      <c r="C91" s="117"/>
      <c r="D91" s="115"/>
      <c r="E91" s="115">
        <v>3.1</v>
      </c>
      <c r="F91" s="115">
        <f t="shared" si="1"/>
        <v>0</v>
      </c>
      <c r="G91" s="115"/>
      <c r="H91" s="118"/>
    </row>
    <row r="92" spans="3:11">
      <c r="C92" s="117"/>
      <c r="D92" s="115"/>
      <c r="E92" s="115">
        <v>3.1</v>
      </c>
      <c r="F92" s="115">
        <f t="shared" si="1"/>
        <v>0</v>
      </c>
      <c r="G92" s="115"/>
      <c r="H92" s="120"/>
    </row>
    <row r="93" spans="3:11">
      <c r="D93" s="115"/>
      <c r="E93" s="115">
        <v>3.1</v>
      </c>
      <c r="F93" s="115">
        <f t="shared" si="1"/>
        <v>0</v>
      </c>
      <c r="G93" s="115"/>
      <c r="H93" s="120"/>
    </row>
    <row r="94" spans="3:11">
      <c r="D94" s="115"/>
      <c r="E94" s="115">
        <v>3.1</v>
      </c>
      <c r="F94" s="115">
        <f t="shared" si="1"/>
        <v>0</v>
      </c>
      <c r="G94" s="115"/>
      <c r="H94" s="120"/>
    </row>
    <row r="95" spans="3:11">
      <c r="D95" s="115"/>
      <c r="E95" s="115">
        <v>3.1</v>
      </c>
      <c r="F95" s="115">
        <f t="shared" si="1"/>
        <v>0</v>
      </c>
      <c r="G95" s="115"/>
      <c r="H95" s="120"/>
    </row>
    <row r="96" spans="3:11">
      <c r="D96" s="115"/>
      <c r="E96" s="115">
        <v>3.1</v>
      </c>
      <c r="F96" s="115">
        <f t="shared" si="1"/>
        <v>0</v>
      </c>
      <c r="G96" s="115"/>
      <c r="H96" s="120"/>
    </row>
    <row r="97" spans="4:8">
      <c r="D97" s="115"/>
      <c r="E97" s="115">
        <v>3.1</v>
      </c>
      <c r="F97" s="115">
        <f t="shared" si="1"/>
        <v>0</v>
      </c>
      <c r="G97" s="115"/>
      <c r="H97" s="120"/>
    </row>
    <row r="98" spans="4:8">
      <c r="D98" s="115"/>
      <c r="E98" s="115">
        <v>3.1</v>
      </c>
      <c r="F98" s="115">
        <f t="shared" si="1"/>
        <v>0</v>
      </c>
      <c r="G98" s="115"/>
      <c r="H98" s="120"/>
    </row>
    <row r="99" spans="4:8">
      <c r="D99" s="115"/>
      <c r="E99" s="115">
        <v>3.1</v>
      </c>
      <c r="F99" s="115">
        <f t="shared" si="1"/>
        <v>0</v>
      </c>
      <c r="G99" s="115"/>
      <c r="H99" s="120"/>
    </row>
    <row r="100" spans="4:8">
      <c r="D100" s="115"/>
      <c r="E100" s="115">
        <v>3.1</v>
      </c>
      <c r="F100" s="115">
        <f t="shared" si="1"/>
        <v>0</v>
      </c>
      <c r="G100" s="115"/>
      <c r="H100" s="120"/>
    </row>
    <row r="101" spans="4:8">
      <c r="D101" s="115"/>
      <c r="E101" s="115">
        <v>3.1</v>
      </c>
      <c r="F101" s="115">
        <f t="shared" si="1"/>
        <v>0</v>
      </c>
      <c r="G101" s="115"/>
      <c r="H101" s="120"/>
    </row>
    <row r="102" spans="4:8">
      <c r="D102" s="115"/>
      <c r="E102" s="115">
        <v>3.1</v>
      </c>
      <c r="F102" s="115">
        <f t="shared" si="1"/>
        <v>0</v>
      </c>
      <c r="G102" s="115"/>
      <c r="H102" s="120"/>
    </row>
    <row r="103" spans="4:8">
      <c r="D103" s="115"/>
      <c r="E103" s="115">
        <v>3.1</v>
      </c>
      <c r="F103" s="115">
        <f t="shared" ref="F103:F107" si="2">E103*D103</f>
        <v>0</v>
      </c>
      <c r="G103" s="115"/>
      <c r="H103" s="120"/>
    </row>
    <row r="104" spans="4:8">
      <c r="D104" s="115"/>
      <c r="E104" s="115">
        <v>3.1</v>
      </c>
      <c r="F104" s="115">
        <f t="shared" si="2"/>
        <v>0</v>
      </c>
      <c r="G104" s="115"/>
      <c r="H104" s="120"/>
    </row>
    <row r="105" spans="4:8">
      <c r="D105" s="115"/>
      <c r="E105" s="115">
        <v>3.1</v>
      </c>
      <c r="F105" s="115">
        <f t="shared" si="2"/>
        <v>0</v>
      </c>
      <c r="G105" s="115"/>
      <c r="H105" s="120"/>
    </row>
    <row r="106" spans="4:8">
      <c r="D106" s="115"/>
      <c r="E106" s="115">
        <v>3.1</v>
      </c>
      <c r="F106" s="115">
        <f t="shared" si="2"/>
        <v>0</v>
      </c>
      <c r="G106" s="115"/>
      <c r="H106" s="120"/>
    </row>
    <row r="107" spans="4:8">
      <c r="D107" s="115"/>
      <c r="E107" s="115">
        <v>3.1</v>
      </c>
      <c r="F107" s="115">
        <f t="shared" si="2"/>
        <v>0</v>
      </c>
      <c r="G107" s="115"/>
      <c r="H107" s="120"/>
    </row>
    <row r="108" spans="4:8" hidden="1">
      <c r="D108" s="115"/>
      <c r="E108" s="115"/>
      <c r="F108" s="115"/>
      <c r="G108" s="115"/>
      <c r="H108" s="120"/>
    </row>
    <row r="109" spans="4:8" hidden="1">
      <c r="D109" s="115"/>
      <c r="E109" s="115"/>
      <c r="F109" s="115"/>
      <c r="G109" s="115"/>
      <c r="H109" s="120"/>
    </row>
    <row r="110" spans="4:8" hidden="1">
      <c r="D110" s="115"/>
      <c r="E110" s="115"/>
      <c r="F110" s="115"/>
      <c r="G110" s="115"/>
      <c r="H110" s="120"/>
    </row>
    <row r="111" spans="4:8" hidden="1">
      <c r="D111" s="115"/>
      <c r="E111" s="115"/>
      <c r="F111" s="115"/>
      <c r="G111" s="115"/>
      <c r="H111" s="120"/>
    </row>
    <row r="112" spans="4:8" hidden="1">
      <c r="D112" s="115"/>
      <c r="E112" s="115"/>
      <c r="F112" s="115"/>
      <c r="G112" s="115"/>
      <c r="H112" s="120"/>
    </row>
    <row r="113" spans="3:8" hidden="1">
      <c r="D113" s="115"/>
      <c r="E113" s="115"/>
      <c r="F113" s="115"/>
      <c r="G113" s="115"/>
      <c r="H113" s="120"/>
    </row>
    <row r="114" spans="3:8" hidden="1">
      <c r="D114" s="115"/>
      <c r="E114" s="115"/>
      <c r="F114" s="115"/>
      <c r="G114" s="115"/>
      <c r="H114" s="120"/>
    </row>
    <row r="115" spans="3:8" hidden="1">
      <c r="D115" s="115"/>
      <c r="E115" s="115"/>
      <c r="F115" s="115"/>
      <c r="G115" s="115"/>
      <c r="H115" s="120"/>
    </row>
    <row r="116" spans="3:8" hidden="1">
      <c r="C116" s="117"/>
      <c r="D116" s="115"/>
      <c r="E116" s="115"/>
      <c r="F116" s="115"/>
      <c r="G116" s="115"/>
      <c r="H116" s="120"/>
    </row>
    <row r="117" spans="3:8" hidden="1">
      <c r="C117" s="117"/>
      <c r="D117" s="115"/>
      <c r="E117" s="115"/>
      <c r="F117" s="115"/>
      <c r="G117" s="115"/>
      <c r="H117" s="120"/>
    </row>
    <row r="118" spans="3:8" hidden="1">
      <c r="C118" s="117"/>
      <c r="D118" s="115"/>
      <c r="E118" s="115"/>
      <c r="F118" s="115"/>
      <c r="G118" s="115"/>
      <c r="H118" s="120"/>
    </row>
    <row r="119" spans="3:8" hidden="1">
      <c r="C119" s="117"/>
      <c r="D119" s="115"/>
      <c r="E119" s="115"/>
      <c r="F119" s="115"/>
      <c r="G119" s="115"/>
      <c r="H119" s="120"/>
    </row>
    <row r="120" spans="3:8" hidden="1">
      <c r="C120" s="117"/>
      <c r="D120" s="115"/>
      <c r="E120" s="115"/>
      <c r="F120" s="115"/>
      <c r="G120" s="115"/>
      <c r="H120" s="120"/>
    </row>
    <row r="121" spans="3:8" hidden="1">
      <c r="C121" s="117"/>
      <c r="D121" s="115"/>
      <c r="E121" s="115"/>
      <c r="F121" s="115"/>
      <c r="G121" s="115"/>
      <c r="H121" s="120"/>
    </row>
    <row r="122" spans="3:8" hidden="1">
      <c r="C122" s="117"/>
      <c r="D122" s="115"/>
      <c r="E122" s="115"/>
      <c r="F122" s="115"/>
      <c r="G122" s="115"/>
      <c r="H122" s="120"/>
    </row>
    <row r="123" spans="3:8" hidden="1">
      <c r="C123" s="117"/>
      <c r="D123" s="115"/>
      <c r="E123" s="115"/>
      <c r="F123" s="115"/>
      <c r="G123" s="115"/>
      <c r="H123" s="120"/>
    </row>
    <row r="124" spans="3:8" hidden="1">
      <c r="C124" s="117"/>
      <c r="D124" s="115"/>
      <c r="E124" s="115"/>
      <c r="F124" s="115"/>
      <c r="G124" s="115"/>
      <c r="H124" s="120"/>
    </row>
    <row r="125" spans="3:8" hidden="1">
      <c r="C125" s="117"/>
      <c r="D125" s="115"/>
      <c r="E125" s="115"/>
      <c r="F125" s="115"/>
      <c r="G125" s="115"/>
      <c r="H125" s="120"/>
    </row>
    <row r="126" spans="3:8" hidden="1">
      <c r="C126" s="117"/>
      <c r="D126" s="115"/>
      <c r="E126" s="115"/>
      <c r="F126" s="115"/>
      <c r="G126" s="115"/>
      <c r="H126" s="120"/>
    </row>
    <row r="127" spans="3:8" hidden="1">
      <c r="D127" s="115"/>
      <c r="E127" s="115"/>
      <c r="F127" s="115"/>
      <c r="G127" s="115"/>
      <c r="H127" s="120"/>
    </row>
    <row r="128" spans="3:8" hidden="1">
      <c r="D128" s="115"/>
      <c r="E128" s="115"/>
      <c r="F128" s="115"/>
      <c r="G128" s="115"/>
      <c r="H128" s="120"/>
    </row>
    <row r="129" spans="4:10" hidden="1">
      <c r="D129" s="115"/>
      <c r="E129" s="115"/>
      <c r="F129" s="115"/>
      <c r="G129" s="115"/>
      <c r="H129" s="120"/>
    </row>
    <row r="130" spans="4:10" hidden="1">
      <c r="D130" s="115"/>
      <c r="E130" s="115"/>
      <c r="F130" s="115"/>
      <c r="G130" s="115"/>
      <c r="H130" s="120"/>
    </row>
    <row r="131" spans="4:10" hidden="1">
      <c r="D131" s="115"/>
      <c r="E131" s="115"/>
      <c r="F131" s="115"/>
      <c r="G131" s="115"/>
      <c r="H131" s="120"/>
    </row>
    <row r="132" spans="4:10" hidden="1">
      <c r="D132" s="115"/>
      <c r="E132" s="115"/>
      <c r="F132" s="115"/>
      <c r="G132" s="115"/>
      <c r="H132" s="120"/>
    </row>
    <row r="133" spans="4:10" hidden="1">
      <c r="D133" s="115"/>
      <c r="E133" s="115"/>
      <c r="F133" s="115"/>
      <c r="G133" s="115"/>
      <c r="H133" s="120"/>
    </row>
    <row r="134" spans="4:10" hidden="1">
      <c r="D134" s="115"/>
      <c r="E134" s="115"/>
      <c r="F134" s="115"/>
      <c r="G134" s="115"/>
      <c r="H134" s="120"/>
    </row>
    <row r="135" spans="4:10" hidden="1">
      <c r="D135" s="115"/>
      <c r="E135" s="115"/>
      <c r="F135" s="115"/>
      <c r="G135" s="115"/>
      <c r="H135" s="120"/>
    </row>
    <row r="136" spans="4:10">
      <c r="D136" s="62"/>
      <c r="F136" s="118">
        <f>SUM(F87:F135)</f>
        <v>0</v>
      </c>
      <c r="G136" s="118">
        <f>SUM(G87:G135)</f>
        <v>0</v>
      </c>
      <c r="H136" s="118">
        <f>F136+G136</f>
        <v>0</v>
      </c>
      <c r="I136" s="153">
        <f>H136*1.1</f>
        <v>0</v>
      </c>
      <c r="J136" s="152"/>
    </row>
    <row r="137" spans="4:10">
      <c r="D137" s="62"/>
    </row>
    <row r="138" spans="4:10">
      <c r="D138" s="440" t="s">
        <v>210</v>
      </c>
      <c r="E138" s="440"/>
      <c r="F138" s="440"/>
      <c r="G138" s="440"/>
      <c r="H138" s="440"/>
    </row>
    <row r="139" spans="4:10">
      <c r="D139" s="62"/>
    </row>
    <row r="140" spans="4:10" ht="25.5">
      <c r="D140" s="113" t="s">
        <v>181</v>
      </c>
      <c r="E140" s="116" t="s">
        <v>180</v>
      </c>
      <c r="F140" s="116" t="s">
        <v>182</v>
      </c>
      <c r="G140" s="116" t="s">
        <v>183</v>
      </c>
      <c r="H140" s="119" t="s">
        <v>184</v>
      </c>
    </row>
    <row r="141" spans="4:10">
      <c r="D141" s="115">
        <v>5.9</v>
      </c>
      <c r="E141" s="115">
        <v>4</v>
      </c>
      <c r="F141" s="115">
        <f>E141*D141</f>
        <v>23.6</v>
      </c>
      <c r="H141" s="120"/>
    </row>
    <row r="142" spans="4:10">
      <c r="D142" s="115">
        <v>5.9</v>
      </c>
      <c r="E142" s="115">
        <v>4</v>
      </c>
      <c r="F142" s="115">
        <f t="shared" ref="F142:F176" si="3">E142*D142</f>
        <v>23.6</v>
      </c>
      <c r="H142" s="120"/>
    </row>
    <row r="143" spans="4:10">
      <c r="D143" s="115">
        <v>5.9</v>
      </c>
      <c r="E143" s="115">
        <v>4</v>
      </c>
      <c r="F143" s="115">
        <f t="shared" si="3"/>
        <v>23.6</v>
      </c>
      <c r="H143" s="120"/>
    </row>
    <row r="144" spans="4:10">
      <c r="D144" s="115">
        <v>5.9</v>
      </c>
      <c r="E144" s="115">
        <v>4</v>
      </c>
      <c r="F144" s="115">
        <f t="shared" si="3"/>
        <v>23.6</v>
      </c>
      <c r="H144" s="120"/>
    </row>
    <row r="145" spans="4:8">
      <c r="D145" s="115">
        <v>5.9</v>
      </c>
      <c r="E145" s="115">
        <v>4</v>
      </c>
      <c r="F145" s="115">
        <f t="shared" si="3"/>
        <v>23.6</v>
      </c>
      <c r="G145" s="61">
        <f>F145</f>
        <v>23.6</v>
      </c>
      <c r="H145" s="120"/>
    </row>
    <row r="146" spans="4:8">
      <c r="D146" s="115">
        <v>5.9</v>
      </c>
      <c r="E146" s="115">
        <v>4</v>
      </c>
      <c r="F146" s="115">
        <f t="shared" si="3"/>
        <v>23.6</v>
      </c>
      <c r="G146" s="61">
        <f t="shared" ref="G146:G148" si="4">F146</f>
        <v>23.6</v>
      </c>
      <c r="H146" s="120"/>
    </row>
    <row r="147" spans="4:8">
      <c r="D147" s="115">
        <v>5.9</v>
      </c>
      <c r="E147" s="115">
        <v>4</v>
      </c>
      <c r="F147" s="115">
        <f t="shared" si="3"/>
        <v>23.6</v>
      </c>
      <c r="G147" s="61">
        <f t="shared" si="4"/>
        <v>23.6</v>
      </c>
      <c r="H147" s="120"/>
    </row>
    <row r="148" spans="4:8">
      <c r="D148" s="115">
        <v>5.9</v>
      </c>
      <c r="E148" s="115">
        <v>4</v>
      </c>
      <c r="F148" s="115">
        <f t="shared" si="3"/>
        <v>23.6</v>
      </c>
      <c r="G148" s="61">
        <f t="shared" si="4"/>
        <v>23.6</v>
      </c>
      <c r="H148" s="120"/>
    </row>
    <row r="149" spans="4:8">
      <c r="D149" s="115">
        <v>4</v>
      </c>
      <c r="E149" s="115">
        <v>4</v>
      </c>
      <c r="F149" s="115">
        <f t="shared" si="3"/>
        <v>16</v>
      </c>
      <c r="H149" s="120"/>
    </row>
    <row r="150" spans="4:8">
      <c r="D150" s="115">
        <v>6.4</v>
      </c>
      <c r="E150" s="115">
        <v>4</v>
      </c>
      <c r="F150" s="115">
        <f t="shared" si="3"/>
        <v>25.6</v>
      </c>
      <c r="H150" s="120"/>
    </row>
    <row r="151" spans="4:8">
      <c r="D151" s="115">
        <v>6.4</v>
      </c>
      <c r="E151" s="115">
        <v>4</v>
      </c>
      <c r="F151" s="115">
        <f t="shared" si="3"/>
        <v>25.6</v>
      </c>
      <c r="G151" s="61">
        <f>F151</f>
        <v>25.6</v>
      </c>
      <c r="H151" s="120"/>
    </row>
    <row r="152" spans="4:8">
      <c r="D152" s="115">
        <v>5.65</v>
      </c>
      <c r="E152" s="115">
        <v>4</v>
      </c>
      <c r="F152" s="115">
        <f t="shared" si="3"/>
        <v>22.6</v>
      </c>
      <c r="G152" s="61"/>
      <c r="H152" s="120"/>
    </row>
    <row r="153" spans="4:8">
      <c r="D153" s="115">
        <v>5.65</v>
      </c>
      <c r="E153" s="115">
        <v>4</v>
      </c>
      <c r="F153" s="115">
        <f>E153*D153</f>
        <v>22.6</v>
      </c>
      <c r="G153" s="61">
        <f>F153</f>
        <v>22.6</v>
      </c>
      <c r="H153" s="120"/>
    </row>
    <row r="154" spans="4:8">
      <c r="D154" s="115">
        <v>16.5</v>
      </c>
      <c r="E154" s="115">
        <v>4</v>
      </c>
      <c r="F154" s="115">
        <f t="shared" si="3"/>
        <v>66</v>
      </c>
      <c r="G154" s="61"/>
      <c r="H154" s="120"/>
    </row>
    <row r="155" spans="4:8">
      <c r="D155" s="115">
        <v>5.9</v>
      </c>
      <c r="E155" s="115">
        <v>4</v>
      </c>
      <c r="F155" s="115">
        <f>E155*D155</f>
        <v>23.6</v>
      </c>
      <c r="H155" s="120"/>
    </row>
    <row r="156" spans="4:8">
      <c r="D156" s="115">
        <v>5.9</v>
      </c>
      <c r="E156" s="115">
        <v>4</v>
      </c>
      <c r="F156" s="115">
        <f t="shared" ref="F156:F172" si="5">E156*D156</f>
        <v>23.6</v>
      </c>
      <c r="H156" s="120"/>
    </row>
    <row r="157" spans="4:8">
      <c r="D157" s="115">
        <v>5.9</v>
      </c>
      <c r="E157" s="115">
        <v>4</v>
      </c>
      <c r="F157" s="115">
        <f t="shared" si="5"/>
        <v>23.6</v>
      </c>
      <c r="H157" s="120"/>
    </row>
    <row r="158" spans="4:8">
      <c r="D158" s="115">
        <v>5.9</v>
      </c>
      <c r="E158" s="115">
        <v>4</v>
      </c>
      <c r="F158" s="115">
        <f t="shared" si="5"/>
        <v>23.6</v>
      </c>
      <c r="H158" s="120"/>
    </row>
    <row r="159" spans="4:8">
      <c r="D159" s="115">
        <v>5.9</v>
      </c>
      <c r="E159" s="115">
        <v>4</v>
      </c>
      <c r="F159" s="115">
        <f t="shared" si="5"/>
        <v>23.6</v>
      </c>
      <c r="G159" s="61">
        <f>F159</f>
        <v>23.6</v>
      </c>
      <c r="H159" s="120"/>
    </row>
    <row r="160" spans="4:8">
      <c r="D160" s="115">
        <v>5.9</v>
      </c>
      <c r="E160" s="115">
        <v>4</v>
      </c>
      <c r="F160" s="115">
        <f t="shared" si="5"/>
        <v>23.6</v>
      </c>
      <c r="G160" s="61">
        <f t="shared" ref="G160:G162" si="6">F160</f>
        <v>23.6</v>
      </c>
      <c r="H160" s="120"/>
    </row>
    <row r="161" spans="4:8">
      <c r="D161" s="115">
        <v>5.9</v>
      </c>
      <c r="E161" s="115">
        <v>4</v>
      </c>
      <c r="F161" s="115">
        <f t="shared" si="5"/>
        <v>23.6</v>
      </c>
      <c r="G161" s="61">
        <f t="shared" si="6"/>
        <v>23.6</v>
      </c>
      <c r="H161" s="120"/>
    </row>
    <row r="162" spans="4:8">
      <c r="D162" s="115">
        <v>5.9</v>
      </c>
      <c r="E162" s="115">
        <v>4</v>
      </c>
      <c r="F162" s="115">
        <f t="shared" si="5"/>
        <v>23.6</v>
      </c>
      <c r="G162" s="61">
        <f t="shared" si="6"/>
        <v>23.6</v>
      </c>
      <c r="H162" s="120"/>
    </row>
    <row r="163" spans="4:8">
      <c r="D163" s="115">
        <f>8.9</f>
        <v>8.9</v>
      </c>
      <c r="E163" s="115">
        <v>4</v>
      </c>
      <c r="F163" s="115">
        <f t="shared" si="5"/>
        <v>35.6</v>
      </c>
      <c r="G163" s="61"/>
      <c r="H163" s="120"/>
    </row>
    <row r="164" spans="4:8">
      <c r="D164" s="115">
        <f t="shared" ref="D164:D172" si="7">8.9</f>
        <v>8.9</v>
      </c>
      <c r="E164" s="115">
        <v>4</v>
      </c>
      <c r="F164" s="115">
        <f t="shared" si="5"/>
        <v>35.6</v>
      </c>
      <c r="G164" s="61"/>
      <c r="H164" s="120"/>
    </row>
    <row r="165" spans="4:8">
      <c r="D165" s="115">
        <f t="shared" si="7"/>
        <v>8.9</v>
      </c>
      <c r="E165" s="115">
        <v>4</v>
      </c>
      <c r="F165" s="115">
        <f t="shared" si="5"/>
        <v>35.6</v>
      </c>
      <c r="G165" s="61"/>
      <c r="H165" s="120"/>
    </row>
    <row r="166" spans="4:8">
      <c r="D166" s="115">
        <f t="shared" si="7"/>
        <v>8.9</v>
      </c>
      <c r="E166" s="115">
        <v>4</v>
      </c>
      <c r="F166" s="115">
        <f t="shared" si="5"/>
        <v>35.6</v>
      </c>
      <c r="G166" s="61"/>
      <c r="H166" s="120"/>
    </row>
    <row r="167" spans="4:8">
      <c r="D167" s="115">
        <f t="shared" si="7"/>
        <v>8.9</v>
      </c>
      <c r="E167" s="115">
        <v>4</v>
      </c>
      <c r="F167" s="115">
        <f t="shared" si="5"/>
        <v>35.6</v>
      </c>
      <c r="G167" s="61"/>
      <c r="H167" s="120"/>
    </row>
    <row r="168" spans="4:8">
      <c r="D168" s="115">
        <f t="shared" si="7"/>
        <v>8.9</v>
      </c>
      <c r="E168" s="115">
        <v>4</v>
      </c>
      <c r="F168" s="115">
        <f t="shared" si="5"/>
        <v>35.6</v>
      </c>
      <c r="G168" s="61"/>
      <c r="H168" s="120"/>
    </row>
    <row r="169" spans="4:8">
      <c r="D169" s="115">
        <f t="shared" si="7"/>
        <v>8.9</v>
      </c>
      <c r="E169" s="115">
        <v>4</v>
      </c>
      <c r="F169" s="115">
        <f t="shared" si="5"/>
        <v>35.6</v>
      </c>
      <c r="G169" s="61"/>
      <c r="H169" s="120"/>
    </row>
    <row r="170" spans="4:8">
      <c r="D170" s="115">
        <f t="shared" si="7"/>
        <v>8.9</v>
      </c>
      <c r="E170" s="115">
        <v>4</v>
      </c>
      <c r="F170" s="115">
        <f t="shared" si="5"/>
        <v>35.6</v>
      </c>
      <c r="G170" s="61"/>
      <c r="H170" s="120"/>
    </row>
    <row r="171" spans="4:8">
      <c r="D171" s="115">
        <f t="shared" si="7"/>
        <v>8.9</v>
      </c>
      <c r="E171" s="115">
        <v>4</v>
      </c>
      <c r="F171" s="115">
        <f t="shared" si="5"/>
        <v>35.6</v>
      </c>
      <c r="G171" s="61"/>
      <c r="H171" s="120"/>
    </row>
    <row r="172" spans="4:8">
      <c r="D172" s="115">
        <f t="shared" si="7"/>
        <v>8.9</v>
      </c>
      <c r="E172" s="115">
        <v>4</v>
      </c>
      <c r="F172" s="115">
        <f t="shared" si="5"/>
        <v>35.6</v>
      </c>
      <c r="G172" s="61"/>
      <c r="H172" s="120"/>
    </row>
    <row r="173" spans="4:8">
      <c r="D173" s="115">
        <f>8.9*16</f>
        <v>142.4</v>
      </c>
      <c r="E173" s="115">
        <v>4</v>
      </c>
      <c r="F173" s="115">
        <f t="shared" ref="F173:F175" si="8">E173*D173</f>
        <v>569.6</v>
      </c>
      <c r="G173" s="61"/>
      <c r="H173" s="120"/>
    </row>
    <row r="174" spans="4:8">
      <c r="D174" s="115">
        <v>12.1</v>
      </c>
      <c r="E174" s="115">
        <v>4</v>
      </c>
      <c r="F174" s="115">
        <f t="shared" si="8"/>
        <v>48.4</v>
      </c>
      <c r="G174" s="61"/>
      <c r="H174" s="120"/>
    </row>
    <row r="175" spans="4:8">
      <c r="D175" s="115">
        <v>12.1</v>
      </c>
      <c r="E175" s="115">
        <v>4</v>
      </c>
      <c r="F175" s="115">
        <f t="shared" si="8"/>
        <v>48.4</v>
      </c>
      <c r="G175" s="115">
        <f>F175</f>
        <v>48.4</v>
      </c>
      <c r="H175" s="120"/>
    </row>
    <row r="176" spans="4:8">
      <c r="D176" s="115">
        <v>16.5</v>
      </c>
      <c r="E176" s="115">
        <v>4</v>
      </c>
      <c r="F176" s="115">
        <f t="shared" si="3"/>
        <v>66</v>
      </c>
      <c r="G176" s="61">
        <f>F176</f>
        <v>66</v>
      </c>
      <c r="H176" s="120"/>
    </row>
    <row r="177" spans="4:8">
      <c r="D177" s="62"/>
      <c r="F177" s="118">
        <f>SUM(F141:F176)</f>
        <v>1644.4000000000005</v>
      </c>
      <c r="G177" s="118">
        <f>SUM(G141:G176)</f>
        <v>351.4</v>
      </c>
      <c r="H177" s="118">
        <f>SUM(F177+G177)</f>
        <v>1995.8000000000006</v>
      </c>
    </row>
    <row r="178" spans="4:8">
      <c r="D178" s="62"/>
    </row>
    <row r="179" spans="4:8">
      <c r="D179" s="62"/>
    </row>
    <row r="180" spans="4:8">
      <c r="D180" s="440" t="s">
        <v>212</v>
      </c>
      <c r="E180" s="440"/>
      <c r="F180" s="440"/>
      <c r="G180" s="440"/>
      <c r="H180" s="440"/>
    </row>
    <row r="181" spans="4:8">
      <c r="D181" s="62"/>
    </row>
    <row r="182" spans="4:8" ht="25.5">
      <c r="D182" s="113" t="s">
        <v>181</v>
      </c>
      <c r="E182" s="116" t="s">
        <v>180</v>
      </c>
      <c r="F182" s="116" t="s">
        <v>182</v>
      </c>
      <c r="G182" s="116" t="s">
        <v>183</v>
      </c>
      <c r="H182" s="119" t="s">
        <v>184</v>
      </c>
    </row>
    <row r="183" spans="4:8">
      <c r="D183" s="115">
        <v>5.9</v>
      </c>
      <c r="E183" s="115">
        <v>4</v>
      </c>
      <c r="F183" s="115">
        <f>E183*D183</f>
        <v>23.6</v>
      </c>
      <c r="H183" s="120"/>
    </row>
    <row r="184" spans="4:8">
      <c r="D184" s="115">
        <v>5.9</v>
      </c>
      <c r="E184" s="115">
        <v>4</v>
      </c>
      <c r="F184" s="115">
        <f t="shared" ref="F184:F194" si="9">E184*D184</f>
        <v>23.6</v>
      </c>
      <c r="H184" s="120"/>
    </row>
    <row r="185" spans="4:8">
      <c r="D185" s="115">
        <v>5.9</v>
      </c>
      <c r="E185" s="115">
        <v>4</v>
      </c>
      <c r="F185" s="115">
        <f t="shared" si="9"/>
        <v>23.6</v>
      </c>
      <c r="H185" s="120"/>
    </row>
    <row r="186" spans="4:8">
      <c r="D186" s="115">
        <v>5.9</v>
      </c>
      <c r="E186" s="115">
        <v>4</v>
      </c>
      <c r="F186" s="115">
        <f t="shared" si="9"/>
        <v>23.6</v>
      </c>
      <c r="H186" s="120"/>
    </row>
    <row r="187" spans="4:8">
      <c r="D187" s="115">
        <v>5.9</v>
      </c>
      <c r="E187" s="115">
        <v>4</v>
      </c>
      <c r="F187" s="115">
        <f t="shared" si="9"/>
        <v>23.6</v>
      </c>
      <c r="G187" s="61">
        <f>F187</f>
        <v>23.6</v>
      </c>
      <c r="H187" s="120"/>
    </row>
    <row r="188" spans="4:8">
      <c r="D188" s="115">
        <v>5.9</v>
      </c>
      <c r="E188" s="115">
        <v>4</v>
      </c>
      <c r="F188" s="115">
        <f t="shared" si="9"/>
        <v>23.6</v>
      </c>
      <c r="G188" s="61">
        <f t="shared" ref="G188:G190" si="10">F188</f>
        <v>23.6</v>
      </c>
      <c r="H188" s="120"/>
    </row>
    <row r="189" spans="4:8">
      <c r="D189" s="115">
        <v>5.9</v>
      </c>
      <c r="E189" s="115">
        <v>4</v>
      </c>
      <c r="F189" s="115">
        <f t="shared" si="9"/>
        <v>23.6</v>
      </c>
      <c r="G189" s="61">
        <f t="shared" si="10"/>
        <v>23.6</v>
      </c>
      <c r="H189" s="120"/>
    </row>
    <row r="190" spans="4:8">
      <c r="D190" s="115">
        <v>5.9</v>
      </c>
      <c r="E190" s="115">
        <v>4</v>
      </c>
      <c r="F190" s="115">
        <f t="shared" si="9"/>
        <v>23.6</v>
      </c>
      <c r="G190" s="61">
        <f t="shared" si="10"/>
        <v>23.6</v>
      </c>
      <c r="H190" s="120"/>
    </row>
    <row r="191" spans="4:8">
      <c r="D191" s="115">
        <v>4</v>
      </c>
      <c r="E191" s="115">
        <v>4</v>
      </c>
      <c r="F191" s="115">
        <f t="shared" si="9"/>
        <v>16</v>
      </c>
      <c r="H191" s="120"/>
    </row>
    <row r="192" spans="4:8">
      <c r="D192" s="115">
        <v>6.4</v>
      </c>
      <c r="E192" s="115">
        <v>4</v>
      </c>
      <c r="F192" s="115">
        <f t="shared" si="9"/>
        <v>25.6</v>
      </c>
      <c r="H192" s="120"/>
    </row>
    <row r="193" spans="4:8">
      <c r="D193" s="115">
        <v>6.4</v>
      </c>
      <c r="E193" s="115">
        <v>4</v>
      </c>
      <c r="F193" s="115">
        <f t="shared" si="9"/>
        <v>25.6</v>
      </c>
      <c r="G193" s="61">
        <f>F193</f>
        <v>25.6</v>
      </c>
      <c r="H193" s="120"/>
    </row>
    <row r="194" spans="4:8">
      <c r="D194" s="115">
        <v>5.65</v>
      </c>
      <c r="E194" s="115">
        <v>4</v>
      </c>
      <c r="F194" s="115">
        <f t="shared" si="9"/>
        <v>22.6</v>
      </c>
      <c r="G194" s="61"/>
      <c r="H194" s="120"/>
    </row>
    <row r="195" spans="4:8">
      <c r="D195" s="115">
        <v>5.65</v>
      </c>
      <c r="E195" s="115">
        <v>4</v>
      </c>
      <c r="F195" s="115">
        <f>E195*D195</f>
        <v>22.6</v>
      </c>
      <c r="G195" s="61">
        <f>F195</f>
        <v>22.6</v>
      </c>
      <c r="H195" s="120"/>
    </row>
    <row r="196" spans="4:8">
      <c r="D196" s="115">
        <v>16.5</v>
      </c>
      <c r="E196" s="115">
        <v>4</v>
      </c>
      <c r="F196" s="115">
        <f t="shared" ref="F196" si="11">E196*D196</f>
        <v>66</v>
      </c>
      <c r="G196" s="61"/>
      <c r="H196" s="120"/>
    </row>
    <row r="197" spans="4:8">
      <c r="D197" s="115">
        <v>5.9</v>
      </c>
      <c r="E197" s="115">
        <v>4</v>
      </c>
      <c r="F197" s="115">
        <f>E197*D197</f>
        <v>23.6</v>
      </c>
      <c r="H197" s="120"/>
    </row>
    <row r="198" spans="4:8">
      <c r="D198" s="115">
        <v>5.9</v>
      </c>
      <c r="E198" s="115">
        <v>4</v>
      </c>
      <c r="F198" s="115">
        <f t="shared" ref="F198:F218" si="12">E198*D198</f>
        <v>23.6</v>
      </c>
      <c r="H198" s="120"/>
    </row>
    <row r="199" spans="4:8">
      <c r="D199" s="115">
        <v>5.9</v>
      </c>
      <c r="E199" s="115">
        <v>4</v>
      </c>
      <c r="F199" s="115">
        <f t="shared" si="12"/>
        <v>23.6</v>
      </c>
      <c r="H199" s="120"/>
    </row>
    <row r="200" spans="4:8">
      <c r="D200" s="115">
        <v>5.9</v>
      </c>
      <c r="E200" s="115">
        <v>4</v>
      </c>
      <c r="F200" s="115">
        <f t="shared" si="12"/>
        <v>23.6</v>
      </c>
      <c r="H200" s="120"/>
    </row>
    <row r="201" spans="4:8">
      <c r="D201" s="115">
        <v>5.9</v>
      </c>
      <c r="E201" s="115">
        <v>4</v>
      </c>
      <c r="F201" s="115">
        <f t="shared" si="12"/>
        <v>23.6</v>
      </c>
      <c r="G201" s="61">
        <f>F201</f>
        <v>23.6</v>
      </c>
      <c r="H201" s="120"/>
    </row>
    <row r="202" spans="4:8">
      <c r="D202" s="115">
        <v>5.9</v>
      </c>
      <c r="E202" s="115">
        <v>4</v>
      </c>
      <c r="F202" s="115">
        <f t="shared" si="12"/>
        <v>23.6</v>
      </c>
      <c r="G202" s="61">
        <f t="shared" ref="G202:G204" si="13">F202</f>
        <v>23.6</v>
      </c>
      <c r="H202" s="120"/>
    </row>
    <row r="203" spans="4:8">
      <c r="D203" s="115">
        <v>5.9</v>
      </c>
      <c r="E203" s="115">
        <v>4</v>
      </c>
      <c r="F203" s="115">
        <f t="shared" si="12"/>
        <v>23.6</v>
      </c>
      <c r="G203" s="61">
        <f t="shared" si="13"/>
        <v>23.6</v>
      </c>
      <c r="H203" s="120"/>
    </row>
    <row r="204" spans="4:8">
      <c r="D204" s="115">
        <v>5.9</v>
      </c>
      <c r="E204" s="115">
        <v>4</v>
      </c>
      <c r="F204" s="115">
        <f t="shared" si="12"/>
        <v>23.6</v>
      </c>
      <c r="G204" s="61">
        <f t="shared" si="13"/>
        <v>23.6</v>
      </c>
      <c r="H204" s="120"/>
    </row>
    <row r="205" spans="4:8">
      <c r="D205" s="115">
        <f>8.9</f>
        <v>8.9</v>
      </c>
      <c r="E205" s="115">
        <v>4</v>
      </c>
      <c r="F205" s="115">
        <f t="shared" si="12"/>
        <v>35.6</v>
      </c>
      <c r="G205" s="61"/>
      <c r="H205" s="120"/>
    </row>
    <row r="206" spans="4:8">
      <c r="D206" s="115">
        <f t="shared" ref="D206:D214" si="14">8.9</f>
        <v>8.9</v>
      </c>
      <c r="E206" s="115">
        <v>4</v>
      </c>
      <c r="F206" s="115">
        <f t="shared" si="12"/>
        <v>35.6</v>
      </c>
      <c r="G206" s="61"/>
      <c r="H206" s="120"/>
    </row>
    <row r="207" spans="4:8">
      <c r="D207" s="115">
        <f t="shared" si="14"/>
        <v>8.9</v>
      </c>
      <c r="E207" s="115">
        <v>4</v>
      </c>
      <c r="F207" s="115">
        <f t="shared" si="12"/>
        <v>35.6</v>
      </c>
      <c r="G207" s="61"/>
      <c r="H207" s="120"/>
    </row>
    <row r="208" spans="4:8">
      <c r="D208" s="115">
        <f t="shared" si="14"/>
        <v>8.9</v>
      </c>
      <c r="E208" s="115">
        <v>4</v>
      </c>
      <c r="F208" s="115">
        <f t="shared" si="12"/>
        <v>35.6</v>
      </c>
      <c r="G208" s="61"/>
      <c r="H208" s="120"/>
    </row>
    <row r="209" spans="4:8">
      <c r="D209" s="115">
        <f t="shared" si="14"/>
        <v>8.9</v>
      </c>
      <c r="E209" s="115">
        <v>4</v>
      </c>
      <c r="F209" s="115">
        <f t="shared" si="12"/>
        <v>35.6</v>
      </c>
      <c r="G209" s="61"/>
      <c r="H209" s="120"/>
    </row>
    <row r="210" spans="4:8">
      <c r="D210" s="115">
        <f t="shared" si="14"/>
        <v>8.9</v>
      </c>
      <c r="E210" s="115">
        <v>4</v>
      </c>
      <c r="F210" s="115">
        <f t="shared" si="12"/>
        <v>35.6</v>
      </c>
      <c r="G210" s="61"/>
      <c r="H210" s="120"/>
    </row>
    <row r="211" spans="4:8">
      <c r="D211" s="115">
        <f t="shared" si="14"/>
        <v>8.9</v>
      </c>
      <c r="E211" s="115">
        <v>4</v>
      </c>
      <c r="F211" s="115">
        <f t="shared" si="12"/>
        <v>35.6</v>
      </c>
      <c r="G211" s="61"/>
      <c r="H211" s="120"/>
    </row>
    <row r="212" spans="4:8">
      <c r="D212" s="115">
        <f t="shared" si="14"/>
        <v>8.9</v>
      </c>
      <c r="E212" s="115">
        <v>4</v>
      </c>
      <c r="F212" s="115">
        <f t="shared" si="12"/>
        <v>35.6</v>
      </c>
      <c r="G212" s="61"/>
      <c r="H212" s="120"/>
    </row>
    <row r="213" spans="4:8">
      <c r="D213" s="115">
        <f t="shared" si="14"/>
        <v>8.9</v>
      </c>
      <c r="E213" s="115">
        <v>4</v>
      </c>
      <c r="F213" s="115">
        <f t="shared" si="12"/>
        <v>35.6</v>
      </c>
      <c r="G213" s="61"/>
      <c r="H213" s="120"/>
    </row>
    <row r="214" spans="4:8">
      <c r="D214" s="115">
        <f t="shared" si="14"/>
        <v>8.9</v>
      </c>
      <c r="E214" s="115">
        <v>4</v>
      </c>
      <c r="F214" s="115">
        <f t="shared" si="12"/>
        <v>35.6</v>
      </c>
      <c r="G214" s="61"/>
      <c r="H214" s="120"/>
    </row>
    <row r="215" spans="4:8">
      <c r="D215" s="115">
        <f>8.9*16</f>
        <v>142.4</v>
      </c>
      <c r="E215" s="115">
        <v>4</v>
      </c>
      <c r="F215" s="115">
        <f t="shared" si="12"/>
        <v>569.6</v>
      </c>
      <c r="G215" s="61"/>
      <c r="H215" s="120"/>
    </row>
    <row r="216" spans="4:8">
      <c r="D216" s="115">
        <v>12.1</v>
      </c>
      <c r="E216" s="115">
        <v>4</v>
      </c>
      <c r="F216" s="115">
        <f t="shared" si="12"/>
        <v>48.4</v>
      </c>
      <c r="G216" s="61"/>
      <c r="H216" s="120"/>
    </row>
    <row r="217" spans="4:8">
      <c r="D217" s="115">
        <v>12.1</v>
      </c>
      <c r="E217" s="115">
        <v>4</v>
      </c>
      <c r="F217" s="115">
        <f t="shared" si="12"/>
        <v>48.4</v>
      </c>
      <c r="G217" s="115">
        <f>F217</f>
        <v>48.4</v>
      </c>
      <c r="H217" s="120"/>
    </row>
    <row r="218" spans="4:8">
      <c r="D218" s="115">
        <v>16.5</v>
      </c>
      <c r="E218" s="115">
        <v>4</v>
      </c>
      <c r="F218" s="115">
        <f t="shared" si="12"/>
        <v>66</v>
      </c>
      <c r="G218" s="61">
        <f>F218</f>
        <v>66</v>
      </c>
      <c r="H218" s="120"/>
    </row>
    <row r="219" spans="4:8">
      <c r="D219" s="62"/>
      <c r="F219" s="118">
        <f>SUM(F183:F218)</f>
        <v>1644.4000000000005</v>
      </c>
      <c r="G219" s="118">
        <f>SUM(G183:G218)</f>
        <v>351.4</v>
      </c>
      <c r="H219" s="118">
        <f>SUM(F219+G219)</f>
        <v>1995.8000000000006</v>
      </c>
    </row>
    <row r="220" spans="4:8">
      <c r="D220" s="62"/>
    </row>
    <row r="221" spans="4:8">
      <c r="D221" s="62"/>
    </row>
    <row r="222" spans="4:8">
      <c r="D222" s="440" t="s">
        <v>215</v>
      </c>
      <c r="E222" s="440"/>
      <c r="F222" s="440"/>
      <c r="G222" s="440"/>
      <c r="H222" s="440"/>
    </row>
    <row r="223" spans="4:8">
      <c r="D223" s="62"/>
    </row>
    <row r="224" spans="4:8" ht="25.5">
      <c r="D224" s="113" t="s">
        <v>181</v>
      </c>
      <c r="E224" s="116" t="s">
        <v>180</v>
      </c>
      <c r="F224" s="116" t="s">
        <v>182</v>
      </c>
      <c r="G224" s="116" t="s">
        <v>183</v>
      </c>
      <c r="H224" s="119" t="s">
        <v>184</v>
      </c>
    </row>
    <row r="225" spans="4:8">
      <c r="D225" s="115">
        <v>4.2</v>
      </c>
      <c r="E225" s="115">
        <v>4</v>
      </c>
      <c r="F225" s="115">
        <f>E225*D225</f>
        <v>16.8</v>
      </c>
      <c r="G225" s="115"/>
      <c r="H225" s="120"/>
    </row>
    <row r="226" spans="4:8">
      <c r="D226" s="115">
        <v>4.2</v>
      </c>
      <c r="E226" s="115">
        <v>4</v>
      </c>
      <c r="F226" s="115">
        <f t="shared" ref="F226:F236" si="15">E226*D226</f>
        <v>16.8</v>
      </c>
      <c r="G226" s="115">
        <f>F226</f>
        <v>16.8</v>
      </c>
      <c r="H226" s="120"/>
    </row>
    <row r="227" spans="4:8">
      <c r="D227" s="115">
        <v>8.9</v>
      </c>
      <c r="E227" s="115">
        <v>4</v>
      </c>
      <c r="F227" s="115">
        <f t="shared" si="15"/>
        <v>35.6</v>
      </c>
      <c r="G227" s="115"/>
      <c r="H227" s="120"/>
    </row>
    <row r="228" spans="4:8">
      <c r="D228" s="115">
        <v>8.9</v>
      </c>
      <c r="E228" s="115">
        <v>4</v>
      </c>
      <c r="F228" s="115">
        <f t="shared" si="15"/>
        <v>35.6</v>
      </c>
      <c r="G228" s="115">
        <f>F228</f>
        <v>35.6</v>
      </c>
      <c r="H228" s="120"/>
    </row>
    <row r="229" spans="4:8">
      <c r="D229" s="115">
        <v>4.2</v>
      </c>
      <c r="E229" s="115">
        <v>4</v>
      </c>
      <c r="F229" s="115">
        <f>E229*D229</f>
        <v>16.8</v>
      </c>
      <c r="G229" s="115"/>
      <c r="H229" s="120"/>
    </row>
    <row r="230" spans="4:8">
      <c r="D230" s="115">
        <v>4.2</v>
      </c>
      <c r="E230" s="115">
        <v>4</v>
      </c>
      <c r="F230" s="115">
        <f t="shared" ref="F230:F232" si="16">E230*D230</f>
        <v>16.8</v>
      </c>
      <c r="G230" s="115">
        <f>F230</f>
        <v>16.8</v>
      </c>
      <c r="H230" s="120"/>
    </row>
    <row r="231" spans="4:8">
      <c r="D231" s="115">
        <v>8.9</v>
      </c>
      <c r="E231" s="115">
        <v>4</v>
      </c>
      <c r="F231" s="115">
        <f t="shared" si="16"/>
        <v>35.6</v>
      </c>
      <c r="G231" s="115"/>
      <c r="H231" s="120"/>
    </row>
    <row r="232" spans="4:8">
      <c r="D232" s="115">
        <v>8.9</v>
      </c>
      <c r="E232" s="115">
        <v>4</v>
      </c>
      <c r="F232" s="115">
        <f t="shared" si="16"/>
        <v>35.6</v>
      </c>
      <c r="G232" s="115">
        <f>F232</f>
        <v>35.6</v>
      </c>
      <c r="H232" s="120"/>
    </row>
    <row r="233" spans="4:8">
      <c r="D233" s="115">
        <v>2.3849999999999998</v>
      </c>
      <c r="E233" s="115">
        <v>4</v>
      </c>
      <c r="F233" s="115">
        <f t="shared" si="15"/>
        <v>9.5399999999999991</v>
      </c>
      <c r="G233" s="115"/>
      <c r="H233" s="120"/>
    </row>
    <row r="234" spans="4:8">
      <c r="D234" s="115">
        <v>6</v>
      </c>
      <c r="E234" s="115">
        <v>4</v>
      </c>
      <c r="F234" s="115">
        <f t="shared" si="15"/>
        <v>24</v>
      </c>
      <c r="G234" s="115">
        <f t="shared" ref="G234:G240" si="17">F234</f>
        <v>24</v>
      </c>
      <c r="H234" s="120"/>
    </row>
    <row r="235" spans="4:8">
      <c r="D235" s="115">
        <v>6</v>
      </c>
      <c r="E235" s="115">
        <v>4</v>
      </c>
      <c r="F235" s="115">
        <f t="shared" si="15"/>
        <v>24</v>
      </c>
      <c r="G235" s="115">
        <f t="shared" si="17"/>
        <v>24</v>
      </c>
      <c r="H235" s="120"/>
    </row>
    <row r="236" spans="4:8">
      <c r="D236" s="115">
        <v>14.45</v>
      </c>
      <c r="E236" s="115">
        <v>4</v>
      </c>
      <c r="F236" s="115">
        <f t="shared" si="15"/>
        <v>57.8</v>
      </c>
      <c r="G236" s="115">
        <f t="shared" si="17"/>
        <v>57.8</v>
      </c>
      <c r="H236" s="120"/>
    </row>
    <row r="237" spans="4:8">
      <c r="D237" s="115">
        <v>14.45</v>
      </c>
      <c r="E237" s="115">
        <v>4</v>
      </c>
      <c r="F237" s="115">
        <f>E237*D237</f>
        <v>57.8</v>
      </c>
      <c r="G237" s="115">
        <f t="shared" si="17"/>
        <v>57.8</v>
      </c>
      <c r="H237" s="120"/>
    </row>
    <row r="238" spans="4:8">
      <c r="D238" s="115">
        <v>6</v>
      </c>
      <c r="E238" s="115">
        <v>4</v>
      </c>
      <c r="F238" s="115">
        <f t="shared" ref="F238" si="18">E238*D238</f>
        <v>24</v>
      </c>
      <c r="G238" s="115">
        <f t="shared" si="17"/>
        <v>24</v>
      </c>
      <c r="H238" s="120"/>
    </row>
    <row r="239" spans="4:8">
      <c r="D239" s="115">
        <v>10</v>
      </c>
      <c r="E239" s="115">
        <v>4</v>
      </c>
      <c r="F239" s="115">
        <f>E239*D239</f>
        <v>40</v>
      </c>
      <c r="G239" s="115">
        <f t="shared" si="17"/>
        <v>40</v>
      </c>
      <c r="H239" s="120"/>
    </row>
    <row r="240" spans="4:8">
      <c r="D240" s="115">
        <v>6.55</v>
      </c>
      <c r="E240" s="115">
        <v>4</v>
      </c>
      <c r="F240" s="115">
        <f t="shared" ref="F240:F251" si="19">E240*D240</f>
        <v>26.2</v>
      </c>
      <c r="G240" s="115">
        <f t="shared" si="17"/>
        <v>26.2</v>
      </c>
      <c r="H240" s="120"/>
    </row>
    <row r="241" spans="4:8">
      <c r="D241" s="115">
        <v>6.55</v>
      </c>
      <c r="E241" s="115">
        <v>4</v>
      </c>
      <c r="F241" s="115">
        <f t="shared" si="19"/>
        <v>26.2</v>
      </c>
      <c r="G241" s="115"/>
      <c r="H241" s="120"/>
    </row>
    <row r="242" spans="4:8">
      <c r="D242" s="115">
        <v>12.35</v>
      </c>
      <c r="E242" s="115">
        <v>4</v>
      </c>
      <c r="F242" s="115">
        <f t="shared" si="19"/>
        <v>49.4</v>
      </c>
      <c r="G242" s="115"/>
      <c r="H242" s="120"/>
    </row>
    <row r="243" spans="4:8">
      <c r="D243" s="115">
        <v>12.35</v>
      </c>
      <c r="E243" s="115">
        <v>4</v>
      </c>
      <c r="F243" s="115">
        <f t="shared" si="19"/>
        <v>49.4</v>
      </c>
      <c r="G243" s="115">
        <f>F243</f>
        <v>49.4</v>
      </c>
      <c r="H243" s="120"/>
    </row>
    <row r="244" spans="4:8">
      <c r="D244" s="115">
        <v>7.6</v>
      </c>
      <c r="E244" s="115">
        <v>4</v>
      </c>
      <c r="F244" s="115">
        <f t="shared" si="19"/>
        <v>30.4</v>
      </c>
      <c r="G244" s="115">
        <f>F244</f>
        <v>30.4</v>
      </c>
      <c r="H244" s="120"/>
    </row>
    <row r="245" spans="4:8">
      <c r="D245" s="115">
        <v>4.5999999999999996</v>
      </c>
      <c r="E245" s="115">
        <v>4</v>
      </c>
      <c r="F245" s="115">
        <f t="shared" si="19"/>
        <v>18.399999999999999</v>
      </c>
      <c r="G245" s="115">
        <f>F245</f>
        <v>18.399999999999999</v>
      </c>
      <c r="H245" s="120"/>
    </row>
    <row r="246" spans="4:8">
      <c r="D246" s="115">
        <v>12.35</v>
      </c>
      <c r="E246" s="115">
        <v>4</v>
      </c>
      <c r="F246" s="115">
        <f t="shared" si="19"/>
        <v>49.4</v>
      </c>
      <c r="G246" s="115">
        <f>F246</f>
        <v>49.4</v>
      </c>
      <c r="H246" s="120"/>
    </row>
    <row r="247" spans="4:8">
      <c r="D247" s="115">
        <v>12.35</v>
      </c>
      <c r="E247" s="115">
        <v>4</v>
      </c>
      <c r="F247" s="115">
        <f t="shared" si="19"/>
        <v>49.4</v>
      </c>
      <c r="G247" s="115"/>
      <c r="H247" s="120"/>
    </row>
    <row r="248" spans="4:8">
      <c r="D248" s="115">
        <v>5</v>
      </c>
      <c r="E248" s="115">
        <v>4</v>
      </c>
      <c r="F248" s="115">
        <f t="shared" si="19"/>
        <v>20</v>
      </c>
      <c r="G248" s="115"/>
      <c r="H248" s="120"/>
    </row>
    <row r="249" spans="4:8">
      <c r="D249" s="115">
        <v>5.9</v>
      </c>
      <c r="E249" s="115">
        <v>4</v>
      </c>
      <c r="F249" s="115">
        <f t="shared" si="19"/>
        <v>23.6</v>
      </c>
      <c r="G249" s="115"/>
      <c r="H249" s="120"/>
    </row>
    <row r="250" spans="4:8">
      <c r="D250" s="115">
        <v>5.9</v>
      </c>
      <c r="E250" s="115">
        <v>4</v>
      </c>
      <c r="F250" s="115">
        <f t="shared" si="19"/>
        <v>23.6</v>
      </c>
      <c r="G250" s="115">
        <f>F250</f>
        <v>23.6</v>
      </c>
      <c r="H250" s="120"/>
    </row>
    <row r="251" spans="4:8">
      <c r="D251" s="115">
        <v>5</v>
      </c>
      <c r="E251" s="115">
        <v>4</v>
      </c>
      <c r="F251" s="115">
        <f t="shared" si="19"/>
        <v>20</v>
      </c>
      <c r="G251" s="115">
        <f>F251</f>
        <v>20</v>
      </c>
      <c r="H251" s="120"/>
    </row>
    <row r="252" spans="4:8">
      <c r="D252" s="62"/>
      <c r="F252" s="118">
        <f>SUM(F225:F251)</f>
        <v>832.7399999999999</v>
      </c>
      <c r="G252" s="118">
        <f>SUM(G225:G251)</f>
        <v>549.79999999999995</v>
      </c>
      <c r="H252" s="118">
        <f>SUM(F252+G252)</f>
        <v>1382.54</v>
      </c>
    </row>
  </sheetData>
  <mergeCells count="13">
    <mergeCell ref="D180:H180"/>
    <mergeCell ref="D222:H222"/>
    <mergeCell ref="D53:H53"/>
    <mergeCell ref="D62:H62"/>
    <mergeCell ref="D71:H71"/>
    <mergeCell ref="D85:H85"/>
    <mergeCell ref="D138:H138"/>
    <mergeCell ref="D72:H72"/>
    <mergeCell ref="A2:A8"/>
    <mergeCell ref="A10:A12"/>
    <mergeCell ref="B10:B11"/>
    <mergeCell ref="A15:A31"/>
    <mergeCell ref="A34:A39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I240"/>
  <sheetViews>
    <sheetView topLeftCell="A25" workbookViewId="0">
      <selection activeCell="E47" sqref="E47"/>
    </sheetView>
  </sheetViews>
  <sheetFormatPr defaultRowHeight="12.75"/>
  <cols>
    <col min="1" max="1" width="2.7109375" customWidth="1"/>
    <col min="2" max="2" width="36.7109375" bestFit="1" customWidth="1"/>
    <col min="3" max="3" width="17.7109375" bestFit="1" customWidth="1"/>
    <col min="4" max="4" width="18.28515625" bestFit="1" customWidth="1"/>
    <col min="5" max="5" width="17.140625" customWidth="1"/>
    <col min="6" max="6" width="22.28515625" bestFit="1" customWidth="1"/>
    <col min="7" max="7" width="27.140625" bestFit="1" customWidth="1"/>
    <col min="8" max="8" width="13.28515625" bestFit="1" customWidth="1"/>
    <col min="9" max="9" width="14.28515625" bestFit="1" customWidth="1"/>
  </cols>
  <sheetData>
    <row r="2" spans="1:9">
      <c r="A2" s="437"/>
      <c r="B2" s="64" t="s">
        <v>131</v>
      </c>
      <c r="C2" s="65">
        <v>30</v>
      </c>
      <c r="D2" s="66" t="s">
        <v>132</v>
      </c>
      <c r="G2" s="60" t="s">
        <v>159</v>
      </c>
      <c r="H2" s="62">
        <f>'Aço '!H2</f>
        <v>0</v>
      </c>
    </row>
    <row r="3" spans="1:9">
      <c r="A3" s="437"/>
      <c r="B3" s="67" t="str">
        <f>'Fundação '!B3</f>
        <v>Local da obra Mauá</v>
      </c>
      <c r="C3" s="146">
        <v>30</v>
      </c>
      <c r="D3" s="69" t="s">
        <v>132</v>
      </c>
    </row>
    <row r="4" spans="1:9">
      <c r="A4" s="437"/>
      <c r="B4" s="67" t="s">
        <v>133</v>
      </c>
      <c r="C4" s="147">
        <v>0.8</v>
      </c>
      <c r="D4" s="71"/>
      <c r="G4" s="60" t="s">
        <v>196</v>
      </c>
      <c r="H4" s="62">
        <v>526.61</v>
      </c>
      <c r="I4" s="60" t="s">
        <v>122</v>
      </c>
    </row>
    <row r="5" spans="1:9">
      <c r="A5" s="437"/>
      <c r="B5" s="67" t="s">
        <v>134</v>
      </c>
      <c r="C5" s="72">
        <f>C4*C3</f>
        <v>24</v>
      </c>
      <c r="D5" s="71"/>
      <c r="G5" s="60" t="s">
        <v>193</v>
      </c>
      <c r="H5" s="114">
        <f>H4/30</f>
        <v>17.553666666666668</v>
      </c>
    </row>
    <row r="6" spans="1:9">
      <c r="A6" s="437"/>
      <c r="B6" s="67" t="s">
        <v>135</v>
      </c>
      <c r="C6" s="72">
        <f>C4*C3</f>
        <v>24</v>
      </c>
      <c r="D6" s="71"/>
      <c r="G6" s="60" t="s">
        <v>194</v>
      </c>
      <c r="H6" s="114">
        <f>H4/60</f>
        <v>8.7768333333333342</v>
      </c>
    </row>
    <row r="7" spans="1:9">
      <c r="A7" s="437"/>
      <c r="B7" s="67" t="s">
        <v>136</v>
      </c>
      <c r="C7" s="147">
        <v>0</v>
      </c>
      <c r="D7" s="71"/>
      <c r="G7" s="60" t="s">
        <v>195</v>
      </c>
      <c r="H7" s="114">
        <f>H4/90</f>
        <v>5.8512222222222228</v>
      </c>
    </row>
    <row r="8" spans="1:9">
      <c r="A8" s="437"/>
      <c r="B8" s="73" t="s">
        <v>137</v>
      </c>
      <c r="C8" s="74">
        <f>SUM(C5:C7)</f>
        <v>48</v>
      </c>
      <c r="D8" s="75"/>
    </row>
    <row r="9" spans="1:9">
      <c r="B9" s="63"/>
      <c r="C9" s="63"/>
      <c r="G9" s="60" t="s">
        <v>197</v>
      </c>
      <c r="H9" s="62">
        <v>0</v>
      </c>
      <c r="I9" s="60" t="s">
        <v>122</v>
      </c>
    </row>
    <row r="10" spans="1:9" ht="25.5">
      <c r="A10" s="437"/>
      <c r="B10" s="438" t="s">
        <v>138</v>
      </c>
      <c r="C10" s="76" t="s">
        <v>139</v>
      </c>
      <c r="D10" s="76" t="s">
        <v>141</v>
      </c>
      <c r="E10" s="77" t="s">
        <v>140</v>
      </c>
      <c r="G10" s="60" t="s">
        <v>193</v>
      </c>
      <c r="H10" s="114">
        <f>H9/40</f>
        <v>0</v>
      </c>
      <c r="I10" s="153">
        <f>H10*2</f>
        <v>0</v>
      </c>
    </row>
    <row r="11" spans="1:9">
      <c r="A11" s="437"/>
      <c r="B11" s="439"/>
      <c r="C11" s="70">
        <v>3500</v>
      </c>
      <c r="D11" s="78">
        <v>0</v>
      </c>
      <c r="E11" s="71">
        <f>C11*D11</f>
        <v>0</v>
      </c>
      <c r="G11" s="60" t="s">
        <v>194</v>
      </c>
      <c r="H11" s="114">
        <f>H9/80</f>
        <v>0</v>
      </c>
      <c r="I11" s="62">
        <f>H11*2</f>
        <v>0</v>
      </c>
    </row>
    <row r="12" spans="1:9">
      <c r="A12" s="437"/>
      <c r="B12" s="73" t="s">
        <v>137</v>
      </c>
      <c r="C12" s="74"/>
      <c r="D12" s="74"/>
      <c r="E12" s="79">
        <f>E11</f>
        <v>0</v>
      </c>
      <c r="G12" s="60" t="s">
        <v>195</v>
      </c>
      <c r="H12" s="114">
        <f>H9/120</f>
        <v>0</v>
      </c>
      <c r="I12" s="62">
        <f>H12*2</f>
        <v>0</v>
      </c>
    </row>
    <row r="13" spans="1:9">
      <c r="B13" s="63"/>
      <c r="C13" s="63"/>
      <c r="H13" s="114"/>
      <c r="I13" s="62"/>
    </row>
    <row r="15" spans="1:9" ht="38.25">
      <c r="A15" s="437"/>
      <c r="B15" s="80"/>
      <c r="C15" s="81" t="s">
        <v>128</v>
      </c>
      <c r="D15" s="81" t="s">
        <v>129</v>
      </c>
      <c r="E15" s="81" t="s">
        <v>115</v>
      </c>
      <c r="F15" s="81" t="s">
        <v>116</v>
      </c>
      <c r="G15" s="77" t="s">
        <v>117</v>
      </c>
    </row>
    <row r="16" spans="1:9">
      <c r="A16" s="437"/>
      <c r="B16" s="67" t="s">
        <v>127</v>
      </c>
      <c r="C16" s="82"/>
      <c r="D16" s="82"/>
      <c r="E16" s="72">
        <v>7000</v>
      </c>
      <c r="F16" s="82">
        <f>D18*22</f>
        <v>572</v>
      </c>
      <c r="G16" s="71">
        <f>E16+F16</f>
        <v>7572</v>
      </c>
    </row>
    <row r="17" spans="1:7">
      <c r="A17" s="437"/>
      <c r="B17" s="67" t="s">
        <v>123</v>
      </c>
      <c r="C17" s="82"/>
      <c r="D17" s="82"/>
      <c r="E17" s="72">
        <v>5000</v>
      </c>
      <c r="F17" s="82">
        <f>D18*22</f>
        <v>572</v>
      </c>
      <c r="G17" s="71">
        <f>F17+E17</f>
        <v>5572</v>
      </c>
    </row>
    <row r="18" spans="1:7">
      <c r="A18" s="437"/>
      <c r="B18" s="67" t="s">
        <v>124</v>
      </c>
      <c r="C18" s="82">
        <v>250</v>
      </c>
      <c r="D18" s="83">
        <v>26</v>
      </c>
      <c r="E18" s="72">
        <f>D18*C18</f>
        <v>6500</v>
      </c>
      <c r="F18" s="82">
        <f>D18*22</f>
        <v>572</v>
      </c>
      <c r="G18" s="71">
        <f>E18+F18</f>
        <v>7072</v>
      </c>
    </row>
    <row r="19" spans="1:7">
      <c r="A19" s="437"/>
      <c r="B19" s="67" t="s">
        <v>125</v>
      </c>
      <c r="C19" s="82">
        <v>180</v>
      </c>
      <c r="D19" s="83">
        <v>26</v>
      </c>
      <c r="E19" s="72">
        <f>D19*C19</f>
        <v>4680</v>
      </c>
      <c r="F19" s="82">
        <f t="shared" ref="F19:F20" si="0">D19*22</f>
        <v>572</v>
      </c>
      <c r="G19" s="71">
        <f>E19+F19</f>
        <v>5252</v>
      </c>
    </row>
    <row r="20" spans="1:7">
      <c r="A20" s="437"/>
      <c r="B20" s="67" t="s">
        <v>126</v>
      </c>
      <c r="C20" s="82">
        <v>160</v>
      </c>
      <c r="D20" s="83">
        <v>26</v>
      </c>
      <c r="E20" s="72">
        <f>D20*C20</f>
        <v>4160</v>
      </c>
      <c r="F20" s="82">
        <f t="shared" si="0"/>
        <v>572</v>
      </c>
      <c r="G20" s="71">
        <f>E20+F20</f>
        <v>4732</v>
      </c>
    </row>
    <row r="21" spans="1:7">
      <c r="A21" s="437"/>
      <c r="B21" s="67"/>
      <c r="C21" s="82"/>
      <c r="D21" s="82"/>
      <c r="E21" s="72"/>
      <c r="F21" s="72"/>
      <c r="G21" s="71"/>
    </row>
    <row r="22" spans="1:7">
      <c r="A22" s="437"/>
      <c r="B22" s="84" t="s">
        <v>118</v>
      </c>
      <c r="C22" s="85"/>
      <c r="D22" s="85"/>
      <c r="E22" s="72"/>
      <c r="F22" s="72"/>
      <c r="G22" s="71"/>
    </row>
    <row r="23" spans="1:7">
      <c r="A23" s="437"/>
      <c r="B23" s="67" t="s">
        <v>127</v>
      </c>
      <c r="C23" s="82"/>
      <c r="D23" s="82"/>
      <c r="E23" s="86">
        <v>0.3</v>
      </c>
      <c r="F23" s="72">
        <f>G16</f>
        <v>7572</v>
      </c>
      <c r="G23" s="87">
        <f>F23*E23</f>
        <v>2271.6</v>
      </c>
    </row>
    <row r="24" spans="1:7">
      <c r="A24" s="437"/>
      <c r="B24" s="67" t="s">
        <v>123</v>
      </c>
      <c r="C24" s="82"/>
      <c r="D24" s="82"/>
      <c r="E24" s="86">
        <v>0.5</v>
      </c>
      <c r="F24" s="72">
        <f>G17</f>
        <v>5572</v>
      </c>
      <c r="G24" s="87">
        <f>F24*E24</f>
        <v>2786</v>
      </c>
    </row>
    <row r="25" spans="1:7">
      <c r="A25" s="437"/>
      <c r="B25" s="67" t="s">
        <v>124</v>
      </c>
      <c r="C25" s="82"/>
      <c r="D25" s="82"/>
      <c r="E25" s="86">
        <v>1</v>
      </c>
      <c r="F25" s="72">
        <f>G18</f>
        <v>7072</v>
      </c>
      <c r="G25" s="87">
        <f>F25*E25</f>
        <v>7072</v>
      </c>
    </row>
    <row r="26" spans="1:7">
      <c r="A26" s="437"/>
      <c r="B26" s="67" t="s">
        <v>125</v>
      </c>
      <c r="C26" s="82"/>
      <c r="D26" s="82"/>
      <c r="E26" s="86">
        <v>1</v>
      </c>
      <c r="F26" s="72">
        <f>G19</f>
        <v>5252</v>
      </c>
      <c r="G26" s="87">
        <f>F26*E26</f>
        <v>5252</v>
      </c>
    </row>
    <row r="27" spans="1:7">
      <c r="A27" s="437"/>
      <c r="B27" s="67" t="s">
        <v>126</v>
      </c>
      <c r="C27" s="82"/>
      <c r="D27" s="82"/>
      <c r="E27" s="86">
        <v>1</v>
      </c>
      <c r="F27" s="72">
        <f>G20</f>
        <v>4732</v>
      </c>
      <c r="G27" s="87">
        <f>F27*E27</f>
        <v>4732</v>
      </c>
    </row>
    <row r="28" spans="1:7">
      <c r="A28" s="437"/>
      <c r="B28" s="67"/>
      <c r="C28" s="82"/>
      <c r="D28" s="82"/>
      <c r="E28" s="86"/>
      <c r="F28" s="72"/>
      <c r="G28" s="71"/>
    </row>
    <row r="29" spans="1:7">
      <c r="A29" s="437"/>
      <c r="B29" s="67"/>
      <c r="C29" s="82"/>
      <c r="D29" s="82"/>
      <c r="E29" s="86"/>
      <c r="F29" s="72"/>
      <c r="G29" s="71"/>
    </row>
    <row r="30" spans="1:7">
      <c r="A30" s="437"/>
      <c r="B30" s="88" t="s">
        <v>119</v>
      </c>
      <c r="C30" s="89"/>
      <c r="D30" s="89"/>
      <c r="E30" s="89"/>
      <c r="F30" s="72"/>
      <c r="G30" s="90">
        <f>SUM(G23:G27)</f>
        <v>22113.599999999999</v>
      </c>
    </row>
    <row r="31" spans="1:7">
      <c r="A31" s="437"/>
      <c r="B31" s="91" t="s">
        <v>130</v>
      </c>
      <c r="C31" s="92"/>
      <c r="D31" s="92"/>
      <c r="E31" s="93"/>
      <c r="F31" s="93"/>
      <c r="G31" s="94">
        <f>G30/22</f>
        <v>1005.1636363636363</v>
      </c>
    </row>
    <row r="33" spans="1:9">
      <c r="B33" s="60"/>
      <c r="C33" s="60"/>
      <c r="D33" s="60"/>
    </row>
    <row r="34" spans="1:9">
      <c r="A34" s="437"/>
      <c r="B34" s="64" t="s">
        <v>121</v>
      </c>
      <c r="C34" s="95" t="s">
        <v>142</v>
      </c>
      <c r="D34" s="95" t="s">
        <v>143</v>
      </c>
      <c r="E34" s="95" t="s">
        <v>144</v>
      </c>
      <c r="F34" s="95" t="s">
        <v>145</v>
      </c>
      <c r="G34" s="96" t="s">
        <v>101</v>
      </c>
    </row>
    <row r="35" spans="1:9">
      <c r="A35" s="437"/>
      <c r="B35" s="67"/>
      <c r="C35" s="97">
        <f>C3</f>
        <v>30</v>
      </c>
      <c r="D35" s="82">
        <v>0.8</v>
      </c>
      <c r="E35" s="72">
        <f>D35*C35</f>
        <v>24</v>
      </c>
      <c r="F35" s="72">
        <f>E35*2</f>
        <v>48</v>
      </c>
      <c r="G35" s="71">
        <f>F35</f>
        <v>48</v>
      </c>
    </row>
    <row r="36" spans="1:9">
      <c r="A36" s="437"/>
      <c r="B36" s="67" t="s">
        <v>146</v>
      </c>
      <c r="C36" s="97"/>
      <c r="D36" s="82"/>
      <c r="E36" s="72"/>
      <c r="F36" s="72"/>
      <c r="G36" s="71">
        <f>C7</f>
        <v>0</v>
      </c>
    </row>
    <row r="37" spans="1:9">
      <c r="A37" s="437"/>
      <c r="B37" s="67"/>
      <c r="C37" s="97" t="s">
        <v>148</v>
      </c>
      <c r="D37" s="98" t="s">
        <v>149</v>
      </c>
      <c r="E37" s="72"/>
      <c r="F37" s="72"/>
      <c r="G37" s="71"/>
    </row>
    <row r="38" spans="1:9">
      <c r="A38" s="437"/>
      <c r="B38" s="67" t="s">
        <v>147</v>
      </c>
      <c r="C38" s="99">
        <v>500</v>
      </c>
      <c r="D38" s="100">
        <v>1</v>
      </c>
      <c r="E38" s="72"/>
      <c r="F38" s="72"/>
      <c r="G38" s="71">
        <f>C38*D38</f>
        <v>500</v>
      </c>
    </row>
    <row r="39" spans="1:9">
      <c r="A39" s="437"/>
      <c r="B39" s="91" t="s">
        <v>150</v>
      </c>
      <c r="C39" s="92"/>
      <c r="D39" s="92"/>
      <c r="E39" s="92"/>
      <c r="F39" s="92"/>
      <c r="G39" s="101">
        <f>SUM(G34:G38)</f>
        <v>548</v>
      </c>
    </row>
    <row r="41" spans="1:9">
      <c r="B41" s="102" t="s">
        <v>151</v>
      </c>
      <c r="C41" s="103" t="s">
        <v>152</v>
      </c>
      <c r="D41" s="104" t="s">
        <v>120</v>
      </c>
    </row>
    <row r="42" spans="1:9" ht="25.5">
      <c r="B42" s="105" t="s">
        <v>155</v>
      </c>
      <c r="C42" s="86">
        <v>3</v>
      </c>
      <c r="D42" s="71">
        <f>C8*C42</f>
        <v>144</v>
      </c>
    </row>
    <row r="43" spans="1:9">
      <c r="B43" s="67" t="s">
        <v>153</v>
      </c>
      <c r="C43" s="86">
        <v>0</v>
      </c>
      <c r="D43" s="71">
        <f>C43*C11</f>
        <v>0</v>
      </c>
    </row>
    <row r="44" spans="1:9">
      <c r="B44" s="67" t="s">
        <v>154</v>
      </c>
      <c r="C44" s="121">
        <v>20</v>
      </c>
      <c r="D44" s="71">
        <f>G31*C44</f>
        <v>20103.272727272728</v>
      </c>
      <c r="F44" s="60" t="s">
        <v>208</v>
      </c>
      <c r="G44" s="62">
        <f>H9</f>
        <v>0</v>
      </c>
      <c r="H44" s="62">
        <f>G44*2</f>
        <v>0</v>
      </c>
    </row>
    <row r="45" spans="1:9">
      <c r="B45" s="67" t="s">
        <v>156</v>
      </c>
      <c r="C45" s="121">
        <v>2</v>
      </c>
      <c r="D45" s="71">
        <f>G39*C45</f>
        <v>1096</v>
      </c>
      <c r="G45" s="62">
        <f>19*6.8</f>
        <v>129.19999999999999</v>
      </c>
      <c r="H45" s="134">
        <f>H44+G45</f>
        <v>129.19999999999999</v>
      </c>
      <c r="I45">
        <f>H45*30</f>
        <v>3875.9999999999995</v>
      </c>
    </row>
    <row r="46" spans="1:9">
      <c r="B46" s="106" t="s">
        <v>157</v>
      </c>
      <c r="C46" s="107"/>
      <c r="D46" s="108">
        <f>SUM(D42:D45)</f>
        <v>21343.272727272728</v>
      </c>
      <c r="G46">
        <f>(23+23+6+6)*6</f>
        <v>348</v>
      </c>
      <c r="H46">
        <f>G46*60</f>
        <v>20880</v>
      </c>
    </row>
    <row r="47" spans="1:9">
      <c r="C47" s="61">
        <v>526.61</v>
      </c>
      <c r="D47">
        <f>D46/C47</f>
        <v>40.529562156572659</v>
      </c>
    </row>
    <row r="51" spans="4:8">
      <c r="D51" s="113"/>
      <c r="E51" s="112"/>
      <c r="F51" s="111"/>
      <c r="G51" s="112"/>
      <c r="H51" s="112"/>
    </row>
    <row r="52" spans="4:8">
      <c r="D52" s="61"/>
      <c r="E52" s="62"/>
      <c r="F52" s="61"/>
      <c r="G52" s="61"/>
      <c r="H52" s="61"/>
    </row>
    <row r="53" spans="4:8">
      <c r="D53" s="440" t="s">
        <v>179</v>
      </c>
      <c r="E53" s="440"/>
      <c r="F53" s="440"/>
      <c r="G53" s="440"/>
      <c r="H53" s="440"/>
    </row>
    <row r="54" spans="4:8">
      <c r="D54" s="62"/>
    </row>
    <row r="55" spans="4:8" ht="25.5">
      <c r="D55" s="113" t="s">
        <v>181</v>
      </c>
      <c r="E55" s="116" t="s">
        <v>180</v>
      </c>
      <c r="F55" s="116" t="s">
        <v>182</v>
      </c>
      <c r="G55" s="116" t="s">
        <v>183</v>
      </c>
      <c r="H55" s="119" t="s">
        <v>184</v>
      </c>
    </row>
    <row r="56" spans="4:8">
      <c r="D56" s="115">
        <v>0</v>
      </c>
      <c r="E56" s="115">
        <v>2.7</v>
      </c>
      <c r="F56" s="115">
        <f>E56*D56</f>
        <v>0</v>
      </c>
      <c r="H56" s="120"/>
    </row>
    <row r="57" spans="4:8">
      <c r="D57" s="115">
        <v>0</v>
      </c>
      <c r="E57" s="115">
        <v>2.7</v>
      </c>
      <c r="F57" s="115">
        <f>E57*D57</f>
        <v>0</v>
      </c>
      <c r="H57" s="120"/>
    </row>
    <row r="58" spans="4:8">
      <c r="D58" s="115">
        <v>0</v>
      </c>
      <c r="E58" s="115">
        <v>2.7</v>
      </c>
      <c r="F58" s="115">
        <f>E58*D58</f>
        <v>0</v>
      </c>
      <c r="H58" s="120"/>
    </row>
    <row r="59" spans="4:8">
      <c r="D59" s="115">
        <v>0</v>
      </c>
      <c r="E59" s="115">
        <v>2.7</v>
      </c>
      <c r="F59" s="115">
        <f>E59*D59</f>
        <v>0</v>
      </c>
      <c r="H59" s="120"/>
    </row>
    <row r="60" spans="4:8">
      <c r="D60" s="62"/>
      <c r="F60" s="118">
        <f>SUM(F56:F59)</f>
        <v>0</v>
      </c>
      <c r="G60" s="118">
        <f>F60</f>
        <v>0</v>
      </c>
      <c r="H60" s="118">
        <f>SUM(F60+G60)</f>
        <v>0</v>
      </c>
    </row>
    <row r="61" spans="4:8">
      <c r="D61" s="62"/>
    </row>
    <row r="62" spans="4:8">
      <c r="D62" s="440" t="s">
        <v>185</v>
      </c>
      <c r="E62" s="440"/>
      <c r="F62" s="440"/>
      <c r="G62" s="440"/>
      <c r="H62" s="440"/>
    </row>
    <row r="63" spans="4:8">
      <c r="D63" s="62"/>
    </row>
    <row r="64" spans="4:8" ht="25.5">
      <c r="D64" s="113" t="s">
        <v>181</v>
      </c>
      <c r="E64" s="116" t="s">
        <v>180</v>
      </c>
      <c r="F64" s="116" t="s">
        <v>182</v>
      </c>
      <c r="G64" s="116" t="s">
        <v>183</v>
      </c>
      <c r="H64" s="119" t="s">
        <v>184</v>
      </c>
    </row>
    <row r="65" spans="4:8">
      <c r="D65" s="115">
        <v>0</v>
      </c>
      <c r="E65" s="115">
        <v>2.7</v>
      </c>
      <c r="F65" s="115">
        <f>E65*D65</f>
        <v>0</v>
      </c>
      <c r="H65" s="120"/>
    </row>
    <row r="66" spans="4:8">
      <c r="D66" s="115">
        <v>0</v>
      </c>
      <c r="E66" s="115">
        <v>2.7</v>
      </c>
      <c r="F66" s="115">
        <f>E66*D66</f>
        <v>0</v>
      </c>
      <c r="H66" s="120"/>
    </row>
    <row r="67" spans="4:8">
      <c r="D67" s="115">
        <v>0</v>
      </c>
      <c r="E67" s="115">
        <v>2.7</v>
      </c>
      <c r="F67" s="115">
        <f>E67*D67</f>
        <v>0</v>
      </c>
      <c r="H67" s="120"/>
    </row>
    <row r="68" spans="4:8">
      <c r="D68" s="115">
        <v>0</v>
      </c>
      <c r="E68" s="115">
        <v>2.7</v>
      </c>
      <c r="F68" s="115">
        <f>E68*D68</f>
        <v>0</v>
      </c>
      <c r="H68" s="120"/>
    </row>
    <row r="69" spans="4:8">
      <c r="D69" s="62"/>
      <c r="F69" s="118">
        <f>SUM(F65:F68)</f>
        <v>0</v>
      </c>
      <c r="G69" s="118">
        <f>F69</f>
        <v>0</v>
      </c>
      <c r="H69" s="118">
        <f>SUM(F69+G69)</f>
        <v>0</v>
      </c>
    </row>
    <row r="70" spans="4:8">
      <c r="D70" s="62"/>
    </row>
    <row r="71" spans="4:8">
      <c r="D71" s="440" t="s">
        <v>186</v>
      </c>
      <c r="E71" s="440"/>
      <c r="F71" s="440"/>
      <c r="G71" s="440"/>
      <c r="H71" s="440"/>
    </row>
    <row r="72" spans="4:8">
      <c r="D72" s="62"/>
    </row>
    <row r="73" spans="4:8" ht="25.5">
      <c r="D73" s="113" t="s">
        <v>187</v>
      </c>
      <c r="E73" s="116" t="s">
        <v>180</v>
      </c>
      <c r="F73" s="116" t="s">
        <v>188</v>
      </c>
      <c r="G73" s="116" t="s">
        <v>189</v>
      </c>
      <c r="H73" s="119" t="s">
        <v>184</v>
      </c>
    </row>
    <row r="74" spans="4:8">
      <c r="D74" s="115">
        <v>0</v>
      </c>
      <c r="E74" s="115">
        <v>2.8</v>
      </c>
      <c r="F74" s="115">
        <f>E74*D74</f>
        <v>0</v>
      </c>
      <c r="G74" s="115">
        <f>F74</f>
        <v>0</v>
      </c>
      <c r="H74" s="120"/>
    </row>
    <row r="75" spans="4:8">
      <c r="D75" s="115">
        <v>0</v>
      </c>
      <c r="E75" s="115">
        <v>2.8</v>
      </c>
      <c r="F75" s="115">
        <f>E75*D75</f>
        <v>0</v>
      </c>
      <c r="G75" s="115">
        <f t="shared" ref="G75:G88" si="1">F75</f>
        <v>0</v>
      </c>
      <c r="H75" s="120"/>
    </row>
    <row r="76" spans="4:8">
      <c r="D76" s="115">
        <v>0</v>
      </c>
      <c r="E76" s="115">
        <v>2.8</v>
      </c>
      <c r="F76" s="115">
        <f>E76*D76</f>
        <v>0</v>
      </c>
      <c r="G76" s="115">
        <f t="shared" si="1"/>
        <v>0</v>
      </c>
      <c r="H76" s="120"/>
    </row>
    <row r="77" spans="4:8">
      <c r="D77" s="115">
        <v>0</v>
      </c>
      <c r="E77" s="115">
        <v>2.8</v>
      </c>
      <c r="F77" s="115">
        <f>E77*D77</f>
        <v>0</v>
      </c>
      <c r="G77" s="115">
        <f t="shared" si="1"/>
        <v>0</v>
      </c>
      <c r="H77" s="120"/>
    </row>
    <row r="78" spans="4:8">
      <c r="D78" s="115">
        <v>0</v>
      </c>
      <c r="E78" s="115">
        <v>2.8</v>
      </c>
      <c r="F78" s="115">
        <f>E78*D78</f>
        <v>0</v>
      </c>
      <c r="G78" s="115">
        <f t="shared" si="1"/>
        <v>0</v>
      </c>
      <c r="H78" s="118"/>
    </row>
    <row r="79" spans="4:8">
      <c r="D79" s="115">
        <v>0</v>
      </c>
      <c r="E79" s="115">
        <v>2.8</v>
      </c>
      <c r="F79" s="115">
        <f t="shared" ref="F79:F88" si="2">E79*D79</f>
        <v>0</v>
      </c>
      <c r="G79" s="115">
        <f t="shared" si="1"/>
        <v>0</v>
      </c>
      <c r="H79" s="120"/>
    </row>
    <row r="80" spans="4:8">
      <c r="D80" s="115">
        <v>0</v>
      </c>
      <c r="E80" s="115">
        <v>2.8</v>
      </c>
      <c r="F80" s="115">
        <f t="shared" si="2"/>
        <v>0</v>
      </c>
      <c r="G80" s="115">
        <f t="shared" si="1"/>
        <v>0</v>
      </c>
      <c r="H80" s="120"/>
    </row>
    <row r="81" spans="3:8">
      <c r="D81" s="115">
        <v>0</v>
      </c>
      <c r="E81" s="115">
        <v>2.8</v>
      </c>
      <c r="F81" s="115">
        <f t="shared" si="2"/>
        <v>0</v>
      </c>
      <c r="G81" s="115">
        <f t="shared" si="1"/>
        <v>0</v>
      </c>
      <c r="H81" s="120"/>
    </row>
    <row r="82" spans="3:8">
      <c r="D82" s="115">
        <v>0</v>
      </c>
      <c r="E82" s="115">
        <v>2.8</v>
      </c>
      <c r="F82" s="115">
        <f t="shared" si="2"/>
        <v>0</v>
      </c>
      <c r="G82" s="115">
        <f t="shared" si="1"/>
        <v>0</v>
      </c>
      <c r="H82" s="120"/>
    </row>
    <row r="83" spans="3:8">
      <c r="D83" s="115">
        <v>0</v>
      </c>
      <c r="E83" s="115">
        <v>2.8</v>
      </c>
      <c r="F83" s="115">
        <f>E83*D83</f>
        <v>0</v>
      </c>
      <c r="G83" s="115">
        <f t="shared" si="1"/>
        <v>0</v>
      </c>
      <c r="H83" s="120"/>
    </row>
    <row r="84" spans="3:8">
      <c r="D84" s="115">
        <v>0</v>
      </c>
      <c r="E84" s="115">
        <v>2.8</v>
      </c>
      <c r="F84" s="115">
        <f>E84*D84</f>
        <v>0</v>
      </c>
      <c r="G84" s="115">
        <f t="shared" si="1"/>
        <v>0</v>
      </c>
      <c r="H84" s="120"/>
    </row>
    <row r="85" spans="3:8">
      <c r="D85" s="115">
        <v>0</v>
      </c>
      <c r="E85" s="115">
        <v>2.8</v>
      </c>
      <c r="F85" s="115">
        <f t="shared" si="2"/>
        <v>0</v>
      </c>
      <c r="G85" s="115">
        <f t="shared" si="1"/>
        <v>0</v>
      </c>
      <c r="H85" s="120"/>
    </row>
    <row r="86" spans="3:8">
      <c r="D86" s="115">
        <v>0</v>
      </c>
      <c r="E86" s="115">
        <v>2.8</v>
      </c>
      <c r="F86" s="115">
        <f>E86*D86</f>
        <v>0</v>
      </c>
      <c r="G86" s="115">
        <f t="shared" si="1"/>
        <v>0</v>
      </c>
      <c r="H86" s="120"/>
    </row>
    <row r="87" spans="3:8">
      <c r="D87" s="115">
        <v>0</v>
      </c>
      <c r="E87" s="115">
        <v>2.8</v>
      </c>
      <c r="F87" s="115">
        <f t="shared" si="2"/>
        <v>0</v>
      </c>
      <c r="G87" s="115">
        <f t="shared" si="1"/>
        <v>0</v>
      </c>
      <c r="H87" s="120"/>
    </row>
    <row r="88" spans="3:8">
      <c r="D88" s="115">
        <v>0</v>
      </c>
      <c r="E88" s="115">
        <v>2.8</v>
      </c>
      <c r="F88" s="115">
        <f t="shared" si="2"/>
        <v>0</v>
      </c>
      <c r="G88" s="115">
        <f t="shared" si="1"/>
        <v>0</v>
      </c>
      <c r="H88" s="120"/>
    </row>
    <row r="89" spans="3:8">
      <c r="C89" s="117" t="s">
        <v>190</v>
      </c>
      <c r="D89" s="115">
        <v>0</v>
      </c>
      <c r="E89" s="115">
        <v>2.8</v>
      </c>
      <c r="F89" s="115">
        <f>E89*D89</f>
        <v>0</v>
      </c>
      <c r="G89" s="115">
        <v>0</v>
      </c>
      <c r="H89" s="120"/>
    </row>
    <row r="90" spans="3:8">
      <c r="C90" s="117" t="s">
        <v>190</v>
      </c>
      <c r="D90" s="115">
        <v>0</v>
      </c>
      <c r="E90" s="115">
        <v>2.8</v>
      </c>
      <c r="F90" s="115">
        <f t="shared" ref="F90:F99" si="3">E90*D90</f>
        <v>0</v>
      </c>
      <c r="G90" s="115">
        <v>0</v>
      </c>
      <c r="H90" s="120"/>
    </row>
    <row r="91" spans="3:8">
      <c r="C91" s="117" t="s">
        <v>190</v>
      </c>
      <c r="D91" s="115">
        <v>0</v>
      </c>
      <c r="E91" s="115">
        <v>2.8</v>
      </c>
      <c r="F91" s="115">
        <f t="shared" si="3"/>
        <v>0</v>
      </c>
      <c r="G91" s="115">
        <v>0</v>
      </c>
      <c r="H91" s="120"/>
    </row>
    <row r="92" spans="3:8">
      <c r="C92" s="117" t="s">
        <v>190</v>
      </c>
      <c r="D92" s="115">
        <v>0</v>
      </c>
      <c r="E92" s="115">
        <v>2.8</v>
      </c>
      <c r="F92" s="115">
        <f t="shared" si="3"/>
        <v>0</v>
      </c>
      <c r="G92" s="115">
        <v>0</v>
      </c>
      <c r="H92" s="120"/>
    </row>
    <row r="93" spans="3:8">
      <c r="C93" s="117" t="s">
        <v>190</v>
      </c>
      <c r="D93" s="115">
        <v>0</v>
      </c>
      <c r="E93" s="115">
        <v>2.8</v>
      </c>
      <c r="F93" s="115">
        <f t="shared" si="3"/>
        <v>0</v>
      </c>
      <c r="G93" s="115">
        <v>0</v>
      </c>
      <c r="H93" s="120"/>
    </row>
    <row r="94" spans="3:8">
      <c r="C94" s="117" t="s">
        <v>190</v>
      </c>
      <c r="D94" s="115">
        <v>0</v>
      </c>
      <c r="E94" s="115">
        <v>2.8</v>
      </c>
      <c r="F94" s="115">
        <f t="shared" si="3"/>
        <v>0</v>
      </c>
      <c r="G94" s="115">
        <v>0</v>
      </c>
      <c r="H94" s="120"/>
    </row>
    <row r="95" spans="3:8">
      <c r="C95" s="117" t="s">
        <v>190</v>
      </c>
      <c r="D95" s="115">
        <v>0</v>
      </c>
      <c r="E95" s="115">
        <v>2.8</v>
      </c>
      <c r="F95" s="115">
        <f t="shared" si="3"/>
        <v>0</v>
      </c>
      <c r="G95" s="115">
        <v>0</v>
      </c>
      <c r="H95" s="120"/>
    </row>
    <row r="96" spans="3:8">
      <c r="C96" s="117" t="s">
        <v>190</v>
      </c>
      <c r="D96" s="115">
        <v>0</v>
      </c>
      <c r="E96" s="115">
        <v>2.8</v>
      </c>
      <c r="F96" s="115">
        <f t="shared" si="3"/>
        <v>0</v>
      </c>
      <c r="G96" s="115">
        <v>0</v>
      </c>
      <c r="H96" s="120"/>
    </row>
    <row r="97" spans="3:8">
      <c r="C97" s="117" t="s">
        <v>190</v>
      </c>
      <c r="D97" s="115">
        <v>0</v>
      </c>
      <c r="E97" s="115">
        <v>2.8</v>
      </c>
      <c r="F97" s="115">
        <f t="shared" si="3"/>
        <v>0</v>
      </c>
      <c r="G97" s="115">
        <v>0</v>
      </c>
      <c r="H97" s="120"/>
    </row>
    <row r="98" spans="3:8">
      <c r="C98" s="117" t="s">
        <v>190</v>
      </c>
      <c r="D98" s="115">
        <v>0</v>
      </c>
      <c r="E98" s="115">
        <v>2.8</v>
      </c>
      <c r="F98" s="115">
        <f t="shared" si="3"/>
        <v>0</v>
      </c>
      <c r="G98" s="115">
        <v>0</v>
      </c>
      <c r="H98" s="120"/>
    </row>
    <row r="99" spans="3:8">
      <c r="C99" s="117" t="s">
        <v>190</v>
      </c>
      <c r="D99" s="115">
        <v>0</v>
      </c>
      <c r="E99" s="115">
        <v>2.8</v>
      </c>
      <c r="F99" s="115">
        <f t="shared" si="3"/>
        <v>0</v>
      </c>
      <c r="G99" s="115">
        <v>0</v>
      </c>
      <c r="H99" s="120"/>
    </row>
    <row r="100" spans="3:8">
      <c r="C100" s="117"/>
      <c r="D100" s="115">
        <v>0</v>
      </c>
      <c r="E100" s="115">
        <v>2.8</v>
      </c>
      <c r="F100" s="115">
        <f>E100*D100</f>
        <v>0</v>
      </c>
      <c r="G100" s="115">
        <f>F100</f>
        <v>0</v>
      </c>
      <c r="H100" s="120"/>
    </row>
    <row r="101" spans="3:8">
      <c r="C101" s="117"/>
      <c r="D101" s="115">
        <v>0</v>
      </c>
      <c r="E101" s="115">
        <v>2.8</v>
      </c>
      <c r="F101" s="115">
        <f>E101*D101</f>
        <v>0</v>
      </c>
      <c r="G101" s="115">
        <f>F101</f>
        <v>0</v>
      </c>
      <c r="H101" s="120"/>
    </row>
    <row r="102" spans="3:8">
      <c r="C102" s="117"/>
      <c r="D102" s="115">
        <v>0</v>
      </c>
      <c r="E102" s="115">
        <v>2.8</v>
      </c>
      <c r="F102" s="115">
        <f>E102*D102</f>
        <v>0</v>
      </c>
      <c r="G102" s="115">
        <f>F102</f>
        <v>0</v>
      </c>
      <c r="H102" s="120"/>
    </row>
    <row r="103" spans="3:8">
      <c r="C103" s="117"/>
      <c r="D103" s="115">
        <v>0</v>
      </c>
      <c r="E103" s="115">
        <v>2.8</v>
      </c>
      <c r="F103" s="115">
        <f>E103*D103</f>
        <v>0</v>
      </c>
      <c r="G103" s="115">
        <f>F103</f>
        <v>0</v>
      </c>
      <c r="H103" s="120"/>
    </row>
    <row r="104" spans="3:8">
      <c r="C104" s="117"/>
      <c r="D104" s="115">
        <v>0</v>
      </c>
      <c r="E104" s="115">
        <v>2.8</v>
      </c>
      <c r="F104" s="115">
        <f>E104*D104</f>
        <v>0</v>
      </c>
      <c r="G104" s="115">
        <f>F104</f>
        <v>0</v>
      </c>
      <c r="H104" s="120"/>
    </row>
    <row r="105" spans="3:8">
      <c r="D105" s="115"/>
      <c r="F105" s="118">
        <f>SUM(F74:F104)</f>
        <v>0</v>
      </c>
      <c r="G105" s="118">
        <f>SUM(G74:G104)</f>
        <v>0</v>
      </c>
      <c r="H105" s="118">
        <f>F105+G105</f>
        <v>0</v>
      </c>
    </row>
    <row r="106" spans="3:8">
      <c r="D106" s="62"/>
    </row>
    <row r="107" spans="3:8">
      <c r="D107" s="440" t="s">
        <v>191</v>
      </c>
      <c r="E107" s="440"/>
      <c r="F107" s="440"/>
      <c r="G107" s="440"/>
      <c r="H107" s="440"/>
    </row>
    <row r="108" spans="3:8">
      <c r="D108" s="62"/>
    </row>
    <row r="109" spans="3:8" ht="25.5">
      <c r="D109" s="113" t="s">
        <v>187</v>
      </c>
      <c r="E109" s="116" t="s">
        <v>180</v>
      </c>
      <c r="F109" s="116" t="s">
        <v>188</v>
      </c>
      <c r="G109" s="116" t="s">
        <v>189</v>
      </c>
      <c r="H109" s="119" t="s">
        <v>184</v>
      </c>
    </row>
    <row r="110" spans="3:8">
      <c r="C110" s="117"/>
      <c r="D110" s="115"/>
      <c r="E110" s="115">
        <v>3.25</v>
      </c>
      <c r="F110" s="115">
        <f t="shared" ref="F110:F135" si="4">E110*D110</f>
        <v>0</v>
      </c>
      <c r="G110" s="115"/>
      <c r="H110" s="120"/>
    </row>
    <row r="111" spans="3:8">
      <c r="C111" s="117"/>
      <c r="D111" s="115"/>
      <c r="E111" s="115">
        <v>3.25</v>
      </c>
      <c r="F111" s="115">
        <f t="shared" si="4"/>
        <v>0</v>
      </c>
      <c r="G111" s="115"/>
      <c r="H111" s="120"/>
    </row>
    <row r="112" spans="3:8">
      <c r="C112" s="117"/>
      <c r="D112" s="115"/>
      <c r="E112" s="115">
        <v>3.25</v>
      </c>
      <c r="F112" s="115">
        <f t="shared" si="4"/>
        <v>0</v>
      </c>
      <c r="G112" s="115"/>
      <c r="H112" s="120"/>
    </row>
    <row r="113" spans="3:8">
      <c r="C113" s="117"/>
      <c r="D113" s="115"/>
      <c r="E113" s="115">
        <v>3.25</v>
      </c>
      <c r="F113" s="115">
        <f t="shared" si="4"/>
        <v>0</v>
      </c>
      <c r="G113" s="115"/>
      <c r="H113" s="120"/>
    </row>
    <row r="114" spans="3:8">
      <c r="C114" s="117"/>
      <c r="D114" s="115"/>
      <c r="E114" s="115">
        <v>3.25</v>
      </c>
      <c r="F114" s="115">
        <f t="shared" si="4"/>
        <v>0</v>
      </c>
      <c r="G114" s="115"/>
      <c r="H114" s="118"/>
    </row>
    <row r="115" spans="3:8">
      <c r="C115" s="117"/>
      <c r="D115" s="115"/>
      <c r="E115" s="115">
        <v>3.25</v>
      </c>
      <c r="F115" s="115">
        <f t="shared" si="4"/>
        <v>0</v>
      </c>
      <c r="G115" s="115"/>
      <c r="H115" s="120"/>
    </row>
    <row r="116" spans="3:8">
      <c r="D116" s="115"/>
      <c r="E116" s="115">
        <v>3.25</v>
      </c>
      <c r="F116" s="115">
        <f t="shared" si="4"/>
        <v>0</v>
      </c>
      <c r="G116" s="115"/>
      <c r="H116" s="120"/>
    </row>
    <row r="117" spans="3:8">
      <c r="D117" s="115"/>
      <c r="E117" s="115">
        <v>3.25</v>
      </c>
      <c r="F117" s="115">
        <f t="shared" si="4"/>
        <v>0</v>
      </c>
      <c r="G117" s="115"/>
      <c r="H117" s="120"/>
    </row>
    <row r="118" spans="3:8">
      <c r="D118" s="115"/>
      <c r="E118" s="115">
        <v>3.25</v>
      </c>
      <c r="F118" s="115">
        <f t="shared" si="4"/>
        <v>0</v>
      </c>
      <c r="G118" s="115"/>
      <c r="H118" s="120"/>
    </row>
    <row r="119" spans="3:8">
      <c r="D119" s="115"/>
      <c r="E119" s="115">
        <v>3.25</v>
      </c>
      <c r="F119" s="115">
        <f t="shared" si="4"/>
        <v>0</v>
      </c>
      <c r="G119" s="115"/>
      <c r="H119" s="120"/>
    </row>
    <row r="120" spans="3:8">
      <c r="D120" s="115"/>
      <c r="E120" s="115">
        <v>3.25</v>
      </c>
      <c r="F120" s="115">
        <f t="shared" si="4"/>
        <v>0</v>
      </c>
      <c r="G120" s="115"/>
      <c r="H120" s="120"/>
    </row>
    <row r="121" spans="3:8">
      <c r="D121" s="115"/>
      <c r="E121" s="115">
        <v>3.25</v>
      </c>
      <c r="F121" s="115">
        <f t="shared" si="4"/>
        <v>0</v>
      </c>
      <c r="G121" s="115"/>
      <c r="H121" s="120"/>
    </row>
    <row r="122" spans="3:8">
      <c r="D122" s="115"/>
      <c r="E122" s="115">
        <v>3.25</v>
      </c>
      <c r="F122" s="115">
        <f t="shared" si="4"/>
        <v>0</v>
      </c>
      <c r="G122" s="115"/>
      <c r="H122" s="120"/>
    </row>
    <row r="123" spans="3:8">
      <c r="D123" s="115"/>
      <c r="E123" s="115">
        <v>3.25</v>
      </c>
      <c r="F123" s="115">
        <f t="shared" si="4"/>
        <v>0</v>
      </c>
      <c r="G123" s="115"/>
      <c r="H123" s="120"/>
    </row>
    <row r="124" spans="3:8">
      <c r="D124" s="115"/>
      <c r="E124" s="115">
        <v>3.25</v>
      </c>
      <c r="F124" s="115">
        <f t="shared" si="4"/>
        <v>0</v>
      </c>
      <c r="G124" s="115"/>
      <c r="H124" s="120"/>
    </row>
    <row r="125" spans="3:8">
      <c r="D125" s="115"/>
      <c r="E125" s="115">
        <v>3.25</v>
      </c>
      <c r="F125" s="115">
        <f t="shared" si="4"/>
        <v>0</v>
      </c>
      <c r="G125" s="115"/>
      <c r="H125" s="120"/>
    </row>
    <row r="126" spans="3:8">
      <c r="D126" s="115"/>
      <c r="E126" s="115">
        <v>3.25</v>
      </c>
      <c r="F126" s="115">
        <f t="shared" si="4"/>
        <v>0</v>
      </c>
      <c r="G126" s="115"/>
      <c r="H126" s="120"/>
    </row>
    <row r="127" spans="3:8">
      <c r="D127" s="115"/>
      <c r="E127" s="115">
        <v>3.25</v>
      </c>
      <c r="F127" s="115">
        <f t="shared" si="4"/>
        <v>0</v>
      </c>
      <c r="G127" s="115"/>
      <c r="H127" s="120"/>
    </row>
    <row r="128" spans="3:8">
      <c r="D128" s="115"/>
      <c r="E128" s="115">
        <v>3.25</v>
      </c>
      <c r="F128" s="115">
        <f t="shared" si="4"/>
        <v>0</v>
      </c>
      <c r="G128" s="115"/>
      <c r="H128" s="120"/>
    </row>
    <row r="129" spans="3:8">
      <c r="D129" s="115"/>
      <c r="E129" s="115">
        <v>3.25</v>
      </c>
      <c r="F129" s="115">
        <f t="shared" si="4"/>
        <v>0</v>
      </c>
      <c r="G129" s="115"/>
      <c r="H129" s="120"/>
    </row>
    <row r="130" spans="3:8">
      <c r="D130" s="115"/>
      <c r="E130" s="115">
        <v>3.25</v>
      </c>
      <c r="F130" s="115">
        <f t="shared" si="4"/>
        <v>0</v>
      </c>
      <c r="G130" s="115"/>
      <c r="H130" s="120"/>
    </row>
    <row r="131" spans="3:8">
      <c r="D131" s="115"/>
      <c r="E131" s="115">
        <v>3.25</v>
      </c>
      <c r="F131" s="115">
        <f t="shared" si="4"/>
        <v>0</v>
      </c>
      <c r="G131" s="115"/>
      <c r="H131" s="120"/>
    </row>
    <row r="132" spans="3:8">
      <c r="D132" s="115"/>
      <c r="E132" s="115">
        <v>3.25</v>
      </c>
      <c r="F132" s="115">
        <f t="shared" si="4"/>
        <v>0</v>
      </c>
      <c r="G132" s="115"/>
      <c r="H132" s="120"/>
    </row>
    <row r="133" spans="3:8">
      <c r="D133" s="115"/>
      <c r="E133" s="115">
        <v>3.25</v>
      </c>
      <c r="F133" s="115">
        <f t="shared" si="4"/>
        <v>0</v>
      </c>
      <c r="G133" s="115"/>
      <c r="H133" s="120"/>
    </row>
    <row r="134" spans="3:8">
      <c r="D134" s="115"/>
      <c r="E134" s="115">
        <v>3.25</v>
      </c>
      <c r="F134" s="115">
        <f t="shared" si="4"/>
        <v>0</v>
      </c>
      <c r="G134" s="115"/>
      <c r="H134" s="120"/>
    </row>
    <row r="135" spans="3:8">
      <c r="D135" s="115"/>
      <c r="E135" s="115">
        <v>3.25</v>
      </c>
      <c r="F135" s="115">
        <f t="shared" si="4"/>
        <v>0</v>
      </c>
      <c r="G135" s="115"/>
      <c r="H135" s="120"/>
    </row>
    <row r="136" spans="3:8">
      <c r="D136" s="115"/>
      <c r="E136" s="115">
        <v>3.25</v>
      </c>
      <c r="F136" s="115">
        <f>E136*D136</f>
        <v>0</v>
      </c>
      <c r="G136" s="115"/>
      <c r="H136" s="120"/>
    </row>
    <row r="137" spans="3:8">
      <c r="D137" s="115"/>
      <c r="E137" s="115">
        <v>3.25</v>
      </c>
      <c r="F137" s="115">
        <f>E137*D137</f>
        <v>0</v>
      </c>
      <c r="G137" s="115"/>
      <c r="H137" s="120"/>
    </row>
    <row r="138" spans="3:8">
      <c r="D138" s="115"/>
      <c r="E138" s="115">
        <v>3.25</v>
      </c>
      <c r="F138" s="115">
        <f>E138*D138</f>
        <v>0</v>
      </c>
      <c r="G138" s="115"/>
      <c r="H138" s="120"/>
    </row>
    <row r="139" spans="3:8">
      <c r="C139" s="117"/>
      <c r="D139" s="115"/>
      <c r="E139" s="115">
        <v>3.25</v>
      </c>
      <c r="F139" s="115">
        <f>E139*D139</f>
        <v>0</v>
      </c>
      <c r="G139" s="115"/>
      <c r="H139" s="120"/>
    </row>
    <row r="140" spans="3:8">
      <c r="C140" s="117"/>
      <c r="D140" s="115"/>
      <c r="E140" s="115">
        <v>3.25</v>
      </c>
      <c r="F140" s="115">
        <f t="shared" ref="F140:F149" si="5">E140*D140</f>
        <v>0</v>
      </c>
      <c r="G140" s="115"/>
      <c r="H140" s="120"/>
    </row>
    <row r="141" spans="3:8">
      <c r="C141" s="117"/>
      <c r="D141" s="115"/>
      <c r="E141" s="115">
        <v>3.25</v>
      </c>
      <c r="F141" s="115">
        <f t="shared" si="5"/>
        <v>0</v>
      </c>
      <c r="G141" s="115"/>
      <c r="H141" s="120"/>
    </row>
    <row r="142" spans="3:8">
      <c r="C142" s="117"/>
      <c r="D142" s="115"/>
      <c r="E142" s="115">
        <v>3.25</v>
      </c>
      <c r="F142" s="115">
        <f t="shared" si="5"/>
        <v>0</v>
      </c>
      <c r="G142" s="115"/>
      <c r="H142" s="120"/>
    </row>
    <row r="143" spans="3:8">
      <c r="C143" s="117"/>
      <c r="D143" s="115"/>
      <c r="E143" s="115">
        <v>3.25</v>
      </c>
      <c r="F143" s="115">
        <f t="shared" si="5"/>
        <v>0</v>
      </c>
      <c r="G143" s="115"/>
      <c r="H143" s="120"/>
    </row>
    <row r="144" spans="3:8">
      <c r="C144" s="117"/>
      <c r="D144" s="115"/>
      <c r="E144" s="115">
        <v>3.25</v>
      </c>
      <c r="F144" s="115">
        <f t="shared" si="5"/>
        <v>0</v>
      </c>
      <c r="G144" s="115"/>
      <c r="H144" s="120"/>
    </row>
    <row r="145" spans="3:8">
      <c r="C145" s="117"/>
      <c r="D145" s="115"/>
      <c r="E145" s="115">
        <v>3.25</v>
      </c>
      <c r="F145" s="115">
        <f t="shared" si="5"/>
        <v>0</v>
      </c>
      <c r="G145" s="115"/>
      <c r="H145" s="120"/>
    </row>
    <row r="146" spans="3:8">
      <c r="C146" s="117"/>
      <c r="D146" s="115"/>
      <c r="E146" s="115">
        <v>3.25</v>
      </c>
      <c r="F146" s="115">
        <f t="shared" si="5"/>
        <v>0</v>
      </c>
      <c r="G146" s="115"/>
      <c r="H146" s="120"/>
    </row>
    <row r="147" spans="3:8">
      <c r="C147" s="117"/>
      <c r="D147" s="115"/>
      <c r="E147" s="115">
        <v>3.25</v>
      </c>
      <c r="F147" s="115">
        <f t="shared" si="5"/>
        <v>0</v>
      </c>
      <c r="G147" s="115"/>
      <c r="H147" s="120"/>
    </row>
    <row r="148" spans="3:8">
      <c r="C148" s="117"/>
      <c r="D148" s="115"/>
      <c r="E148" s="115">
        <v>3.25</v>
      </c>
      <c r="F148" s="115">
        <f t="shared" si="5"/>
        <v>0</v>
      </c>
      <c r="G148" s="115"/>
      <c r="H148" s="120"/>
    </row>
    <row r="149" spans="3:8">
      <c r="C149" s="117"/>
      <c r="D149" s="115"/>
      <c r="E149" s="115">
        <v>3.25</v>
      </c>
      <c r="F149" s="115">
        <f t="shared" si="5"/>
        <v>0</v>
      </c>
      <c r="G149" s="115"/>
      <c r="H149" s="120"/>
    </row>
    <row r="150" spans="3:8">
      <c r="D150" s="115"/>
      <c r="E150" s="115">
        <v>3.25</v>
      </c>
      <c r="F150" s="115">
        <f>E150*D150</f>
        <v>0</v>
      </c>
      <c r="G150" s="115"/>
      <c r="H150" s="120"/>
    </row>
    <row r="151" spans="3:8">
      <c r="D151" s="115"/>
      <c r="E151" s="115">
        <v>3.25</v>
      </c>
      <c r="F151" s="115">
        <f>E151*D151</f>
        <v>0</v>
      </c>
      <c r="G151" s="115"/>
      <c r="H151" s="120"/>
    </row>
    <row r="152" spans="3:8">
      <c r="D152" s="115"/>
      <c r="E152" s="115">
        <v>3.25</v>
      </c>
      <c r="F152" s="115">
        <f>E152*D152</f>
        <v>0</v>
      </c>
      <c r="G152" s="115"/>
      <c r="H152" s="120"/>
    </row>
    <row r="153" spans="3:8">
      <c r="D153" s="115"/>
      <c r="E153" s="115">
        <v>3.25</v>
      </c>
      <c r="F153" s="115">
        <f>E153*D153</f>
        <v>0</v>
      </c>
      <c r="G153" s="115"/>
      <c r="H153" s="120"/>
    </row>
    <row r="154" spans="3:8">
      <c r="D154" s="115"/>
      <c r="E154" s="115">
        <v>3.25</v>
      </c>
      <c r="F154" s="115">
        <f>E154*D154</f>
        <v>0</v>
      </c>
      <c r="G154" s="115"/>
      <c r="H154" s="120"/>
    </row>
    <row r="155" spans="3:8">
      <c r="D155" s="115"/>
      <c r="E155" s="115">
        <v>3.25</v>
      </c>
      <c r="F155" s="115">
        <f t="shared" ref="F155:F167" si="6">E155*D155</f>
        <v>0</v>
      </c>
      <c r="G155" s="115"/>
      <c r="H155" s="120"/>
    </row>
    <row r="156" spans="3:8">
      <c r="D156" s="115"/>
      <c r="E156" s="115">
        <v>3.25</v>
      </c>
      <c r="F156" s="115">
        <f t="shared" si="6"/>
        <v>0</v>
      </c>
      <c r="G156" s="115"/>
      <c r="H156" s="120"/>
    </row>
    <row r="157" spans="3:8">
      <c r="D157" s="115"/>
      <c r="E157" s="115">
        <v>3.25</v>
      </c>
      <c r="F157" s="115">
        <f t="shared" si="6"/>
        <v>0</v>
      </c>
      <c r="G157" s="115"/>
      <c r="H157" s="120"/>
    </row>
    <row r="158" spans="3:8">
      <c r="D158" s="115"/>
      <c r="E158" s="115">
        <v>3.25</v>
      </c>
      <c r="F158" s="115">
        <f t="shared" si="6"/>
        <v>0</v>
      </c>
      <c r="G158" s="115"/>
      <c r="H158" s="120"/>
    </row>
    <row r="159" spans="3:8">
      <c r="D159" s="115"/>
      <c r="E159" s="115">
        <v>3.25</v>
      </c>
      <c r="F159" s="115">
        <f t="shared" si="6"/>
        <v>0</v>
      </c>
      <c r="G159" s="115"/>
      <c r="H159" s="120"/>
    </row>
    <row r="160" spans="3:8">
      <c r="D160" s="115"/>
      <c r="E160" s="115">
        <v>3.25</v>
      </c>
      <c r="F160" s="115">
        <f t="shared" si="6"/>
        <v>0</v>
      </c>
      <c r="G160" s="115"/>
      <c r="H160" s="120"/>
    </row>
    <row r="161" spans="4:8">
      <c r="D161" s="115"/>
      <c r="E161" s="115">
        <v>3.25</v>
      </c>
      <c r="F161" s="115">
        <f t="shared" si="6"/>
        <v>0</v>
      </c>
      <c r="G161" s="115"/>
      <c r="H161" s="120"/>
    </row>
    <row r="162" spans="4:8">
      <c r="D162" s="115"/>
      <c r="E162" s="115">
        <v>3.25</v>
      </c>
      <c r="F162" s="115">
        <f t="shared" si="6"/>
        <v>0</v>
      </c>
      <c r="G162" s="115"/>
      <c r="H162" s="120"/>
    </row>
    <row r="163" spans="4:8">
      <c r="D163" s="115"/>
      <c r="E163" s="115">
        <v>3.25</v>
      </c>
      <c r="F163" s="115">
        <f t="shared" si="6"/>
        <v>0</v>
      </c>
      <c r="G163" s="115"/>
      <c r="H163" s="120"/>
    </row>
    <row r="164" spans="4:8">
      <c r="D164" s="115"/>
      <c r="E164" s="115">
        <v>3.25</v>
      </c>
      <c r="F164" s="115">
        <f t="shared" si="6"/>
        <v>0</v>
      </c>
      <c r="G164" s="115"/>
      <c r="H164" s="120"/>
    </row>
    <row r="165" spans="4:8">
      <c r="D165" s="115"/>
      <c r="E165" s="115">
        <v>3.25</v>
      </c>
      <c r="F165" s="115">
        <f t="shared" si="6"/>
        <v>0</v>
      </c>
      <c r="G165" s="115"/>
      <c r="H165" s="120"/>
    </row>
    <row r="166" spans="4:8">
      <c r="D166" s="115"/>
      <c r="E166" s="115">
        <v>3.25</v>
      </c>
      <c r="F166" s="115">
        <f t="shared" si="6"/>
        <v>0</v>
      </c>
      <c r="G166" s="115"/>
      <c r="H166" s="120"/>
    </row>
    <row r="167" spans="4:8">
      <c r="D167" s="115"/>
      <c r="E167" s="115">
        <v>3.25</v>
      </c>
      <c r="F167" s="115">
        <f t="shared" si="6"/>
        <v>0</v>
      </c>
      <c r="G167" s="115"/>
      <c r="H167" s="120"/>
    </row>
    <row r="168" spans="4:8">
      <c r="D168" s="62"/>
      <c r="F168" s="118">
        <f>SUM(F110:F167)</f>
        <v>0</v>
      </c>
      <c r="G168" s="118">
        <f>SUM(G110:G167)</f>
        <v>0</v>
      </c>
      <c r="H168" s="118">
        <f>F168+G168</f>
        <v>0</v>
      </c>
    </row>
    <row r="169" spans="4:8">
      <c r="D169" s="62"/>
    </row>
    <row r="170" spans="4:8">
      <c r="D170" s="440" t="s">
        <v>192</v>
      </c>
      <c r="E170" s="440"/>
      <c r="F170" s="440"/>
      <c r="G170" s="440"/>
      <c r="H170" s="440"/>
    </row>
    <row r="171" spans="4:8">
      <c r="D171" s="62"/>
    </row>
    <row r="172" spans="4:8" ht="25.5">
      <c r="D172" s="113" t="s">
        <v>181</v>
      </c>
      <c r="E172" s="116" t="s">
        <v>180</v>
      </c>
      <c r="F172" s="116" t="s">
        <v>182</v>
      </c>
      <c r="G172" s="116" t="s">
        <v>183</v>
      </c>
      <c r="H172" s="119" t="s">
        <v>184</v>
      </c>
    </row>
    <row r="173" spans="4:8">
      <c r="D173" s="115">
        <v>41</v>
      </c>
      <c r="E173" s="115">
        <v>16.5</v>
      </c>
      <c r="F173" s="115">
        <f>E173*D173</f>
        <v>676.5</v>
      </c>
      <c r="H173" s="120"/>
    </row>
    <row r="174" spans="4:8">
      <c r="D174" s="115">
        <v>41</v>
      </c>
      <c r="E174" s="115">
        <v>16.5</v>
      </c>
      <c r="F174" s="115">
        <f t="shared" ref="F174:F190" si="7">E174*D174</f>
        <v>676.5</v>
      </c>
      <c r="H174" s="120"/>
    </row>
    <row r="175" spans="4:8">
      <c r="D175" s="115">
        <v>30.5</v>
      </c>
      <c r="E175" s="115">
        <v>16.5</v>
      </c>
      <c r="F175" s="115">
        <f t="shared" si="7"/>
        <v>503.25</v>
      </c>
      <c r="H175" s="120"/>
    </row>
    <row r="176" spans="4:8">
      <c r="D176" s="115">
        <v>30.5</v>
      </c>
      <c r="E176" s="115">
        <v>16.5</v>
      </c>
      <c r="F176" s="115">
        <f t="shared" si="7"/>
        <v>503.25</v>
      </c>
      <c r="H176" s="120"/>
    </row>
    <row r="177" spans="4:8">
      <c r="D177" s="115"/>
      <c r="E177" s="115">
        <v>16.5</v>
      </c>
      <c r="F177" s="115">
        <f t="shared" si="7"/>
        <v>0</v>
      </c>
      <c r="H177" s="120"/>
    </row>
    <row r="178" spans="4:8">
      <c r="D178" s="115"/>
      <c r="E178" s="115">
        <v>16.5</v>
      </c>
      <c r="F178" s="115">
        <f t="shared" si="7"/>
        <v>0</v>
      </c>
      <c r="H178" s="120"/>
    </row>
    <row r="179" spans="4:8">
      <c r="D179" s="115"/>
      <c r="E179" s="115">
        <v>16.5</v>
      </c>
      <c r="F179" s="115">
        <f t="shared" si="7"/>
        <v>0</v>
      </c>
      <c r="H179" s="120"/>
    </row>
    <row r="180" spans="4:8">
      <c r="D180" s="115"/>
      <c r="E180" s="115">
        <v>16.5</v>
      </c>
      <c r="F180" s="115">
        <f t="shared" si="7"/>
        <v>0</v>
      </c>
      <c r="H180" s="120"/>
    </row>
    <row r="181" spans="4:8">
      <c r="D181" s="115"/>
      <c r="E181" s="115">
        <v>16.5</v>
      </c>
      <c r="F181" s="115">
        <f t="shared" si="7"/>
        <v>0</v>
      </c>
      <c r="H181" s="120"/>
    </row>
    <row r="182" spans="4:8">
      <c r="D182" s="115"/>
      <c r="E182" s="115">
        <v>16.5</v>
      </c>
      <c r="F182" s="115">
        <f t="shared" si="7"/>
        <v>0</v>
      </c>
      <c r="H182" s="120"/>
    </row>
    <row r="183" spans="4:8">
      <c r="D183" s="115"/>
      <c r="E183" s="115">
        <v>16.5</v>
      </c>
      <c r="F183" s="115">
        <f t="shared" si="7"/>
        <v>0</v>
      </c>
      <c r="H183" s="120"/>
    </row>
    <row r="184" spans="4:8">
      <c r="D184" s="115"/>
      <c r="E184" s="115">
        <v>16.5</v>
      </c>
      <c r="F184" s="115">
        <f t="shared" si="7"/>
        <v>0</v>
      </c>
      <c r="H184" s="120"/>
    </row>
    <row r="185" spans="4:8">
      <c r="D185" s="115"/>
      <c r="E185" s="115">
        <v>16.5</v>
      </c>
      <c r="F185" s="115">
        <f>E185*D185</f>
        <v>0</v>
      </c>
      <c r="H185" s="120"/>
    </row>
    <row r="186" spans="4:8">
      <c r="D186" s="115"/>
      <c r="E186" s="115">
        <v>16.5</v>
      </c>
      <c r="F186" s="115">
        <f t="shared" si="7"/>
        <v>0</v>
      </c>
      <c r="H186" s="120"/>
    </row>
    <row r="187" spans="4:8">
      <c r="D187" s="115"/>
      <c r="E187" s="115">
        <v>16.5</v>
      </c>
      <c r="F187" s="115">
        <f t="shared" si="7"/>
        <v>0</v>
      </c>
      <c r="H187" s="120"/>
    </row>
    <row r="188" spans="4:8">
      <c r="D188" s="115"/>
      <c r="E188" s="115">
        <v>16.5</v>
      </c>
      <c r="F188" s="115">
        <f t="shared" si="7"/>
        <v>0</v>
      </c>
      <c r="H188" s="120"/>
    </row>
    <row r="189" spans="4:8">
      <c r="D189" s="115"/>
      <c r="E189" s="115">
        <v>16.5</v>
      </c>
      <c r="F189" s="115">
        <f t="shared" si="7"/>
        <v>0</v>
      </c>
      <c r="H189" s="120"/>
    </row>
    <row r="190" spans="4:8">
      <c r="D190" s="115"/>
      <c r="E190" s="115">
        <v>16.5</v>
      </c>
      <c r="F190" s="115">
        <f t="shared" si="7"/>
        <v>0</v>
      </c>
      <c r="H190" s="120"/>
    </row>
    <row r="191" spans="4:8">
      <c r="D191" s="62"/>
      <c r="F191" s="118">
        <f>SUM(F173:F184)</f>
        <v>2359.5</v>
      </c>
      <c r="G191" s="118">
        <v>0</v>
      </c>
      <c r="H191" s="118">
        <f>SUM(F191+G191)</f>
        <v>2359.5</v>
      </c>
    </row>
    <row r="192" spans="4:8">
      <c r="D192" s="62"/>
    </row>
    <row r="193" spans="4:4">
      <c r="D193" s="62"/>
    </row>
    <row r="194" spans="4:4">
      <c r="D194" s="62"/>
    </row>
    <row r="195" spans="4:4">
      <c r="D195" s="62"/>
    </row>
    <row r="196" spans="4:4">
      <c r="D196" s="62"/>
    </row>
    <row r="197" spans="4:4">
      <c r="D197" s="62"/>
    </row>
    <row r="198" spans="4:4">
      <c r="D198" s="62"/>
    </row>
    <row r="199" spans="4:4">
      <c r="D199" s="62"/>
    </row>
    <row r="200" spans="4:4">
      <c r="D200" s="62"/>
    </row>
    <row r="201" spans="4:4">
      <c r="D201" s="62"/>
    </row>
    <row r="202" spans="4:4">
      <c r="D202" s="62"/>
    </row>
    <row r="203" spans="4:4">
      <c r="D203" s="62"/>
    </row>
    <row r="204" spans="4:4">
      <c r="D204" s="62"/>
    </row>
    <row r="205" spans="4:4">
      <c r="D205" s="62"/>
    </row>
    <row r="206" spans="4:4">
      <c r="D206" s="62"/>
    </row>
    <row r="207" spans="4:4">
      <c r="D207" s="62"/>
    </row>
    <row r="208" spans="4:4">
      <c r="D208" s="62"/>
    </row>
    <row r="209" spans="4:4">
      <c r="D209" s="62"/>
    </row>
    <row r="210" spans="4:4">
      <c r="D210" s="62"/>
    </row>
    <row r="211" spans="4:4">
      <c r="D211" s="62"/>
    </row>
    <row r="212" spans="4:4">
      <c r="D212" s="62"/>
    </row>
    <row r="213" spans="4:4">
      <c r="D213" s="62"/>
    </row>
    <row r="214" spans="4:4">
      <c r="D214" s="62"/>
    </row>
    <row r="215" spans="4:4">
      <c r="D215" s="62"/>
    </row>
    <row r="216" spans="4:4">
      <c r="D216" s="62"/>
    </row>
    <row r="217" spans="4:4">
      <c r="D217" s="62"/>
    </row>
    <row r="218" spans="4:4">
      <c r="D218" s="62"/>
    </row>
    <row r="219" spans="4:4">
      <c r="D219" s="62"/>
    </row>
    <row r="220" spans="4:4">
      <c r="D220" s="62"/>
    </row>
    <row r="221" spans="4:4">
      <c r="D221" s="62"/>
    </row>
    <row r="222" spans="4:4">
      <c r="D222" s="62"/>
    </row>
    <row r="223" spans="4:4">
      <c r="D223" s="62"/>
    </row>
    <row r="224" spans="4:4">
      <c r="D224" s="62"/>
    </row>
    <row r="225" spans="4:4">
      <c r="D225" s="62"/>
    </row>
    <row r="226" spans="4:4">
      <c r="D226" s="62"/>
    </row>
    <row r="227" spans="4:4">
      <c r="D227" s="62"/>
    </row>
    <row r="228" spans="4:4">
      <c r="D228" s="62"/>
    </row>
    <row r="229" spans="4:4">
      <c r="D229" s="62"/>
    </row>
    <row r="230" spans="4:4">
      <c r="D230" s="62"/>
    </row>
    <row r="231" spans="4:4">
      <c r="D231" s="62"/>
    </row>
    <row r="232" spans="4:4">
      <c r="D232" s="62"/>
    </row>
    <row r="233" spans="4:4">
      <c r="D233" s="62"/>
    </row>
    <row r="234" spans="4:4">
      <c r="D234" s="62"/>
    </row>
    <row r="235" spans="4:4">
      <c r="D235" s="62"/>
    </row>
    <row r="236" spans="4:4">
      <c r="D236" s="62"/>
    </row>
    <row r="237" spans="4:4">
      <c r="D237" s="62"/>
    </row>
    <row r="238" spans="4:4">
      <c r="D238" s="62"/>
    </row>
    <row r="239" spans="4:4">
      <c r="D239" s="62"/>
    </row>
    <row r="240" spans="4:4">
      <c r="D240" s="62"/>
    </row>
  </sheetData>
  <mergeCells count="10">
    <mergeCell ref="D62:H62"/>
    <mergeCell ref="D71:H71"/>
    <mergeCell ref="D107:H107"/>
    <mergeCell ref="D170:H170"/>
    <mergeCell ref="A2:A8"/>
    <mergeCell ref="A10:A12"/>
    <mergeCell ref="B10:B11"/>
    <mergeCell ref="A15:A31"/>
    <mergeCell ref="A34:A39"/>
    <mergeCell ref="D53:H53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H101"/>
  <sheetViews>
    <sheetView topLeftCell="A12" workbookViewId="0">
      <selection activeCell="E19" sqref="E19"/>
    </sheetView>
  </sheetViews>
  <sheetFormatPr defaultRowHeight="12.75"/>
  <cols>
    <col min="1" max="1" width="2.7109375" customWidth="1"/>
    <col min="2" max="2" width="36.7109375" bestFit="1" customWidth="1"/>
    <col min="3" max="3" width="21.140625" customWidth="1"/>
    <col min="4" max="4" width="18.28515625" bestFit="1" customWidth="1"/>
    <col min="5" max="5" width="17.140625" customWidth="1"/>
    <col min="6" max="6" width="22.28515625" bestFit="1" customWidth="1"/>
    <col min="7" max="7" width="27.140625" bestFit="1" customWidth="1"/>
    <col min="8" max="8" width="10.5703125" bestFit="1" customWidth="1"/>
  </cols>
  <sheetData>
    <row r="2" spans="1:8">
      <c r="A2" s="437"/>
      <c r="B2" s="64" t="s">
        <v>131</v>
      </c>
      <c r="C2" s="65">
        <v>0</v>
      </c>
      <c r="D2" s="66" t="s">
        <v>132</v>
      </c>
      <c r="G2" s="60"/>
      <c r="H2" s="62"/>
    </row>
    <row r="3" spans="1:8">
      <c r="A3" s="437"/>
      <c r="B3" s="67" t="str">
        <f>'Fundação '!B3</f>
        <v>Local da obra Mauá</v>
      </c>
      <c r="C3" s="68">
        <v>0</v>
      </c>
      <c r="D3" s="69" t="s">
        <v>132</v>
      </c>
    </row>
    <row r="4" spans="1:8">
      <c r="A4" s="437"/>
      <c r="B4" s="67" t="s">
        <v>133</v>
      </c>
      <c r="C4" s="70">
        <v>0.8</v>
      </c>
      <c r="D4" s="71"/>
    </row>
    <row r="5" spans="1:8">
      <c r="A5" s="437"/>
      <c r="B5" s="67" t="s">
        <v>134</v>
      </c>
      <c r="C5" s="72">
        <f>C4*C3</f>
        <v>0</v>
      </c>
      <c r="D5" s="71"/>
    </row>
    <row r="6" spans="1:8">
      <c r="A6" s="437"/>
      <c r="B6" s="67" t="s">
        <v>135</v>
      </c>
      <c r="C6" s="72">
        <f>C4*C3</f>
        <v>0</v>
      </c>
      <c r="D6" s="71"/>
    </row>
    <row r="7" spans="1:8">
      <c r="A7" s="437"/>
      <c r="B7" s="67" t="s">
        <v>136</v>
      </c>
      <c r="C7" s="70">
        <f>91.6*2</f>
        <v>183.2</v>
      </c>
      <c r="D7" s="71"/>
    </row>
    <row r="8" spans="1:8">
      <c r="A8" s="437"/>
      <c r="B8" s="73" t="s">
        <v>137</v>
      </c>
      <c r="C8" s="74">
        <f>SUM(C5:C7)</f>
        <v>183.2</v>
      </c>
      <c r="D8" s="75"/>
    </row>
    <row r="9" spans="1:8">
      <c r="B9" s="63"/>
      <c r="C9" s="63"/>
    </row>
    <row r="10" spans="1:8" ht="25.5">
      <c r="A10" s="437"/>
      <c r="B10" s="438" t="s">
        <v>138</v>
      </c>
      <c r="C10" s="76" t="s">
        <v>139</v>
      </c>
      <c r="D10" s="76" t="s">
        <v>141</v>
      </c>
      <c r="E10" s="77" t="s">
        <v>140</v>
      </c>
    </row>
    <row r="11" spans="1:8">
      <c r="A11" s="437"/>
      <c r="B11" s="439"/>
      <c r="C11" s="70">
        <v>3500</v>
      </c>
      <c r="D11" s="78">
        <v>0.5</v>
      </c>
      <c r="E11" s="71">
        <f>C11*D11</f>
        <v>1750</v>
      </c>
    </row>
    <row r="12" spans="1:8">
      <c r="A12" s="437"/>
      <c r="B12" s="73" t="s">
        <v>137</v>
      </c>
      <c r="C12" s="74"/>
      <c r="D12" s="74"/>
      <c r="E12" s="79">
        <f>E11</f>
        <v>1750</v>
      </c>
    </row>
    <row r="13" spans="1:8">
      <c r="B13" s="63"/>
      <c r="C13" s="63"/>
    </row>
    <row r="15" spans="1:8" ht="38.25">
      <c r="A15" s="437"/>
      <c r="B15" s="80"/>
      <c r="C15" s="81" t="s">
        <v>128</v>
      </c>
      <c r="D15" s="81" t="s">
        <v>129</v>
      </c>
      <c r="E15" s="81" t="s">
        <v>115</v>
      </c>
      <c r="F15" s="81" t="s">
        <v>116</v>
      </c>
      <c r="G15" s="77" t="s">
        <v>117</v>
      </c>
    </row>
    <row r="16" spans="1:8">
      <c r="A16" s="437"/>
      <c r="B16" s="67" t="s">
        <v>127</v>
      </c>
      <c r="C16" s="82"/>
      <c r="D16" s="82"/>
      <c r="E16" s="72">
        <v>4500</v>
      </c>
      <c r="F16" s="82">
        <f>22*50</f>
        <v>1100</v>
      </c>
      <c r="G16" s="71">
        <f>E16+F16</f>
        <v>5600</v>
      </c>
    </row>
    <row r="17" spans="1:7">
      <c r="A17" s="437"/>
      <c r="B17" s="67" t="s">
        <v>123</v>
      </c>
      <c r="C17" s="82"/>
      <c r="D17" s="82"/>
      <c r="E17" s="72">
        <v>10000</v>
      </c>
      <c r="F17" s="72">
        <f>22*50</f>
        <v>1100</v>
      </c>
      <c r="G17" s="71">
        <f>F17+E17</f>
        <v>11100</v>
      </c>
    </row>
    <row r="18" spans="1:7">
      <c r="A18" s="437"/>
      <c r="B18" s="67" t="s">
        <v>124</v>
      </c>
      <c r="C18" s="82">
        <v>180</v>
      </c>
      <c r="D18" s="83">
        <v>22</v>
      </c>
      <c r="E18" s="72">
        <f>D18*C18</f>
        <v>3960</v>
      </c>
      <c r="F18" s="72">
        <f>50*30</f>
        <v>1500</v>
      </c>
      <c r="G18" s="71">
        <f>E18+F18</f>
        <v>5460</v>
      </c>
    </row>
    <row r="19" spans="1:7">
      <c r="A19" s="437"/>
      <c r="B19" s="67" t="s">
        <v>125</v>
      </c>
      <c r="C19" s="82">
        <v>160</v>
      </c>
      <c r="D19" s="83">
        <v>22</v>
      </c>
      <c r="E19" s="72">
        <f>D19*C19</f>
        <v>3520</v>
      </c>
      <c r="F19" s="72">
        <f>50*30</f>
        <v>1500</v>
      </c>
      <c r="G19" s="71">
        <f>E19+F19</f>
        <v>5020</v>
      </c>
    </row>
    <row r="20" spans="1:7">
      <c r="A20" s="437"/>
      <c r="B20" s="67" t="s">
        <v>126</v>
      </c>
      <c r="C20" s="82">
        <v>120</v>
      </c>
      <c r="D20" s="83">
        <v>22</v>
      </c>
      <c r="E20" s="72">
        <f>D20*C20</f>
        <v>2640</v>
      </c>
      <c r="F20" s="72">
        <f>50*30</f>
        <v>1500</v>
      </c>
      <c r="G20" s="71">
        <f>E20+F20</f>
        <v>4140</v>
      </c>
    </row>
    <row r="21" spans="1:7">
      <c r="A21" s="437"/>
      <c r="B21" s="67"/>
      <c r="C21" s="82"/>
      <c r="D21" s="82"/>
      <c r="E21" s="72"/>
      <c r="F21" s="72"/>
      <c r="G21" s="71"/>
    </row>
    <row r="22" spans="1:7">
      <c r="A22" s="437"/>
      <c r="B22" s="84" t="s">
        <v>118</v>
      </c>
      <c r="C22" s="85"/>
      <c r="D22" s="85"/>
      <c r="E22" s="72"/>
      <c r="F22" s="72"/>
      <c r="G22" s="71"/>
    </row>
    <row r="23" spans="1:7">
      <c r="A23" s="437"/>
      <c r="B23" s="67" t="s">
        <v>127</v>
      </c>
      <c r="C23" s="82"/>
      <c r="D23" s="82"/>
      <c r="E23" s="86">
        <v>0.8</v>
      </c>
      <c r="F23" s="72">
        <f>G16</f>
        <v>5600</v>
      </c>
      <c r="G23" s="87">
        <f>F23*E23</f>
        <v>4480</v>
      </c>
    </row>
    <row r="24" spans="1:7">
      <c r="A24" s="437"/>
      <c r="B24" s="67" t="s">
        <v>123</v>
      </c>
      <c r="C24" s="82"/>
      <c r="D24" s="82"/>
      <c r="E24" s="86">
        <v>0.7</v>
      </c>
      <c r="F24" s="72">
        <f>G17</f>
        <v>11100</v>
      </c>
      <c r="G24" s="87">
        <f>F24*E24</f>
        <v>7769.9999999999991</v>
      </c>
    </row>
    <row r="25" spans="1:7">
      <c r="A25" s="437"/>
      <c r="B25" s="67" t="s">
        <v>124</v>
      </c>
      <c r="C25" s="82"/>
      <c r="D25" s="82"/>
      <c r="E25" s="86"/>
      <c r="F25" s="72"/>
      <c r="G25" s="87"/>
    </row>
    <row r="26" spans="1:7">
      <c r="A26" s="437"/>
      <c r="B26" s="67" t="s">
        <v>125</v>
      </c>
      <c r="C26" s="82"/>
      <c r="D26" s="82"/>
      <c r="E26" s="86"/>
      <c r="F26" s="72"/>
      <c r="G26" s="87"/>
    </row>
    <row r="27" spans="1:7">
      <c r="A27" s="437"/>
      <c r="B27" s="67" t="s">
        <v>126</v>
      </c>
      <c r="C27" s="82"/>
      <c r="D27" s="82"/>
      <c r="E27" s="86"/>
      <c r="F27" s="72"/>
      <c r="G27" s="87"/>
    </row>
    <row r="28" spans="1:7">
      <c r="A28" s="437"/>
      <c r="B28" s="67"/>
      <c r="C28" s="82"/>
      <c r="D28" s="82"/>
      <c r="E28" s="86"/>
      <c r="F28" s="72"/>
      <c r="G28" s="71"/>
    </row>
    <row r="29" spans="1:7">
      <c r="A29" s="437"/>
      <c r="B29" s="67"/>
      <c r="C29" s="82"/>
      <c r="D29" s="82"/>
      <c r="E29" s="86"/>
      <c r="F29" s="72"/>
      <c r="G29" s="71"/>
    </row>
    <row r="30" spans="1:7">
      <c r="A30" s="437"/>
      <c r="B30" s="88" t="s">
        <v>119</v>
      </c>
      <c r="C30" s="89"/>
      <c r="D30" s="89"/>
      <c r="E30" s="89"/>
      <c r="F30" s="72"/>
      <c r="G30" s="90">
        <f>SUM(G23:G27)</f>
        <v>12250</v>
      </c>
    </row>
    <row r="31" spans="1:7">
      <c r="A31" s="437"/>
      <c r="B31" s="91" t="s">
        <v>130</v>
      </c>
      <c r="C31" s="92"/>
      <c r="D31" s="92"/>
      <c r="E31" s="93"/>
      <c r="F31" s="93"/>
      <c r="G31" s="94">
        <f>G30/22</f>
        <v>556.81818181818187</v>
      </c>
    </row>
    <row r="33" spans="1:7">
      <c r="B33" s="60"/>
      <c r="C33" s="60"/>
      <c r="D33" s="60"/>
    </row>
    <row r="34" spans="1:7">
      <c r="A34" s="437"/>
      <c r="B34" s="64" t="s">
        <v>121</v>
      </c>
      <c r="C34" s="95" t="s">
        <v>142</v>
      </c>
      <c r="D34" s="95" t="s">
        <v>143</v>
      </c>
      <c r="E34" s="95" t="s">
        <v>144</v>
      </c>
      <c r="F34" s="95" t="s">
        <v>145</v>
      </c>
      <c r="G34" s="96" t="s">
        <v>101</v>
      </c>
    </row>
    <row r="35" spans="1:7">
      <c r="A35" s="437"/>
      <c r="B35" s="67"/>
      <c r="C35" s="97">
        <f>C3</f>
        <v>0</v>
      </c>
      <c r="D35" s="82">
        <v>1</v>
      </c>
      <c r="E35" s="72">
        <f>D35*C35</f>
        <v>0</v>
      </c>
      <c r="F35" s="72">
        <f>E35*2</f>
        <v>0</v>
      </c>
      <c r="G35" s="71">
        <f>F35</f>
        <v>0</v>
      </c>
    </row>
    <row r="36" spans="1:7">
      <c r="A36" s="437"/>
      <c r="B36" s="67" t="s">
        <v>146</v>
      </c>
      <c r="C36" s="97"/>
      <c r="D36" s="82"/>
      <c r="E36" s="72"/>
      <c r="F36" s="72"/>
      <c r="G36" s="71">
        <f>C7</f>
        <v>183.2</v>
      </c>
    </row>
    <row r="37" spans="1:7">
      <c r="A37" s="437"/>
      <c r="B37" s="67"/>
      <c r="C37" s="97" t="s">
        <v>148</v>
      </c>
      <c r="D37" s="98" t="s">
        <v>149</v>
      </c>
      <c r="E37" s="72"/>
      <c r="F37" s="72"/>
      <c r="G37" s="71"/>
    </row>
    <row r="38" spans="1:7">
      <c r="A38" s="437"/>
      <c r="B38" s="67" t="s">
        <v>147</v>
      </c>
      <c r="C38" s="99">
        <v>1000</v>
      </c>
      <c r="D38" s="100">
        <v>2</v>
      </c>
      <c r="E38" s="72"/>
      <c r="F38" s="72"/>
      <c r="G38" s="71">
        <f>C38*D38</f>
        <v>2000</v>
      </c>
    </row>
    <row r="39" spans="1:7">
      <c r="A39" s="437"/>
      <c r="B39" s="91" t="s">
        <v>150</v>
      </c>
      <c r="C39" s="92"/>
      <c r="D39" s="92"/>
      <c r="E39" s="92"/>
      <c r="F39" s="92"/>
      <c r="G39" s="101">
        <f>SUM(G34:G38)</f>
        <v>2183.1999999999998</v>
      </c>
    </row>
    <row r="41" spans="1:7">
      <c r="B41" s="102" t="s">
        <v>151</v>
      </c>
      <c r="C41" s="103" t="s">
        <v>152</v>
      </c>
      <c r="D41" s="104" t="s">
        <v>120</v>
      </c>
    </row>
    <row r="42" spans="1:7" ht="25.5">
      <c r="B42" s="105" t="s">
        <v>155</v>
      </c>
      <c r="C42" s="86">
        <v>2</v>
      </c>
      <c r="D42" s="71">
        <f>C8*C42</f>
        <v>366.4</v>
      </c>
    </row>
    <row r="43" spans="1:7">
      <c r="B43" s="67" t="s">
        <v>153</v>
      </c>
      <c r="C43" s="86">
        <v>0.5</v>
      </c>
      <c r="D43" s="71">
        <f>C11*C43</f>
        <v>1750</v>
      </c>
    </row>
    <row r="44" spans="1:7">
      <c r="B44" s="67" t="s">
        <v>154</v>
      </c>
      <c r="C44" s="86">
        <v>1.5</v>
      </c>
      <c r="D44" s="71">
        <f>G30*C44</f>
        <v>18375</v>
      </c>
    </row>
    <row r="45" spans="1:7">
      <c r="B45" s="67" t="s">
        <v>156</v>
      </c>
      <c r="C45" s="72">
        <v>1</v>
      </c>
      <c r="D45" s="71">
        <f>G39*C45</f>
        <v>2183.1999999999998</v>
      </c>
    </row>
    <row r="46" spans="1:7">
      <c r="B46" s="106" t="s">
        <v>157</v>
      </c>
      <c r="C46" s="107"/>
      <c r="D46" s="108">
        <f>SUM(D42:D45)</f>
        <v>22674.600000000002</v>
      </c>
    </row>
    <row r="47" spans="1:7">
      <c r="C47" s="61">
        <v>360</v>
      </c>
      <c r="D47">
        <f>D46/C47</f>
        <v>62.985000000000007</v>
      </c>
    </row>
    <row r="49" spans="2:6">
      <c r="B49" s="60" t="s">
        <v>170</v>
      </c>
      <c r="C49">
        <v>60</v>
      </c>
      <c r="D49" s="109">
        <v>360</v>
      </c>
      <c r="E49">
        <f>D49*C49</f>
        <v>21600</v>
      </c>
    </row>
    <row r="50" spans="2:6">
      <c r="B50" s="60" t="s">
        <v>171</v>
      </c>
      <c r="E50">
        <f>D42</f>
        <v>366.4</v>
      </c>
    </row>
    <row r="51" spans="2:6">
      <c r="E51">
        <f>D43</f>
        <v>1750</v>
      </c>
    </row>
    <row r="52" spans="2:6">
      <c r="E52">
        <f>D45</f>
        <v>2183.1999999999998</v>
      </c>
    </row>
    <row r="55" spans="2:6">
      <c r="E55">
        <f>SUM(E49:E53)</f>
        <v>25899.600000000002</v>
      </c>
      <c r="F55">
        <f>E55/360</f>
        <v>71.943333333333342</v>
      </c>
    </row>
    <row r="58" spans="2:6">
      <c r="C58" s="60" t="s">
        <v>260</v>
      </c>
    </row>
    <row r="59" spans="2:6">
      <c r="C59" s="60" t="s">
        <v>261</v>
      </c>
      <c r="D59" s="212">
        <f>76.2+76.2+7.13+7.13+5.45+9.28+7.59+18.04+26.54+6.04+7.09+5.5+20.09</f>
        <v>272.27999999999997</v>
      </c>
      <c r="E59" s="60" t="s">
        <v>245</v>
      </c>
    </row>
    <row r="60" spans="2:6">
      <c r="C60" s="219" t="s">
        <v>262</v>
      </c>
      <c r="D60" s="216">
        <f>29.8+13+7.25+7.25+3.82+3.82+40.35</f>
        <v>105.28999999999999</v>
      </c>
      <c r="E60" s="219" t="s">
        <v>245</v>
      </c>
    </row>
    <row r="61" spans="2:6">
      <c r="C61" s="60" t="s">
        <v>1</v>
      </c>
      <c r="D61" s="213">
        <f>D60+D59</f>
        <v>377.56999999999994</v>
      </c>
      <c r="E61" s="60" t="s">
        <v>245</v>
      </c>
    </row>
    <row r="64" spans="2:6">
      <c r="C64" s="60" t="s">
        <v>263</v>
      </c>
      <c r="D64">
        <v>30</v>
      </c>
    </row>
    <row r="65" spans="3:6">
      <c r="C65" s="60" t="s">
        <v>264</v>
      </c>
    </row>
    <row r="67" spans="3:6">
      <c r="C67" s="60" t="s">
        <v>265</v>
      </c>
      <c r="D67">
        <f>D64*D61</f>
        <v>11327.099999999999</v>
      </c>
    </row>
    <row r="68" spans="3:6">
      <c r="C68" s="60" t="s">
        <v>266</v>
      </c>
      <c r="D68">
        <f>D65*D61</f>
        <v>0</v>
      </c>
    </row>
    <row r="72" spans="3:6">
      <c r="C72" s="60" t="s">
        <v>267</v>
      </c>
    </row>
    <row r="73" spans="3:6">
      <c r="C73" s="220" t="s">
        <v>268</v>
      </c>
      <c r="D73" s="212">
        <f>3.4*2+1.71*2</f>
        <v>10.219999999999999</v>
      </c>
      <c r="E73" s="213">
        <v>3.1</v>
      </c>
      <c r="F73" s="115">
        <f>E73*D73</f>
        <v>31.681999999999999</v>
      </c>
    </row>
    <row r="74" spans="3:6">
      <c r="C74" s="220" t="s">
        <v>269</v>
      </c>
      <c r="D74" s="212">
        <f>3.4*2+1.71*2</f>
        <v>10.219999999999999</v>
      </c>
      <c r="E74" s="213">
        <v>3.1</v>
      </c>
      <c r="F74" s="115">
        <f>E74*D74</f>
        <v>31.681999999999999</v>
      </c>
    </row>
    <row r="75" spans="3:6">
      <c r="C75" s="220" t="s">
        <v>270</v>
      </c>
      <c r="D75" s="212">
        <f>3.3*2+2.3*2</f>
        <v>11.2</v>
      </c>
      <c r="E75" s="213">
        <v>3.1</v>
      </c>
      <c r="F75" s="115">
        <f t="shared" ref="F75:F78" si="0">E75*D75</f>
        <v>34.72</v>
      </c>
    </row>
    <row r="76" spans="3:6">
      <c r="C76" s="220" t="s">
        <v>271</v>
      </c>
      <c r="D76" s="212">
        <f>2.64*2+2.67*2</f>
        <v>10.620000000000001</v>
      </c>
      <c r="E76" s="213">
        <v>3.1</v>
      </c>
      <c r="F76" s="115">
        <f t="shared" si="0"/>
        <v>32.922000000000004</v>
      </c>
    </row>
    <row r="77" spans="3:6">
      <c r="C77" s="221" t="s">
        <v>272</v>
      </c>
      <c r="D77" s="212">
        <f>4.4*2+4.25*2</f>
        <v>17.3</v>
      </c>
      <c r="E77" s="213">
        <v>3.1</v>
      </c>
      <c r="F77" s="115">
        <f t="shared" si="0"/>
        <v>53.63</v>
      </c>
    </row>
    <row r="78" spans="3:6">
      <c r="C78" s="223" t="s">
        <v>273</v>
      </c>
      <c r="D78" s="216">
        <f>3.3+5.83</f>
        <v>9.129999999999999</v>
      </c>
      <c r="E78" s="224">
        <v>3.1</v>
      </c>
      <c r="F78" s="225">
        <f t="shared" si="0"/>
        <v>28.302999999999997</v>
      </c>
    </row>
    <row r="79" spans="3:6">
      <c r="C79" s="222"/>
      <c r="D79" s="212"/>
      <c r="E79" s="212"/>
      <c r="F79" s="115">
        <f>SUM(F73:F78)</f>
        <v>212.93899999999999</v>
      </c>
    </row>
    <row r="80" spans="3:6">
      <c r="C80" s="212"/>
      <c r="D80" s="212"/>
      <c r="E80" s="212"/>
      <c r="F80" s="115"/>
    </row>
    <row r="81" spans="3:6">
      <c r="C81" s="212"/>
      <c r="D81" s="212"/>
      <c r="E81" s="212"/>
      <c r="F81" s="115"/>
    </row>
    <row r="82" spans="3:6">
      <c r="C82" s="212"/>
      <c r="D82" s="212"/>
      <c r="E82" s="212"/>
      <c r="F82" s="115"/>
    </row>
    <row r="83" spans="3:6">
      <c r="C83" s="212"/>
      <c r="D83" s="212"/>
      <c r="E83" s="212"/>
      <c r="F83" s="115"/>
    </row>
    <row r="84" spans="3:6">
      <c r="C84" s="212"/>
      <c r="D84" s="212"/>
      <c r="E84" s="212"/>
      <c r="F84" s="115"/>
    </row>
    <row r="85" spans="3:6">
      <c r="C85" s="212"/>
      <c r="D85" s="212"/>
      <c r="E85" s="212"/>
      <c r="F85" s="115"/>
    </row>
    <row r="86" spans="3:6">
      <c r="C86" s="212"/>
      <c r="D86" s="212"/>
      <c r="E86" s="212"/>
      <c r="F86" s="115"/>
    </row>
    <row r="87" spans="3:6">
      <c r="C87" s="212"/>
      <c r="D87" s="212"/>
      <c r="E87" s="212"/>
      <c r="F87" s="115"/>
    </row>
    <row r="88" spans="3:6">
      <c r="C88" s="212"/>
      <c r="D88" s="212"/>
      <c r="E88" s="212"/>
      <c r="F88" s="115"/>
    </row>
    <row r="89" spans="3:6">
      <c r="C89" s="212"/>
      <c r="D89" s="212"/>
      <c r="E89" s="212"/>
      <c r="F89" s="115"/>
    </row>
    <row r="90" spans="3:6">
      <c r="C90" s="212"/>
      <c r="D90" s="212"/>
      <c r="E90" s="212"/>
      <c r="F90" s="115"/>
    </row>
    <row r="91" spans="3:6">
      <c r="C91" s="212"/>
      <c r="D91" s="212"/>
      <c r="E91" s="212"/>
      <c r="F91" s="115"/>
    </row>
    <row r="92" spans="3:6">
      <c r="C92" s="212"/>
      <c r="D92" s="212"/>
      <c r="E92" s="212"/>
    </row>
    <row r="93" spans="3:6">
      <c r="C93" s="212"/>
      <c r="D93" s="212"/>
      <c r="E93" s="212"/>
    </row>
    <row r="94" spans="3:6">
      <c r="C94" s="212"/>
      <c r="D94" s="212"/>
      <c r="E94" s="212"/>
    </row>
    <row r="95" spans="3:6">
      <c r="C95" s="212"/>
      <c r="D95" s="212"/>
      <c r="E95" s="212"/>
    </row>
    <row r="96" spans="3:6">
      <c r="C96" s="212"/>
      <c r="D96" s="212"/>
      <c r="E96" s="212"/>
    </row>
    <row r="97" spans="3:5">
      <c r="C97" s="212"/>
      <c r="D97" s="212"/>
      <c r="E97" s="212"/>
    </row>
    <row r="98" spans="3:5">
      <c r="C98" s="62"/>
      <c r="D98" s="62"/>
      <c r="E98" s="62"/>
    </row>
    <row r="99" spans="3:5">
      <c r="C99" s="62"/>
      <c r="D99" s="62"/>
      <c r="E99" s="62"/>
    </row>
    <row r="100" spans="3:5">
      <c r="C100" s="62"/>
      <c r="D100" s="62"/>
      <c r="E100" s="62"/>
    </row>
    <row r="101" spans="3:5">
      <c r="C101" s="62"/>
      <c r="D101" s="62"/>
      <c r="E101" s="62"/>
    </row>
  </sheetData>
  <mergeCells count="5">
    <mergeCell ref="A2:A8"/>
    <mergeCell ref="A10:A12"/>
    <mergeCell ref="B10:B11"/>
    <mergeCell ref="A15:A31"/>
    <mergeCell ref="A34:A39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K70"/>
  <sheetViews>
    <sheetView workbookViewId="0">
      <selection activeCell="C4" sqref="C4"/>
    </sheetView>
  </sheetViews>
  <sheetFormatPr defaultRowHeight="12.75"/>
  <cols>
    <col min="1" max="1" width="2.7109375" customWidth="1"/>
    <col min="2" max="2" width="36.7109375" bestFit="1" customWidth="1"/>
    <col min="3" max="3" width="17.7109375" bestFit="1" customWidth="1"/>
    <col min="4" max="4" width="18.28515625" bestFit="1" customWidth="1"/>
    <col min="5" max="5" width="17.140625" customWidth="1"/>
    <col min="6" max="6" width="22.28515625" bestFit="1" customWidth="1"/>
    <col min="7" max="7" width="27.140625" bestFit="1" customWidth="1"/>
    <col min="8" max="9" width="13.28515625" bestFit="1" customWidth="1"/>
  </cols>
  <sheetData>
    <row r="2" spans="1:9">
      <c r="A2" s="437"/>
      <c r="B2" s="64" t="s">
        <v>131</v>
      </c>
      <c r="C2" s="65">
        <v>0</v>
      </c>
      <c r="D2" s="66" t="s">
        <v>132</v>
      </c>
      <c r="G2" s="60" t="s">
        <v>159</v>
      </c>
      <c r="H2" s="62">
        <v>193.17</v>
      </c>
    </row>
    <row r="3" spans="1:9">
      <c r="A3" s="437"/>
      <c r="B3" s="67" t="str">
        <f>'Fundação '!B3</f>
        <v>Local da obra Mauá</v>
      </c>
      <c r="C3" s="68">
        <v>0</v>
      </c>
      <c r="D3" s="69" t="s">
        <v>132</v>
      </c>
      <c r="G3" s="60" t="s">
        <v>177</v>
      </c>
      <c r="H3" s="62">
        <v>1</v>
      </c>
    </row>
    <row r="4" spans="1:9">
      <c r="A4" s="437"/>
      <c r="B4" s="67" t="s">
        <v>133</v>
      </c>
      <c r="C4" s="70">
        <v>0.8</v>
      </c>
      <c r="D4" s="71"/>
      <c r="G4" s="60" t="s">
        <v>178</v>
      </c>
      <c r="H4" s="62">
        <f>H3*H2</f>
        <v>193.17</v>
      </c>
      <c r="I4" s="60" t="s">
        <v>122</v>
      </c>
    </row>
    <row r="5" spans="1:9">
      <c r="A5" s="437"/>
      <c r="B5" s="67" t="s">
        <v>134</v>
      </c>
      <c r="C5" s="72">
        <f>C4*C3</f>
        <v>0</v>
      </c>
      <c r="D5" s="71"/>
    </row>
    <row r="6" spans="1:9">
      <c r="A6" s="437"/>
      <c r="B6" s="67" t="s">
        <v>135</v>
      </c>
      <c r="C6" s="72">
        <f>C4*C3</f>
        <v>0</v>
      </c>
      <c r="D6" s="71"/>
    </row>
    <row r="7" spans="1:9">
      <c r="A7" s="437"/>
      <c r="B7" s="67" t="s">
        <v>136</v>
      </c>
      <c r="C7" s="70">
        <f>91.6*2</f>
        <v>183.2</v>
      </c>
      <c r="D7" s="71"/>
    </row>
    <row r="8" spans="1:9">
      <c r="A8" s="437"/>
      <c r="B8" s="73" t="s">
        <v>137</v>
      </c>
      <c r="C8" s="74">
        <f>SUM(C5:C7)</f>
        <v>183.2</v>
      </c>
      <c r="D8" s="75"/>
    </row>
    <row r="9" spans="1:9">
      <c r="B9" s="63"/>
      <c r="C9" s="63"/>
    </row>
    <row r="10" spans="1:9" ht="25.5">
      <c r="A10" s="437"/>
      <c r="B10" s="438" t="s">
        <v>138</v>
      </c>
      <c r="C10" s="76" t="s">
        <v>139</v>
      </c>
      <c r="D10" s="76" t="s">
        <v>141</v>
      </c>
      <c r="E10" s="77" t="s">
        <v>140</v>
      </c>
    </row>
    <row r="11" spans="1:9">
      <c r="A11" s="437"/>
      <c r="B11" s="439"/>
      <c r="C11" s="70">
        <v>0</v>
      </c>
      <c r="D11" s="78">
        <v>1</v>
      </c>
      <c r="E11" s="71">
        <f>C11*D11</f>
        <v>0</v>
      </c>
    </row>
    <row r="12" spans="1:9">
      <c r="A12" s="437"/>
      <c r="B12" s="73" t="s">
        <v>137</v>
      </c>
      <c r="C12" s="74"/>
      <c r="D12" s="74"/>
      <c r="E12" s="79">
        <f>E11</f>
        <v>0</v>
      </c>
    </row>
    <row r="13" spans="1:9">
      <c r="B13" s="63"/>
      <c r="C13" s="63"/>
    </row>
    <row r="15" spans="1:9" ht="38.25">
      <c r="A15" s="437"/>
      <c r="B15" s="80"/>
      <c r="C15" s="81" t="s">
        <v>128</v>
      </c>
      <c r="D15" s="81" t="s">
        <v>129</v>
      </c>
      <c r="E15" s="81" t="s">
        <v>115</v>
      </c>
      <c r="F15" s="81" t="s">
        <v>116</v>
      </c>
      <c r="G15" s="77" t="s">
        <v>117</v>
      </c>
    </row>
    <row r="16" spans="1:9">
      <c r="A16" s="437"/>
      <c r="B16" s="67" t="s">
        <v>127</v>
      </c>
      <c r="C16" s="82"/>
      <c r="D16" s="82"/>
      <c r="E16" s="72">
        <v>7500</v>
      </c>
      <c r="F16" s="82">
        <f>22*50</f>
        <v>1100</v>
      </c>
      <c r="G16" s="71">
        <f>E16+F16</f>
        <v>8600</v>
      </c>
    </row>
    <row r="17" spans="1:7">
      <c r="A17" s="437"/>
      <c r="B17" s="67" t="s">
        <v>123</v>
      </c>
      <c r="C17" s="82"/>
      <c r="D17" s="82"/>
      <c r="E17" s="72">
        <v>5500</v>
      </c>
      <c r="F17" s="72">
        <f>22*50</f>
        <v>1100</v>
      </c>
      <c r="G17" s="71">
        <f>F17+E17</f>
        <v>6600</v>
      </c>
    </row>
    <row r="18" spans="1:7">
      <c r="A18" s="437"/>
      <c r="B18" s="67" t="s">
        <v>168</v>
      </c>
      <c r="C18" s="82">
        <v>150</v>
      </c>
      <c r="D18" s="83">
        <v>22</v>
      </c>
      <c r="E18" s="72">
        <f>D18*C18</f>
        <v>3300</v>
      </c>
      <c r="F18" s="72">
        <f>50*30</f>
        <v>1500</v>
      </c>
      <c r="G18" s="71">
        <f>E18+F18</f>
        <v>4800</v>
      </c>
    </row>
    <row r="19" spans="1:7">
      <c r="A19" s="437"/>
      <c r="B19" s="67" t="s">
        <v>169</v>
      </c>
      <c r="C19" s="82">
        <v>120</v>
      </c>
      <c r="D19" s="83">
        <v>22</v>
      </c>
      <c r="E19" s="72">
        <f>D19*C19</f>
        <v>2640</v>
      </c>
      <c r="F19" s="72">
        <f>50*30</f>
        <v>1500</v>
      </c>
      <c r="G19" s="71">
        <f>E19+F19</f>
        <v>4140</v>
      </c>
    </row>
    <row r="20" spans="1:7">
      <c r="A20" s="437"/>
      <c r="B20" s="67" t="s">
        <v>126</v>
      </c>
      <c r="C20" s="82">
        <v>100</v>
      </c>
      <c r="D20" s="83">
        <v>22</v>
      </c>
      <c r="E20" s="72">
        <f>D20*C20</f>
        <v>2200</v>
      </c>
      <c r="F20" s="72">
        <f>50*30</f>
        <v>1500</v>
      </c>
      <c r="G20" s="71">
        <f>E20+F20</f>
        <v>3700</v>
      </c>
    </row>
    <row r="21" spans="1:7">
      <c r="A21" s="437"/>
      <c r="B21" s="67"/>
      <c r="C21" s="82"/>
      <c r="D21" s="82"/>
      <c r="E21" s="72"/>
      <c r="F21" s="72"/>
      <c r="G21" s="71"/>
    </row>
    <row r="22" spans="1:7">
      <c r="A22" s="437"/>
      <c r="B22" s="84" t="s">
        <v>118</v>
      </c>
      <c r="C22" s="85"/>
      <c r="D22" s="85"/>
      <c r="E22" s="72"/>
      <c r="F22" s="72"/>
      <c r="G22" s="71"/>
    </row>
    <row r="23" spans="1:7">
      <c r="A23" s="437"/>
      <c r="B23" s="67" t="s">
        <v>127</v>
      </c>
      <c r="C23" s="82"/>
      <c r="D23" s="82"/>
      <c r="E23" s="86">
        <v>0</v>
      </c>
      <c r="F23" s="72">
        <f>G16</f>
        <v>8600</v>
      </c>
      <c r="G23" s="87">
        <f>F23*E23</f>
        <v>0</v>
      </c>
    </row>
    <row r="24" spans="1:7">
      <c r="A24" s="437"/>
      <c r="B24" s="67" t="s">
        <v>123</v>
      </c>
      <c r="C24" s="82"/>
      <c r="D24" s="82"/>
      <c r="E24" s="86">
        <v>0</v>
      </c>
      <c r="F24" s="72">
        <f>G17</f>
        <v>6600</v>
      </c>
      <c r="G24" s="87">
        <f>F24*E24</f>
        <v>0</v>
      </c>
    </row>
    <row r="25" spans="1:7">
      <c r="A25" s="437"/>
      <c r="B25" s="67" t="s">
        <v>168</v>
      </c>
      <c r="C25" s="82"/>
      <c r="D25" s="82"/>
      <c r="E25" s="86">
        <v>3</v>
      </c>
      <c r="F25" s="72">
        <f>G18</f>
        <v>4800</v>
      </c>
      <c r="G25" s="87">
        <f>F25*E25</f>
        <v>14400</v>
      </c>
    </row>
    <row r="26" spans="1:7">
      <c r="A26" s="437"/>
      <c r="B26" s="67" t="s">
        <v>169</v>
      </c>
      <c r="C26" s="82"/>
      <c r="D26" s="82"/>
      <c r="E26" s="86">
        <v>1</v>
      </c>
      <c r="F26" s="72">
        <f>G19</f>
        <v>4140</v>
      </c>
      <c r="G26" s="87">
        <f>F26*E26</f>
        <v>4140</v>
      </c>
    </row>
    <row r="27" spans="1:7">
      <c r="A27" s="437"/>
      <c r="B27" s="67" t="s">
        <v>126</v>
      </c>
      <c r="C27" s="82"/>
      <c r="D27" s="82"/>
      <c r="E27" s="86">
        <v>2</v>
      </c>
      <c r="F27" s="72">
        <f>G20</f>
        <v>3700</v>
      </c>
      <c r="G27" s="87">
        <f>F27*E27</f>
        <v>7400</v>
      </c>
    </row>
    <row r="28" spans="1:7">
      <c r="A28" s="437"/>
      <c r="B28" s="67"/>
      <c r="C28" s="82"/>
      <c r="D28" s="82"/>
      <c r="E28" s="86"/>
      <c r="F28" s="72"/>
      <c r="G28" s="71"/>
    </row>
    <row r="29" spans="1:7">
      <c r="A29" s="437"/>
      <c r="B29" s="67"/>
      <c r="C29" s="82"/>
      <c r="D29" s="82"/>
      <c r="E29" s="86"/>
      <c r="F29" s="72"/>
      <c r="G29" s="71"/>
    </row>
    <row r="30" spans="1:7">
      <c r="A30" s="437"/>
      <c r="B30" s="88" t="s">
        <v>119</v>
      </c>
      <c r="C30" s="89"/>
      <c r="D30" s="89"/>
      <c r="E30" s="89"/>
      <c r="F30" s="72"/>
      <c r="G30" s="90">
        <f>SUM(G23:G27)</f>
        <v>25940</v>
      </c>
    </row>
    <row r="31" spans="1:7">
      <c r="A31" s="437"/>
      <c r="B31" s="91" t="s">
        <v>130</v>
      </c>
      <c r="C31" s="92"/>
      <c r="D31" s="92"/>
      <c r="E31" s="93"/>
      <c r="F31" s="93"/>
      <c r="G31" s="94">
        <f>G30/22</f>
        <v>1179.090909090909</v>
      </c>
    </row>
    <row r="33" spans="1:10">
      <c r="B33" s="60"/>
      <c r="C33" s="60"/>
      <c r="D33" s="60"/>
    </row>
    <row r="34" spans="1:10">
      <c r="A34" s="437"/>
      <c r="B34" s="64" t="s">
        <v>121</v>
      </c>
      <c r="C34" s="95" t="s">
        <v>142</v>
      </c>
      <c r="D34" s="95" t="s">
        <v>143</v>
      </c>
      <c r="E34" s="95" t="s">
        <v>144</v>
      </c>
      <c r="F34" s="95" t="s">
        <v>145</v>
      </c>
      <c r="G34" s="96" t="s">
        <v>101</v>
      </c>
    </row>
    <row r="35" spans="1:10">
      <c r="A35" s="437"/>
      <c r="B35" s="67"/>
      <c r="C35" s="97">
        <f>C3</f>
        <v>0</v>
      </c>
      <c r="D35" s="82">
        <v>1</v>
      </c>
      <c r="E35" s="72">
        <f>D35*C35</f>
        <v>0</v>
      </c>
      <c r="F35" s="72">
        <f>E35*2</f>
        <v>0</v>
      </c>
      <c r="G35" s="71">
        <f>F35</f>
        <v>0</v>
      </c>
    </row>
    <row r="36" spans="1:10">
      <c r="A36" s="437"/>
      <c r="B36" s="67" t="s">
        <v>146</v>
      </c>
      <c r="C36" s="97"/>
      <c r="D36" s="82"/>
      <c r="E36" s="72"/>
      <c r="F36" s="72"/>
      <c r="G36" s="71">
        <f>C7</f>
        <v>183.2</v>
      </c>
    </row>
    <row r="37" spans="1:10">
      <c r="A37" s="437"/>
      <c r="B37" s="67"/>
      <c r="C37" s="97" t="s">
        <v>148</v>
      </c>
      <c r="D37" s="98" t="s">
        <v>149</v>
      </c>
      <c r="E37" s="82" t="s">
        <v>162</v>
      </c>
      <c r="F37" s="72"/>
      <c r="G37" s="71"/>
    </row>
    <row r="38" spans="1:10">
      <c r="A38" s="437"/>
      <c r="B38" s="67" t="s">
        <v>147</v>
      </c>
      <c r="C38" s="99">
        <v>1000</v>
      </c>
      <c r="D38" s="100">
        <v>1</v>
      </c>
      <c r="E38" s="72">
        <v>450</v>
      </c>
      <c r="F38" s="72"/>
      <c r="G38" s="71">
        <f>(C38+E38)*D38</f>
        <v>1450</v>
      </c>
    </row>
    <row r="39" spans="1:10">
      <c r="A39" s="437"/>
      <c r="B39" s="91" t="s">
        <v>150</v>
      </c>
      <c r="C39" s="92"/>
      <c r="D39" s="92"/>
      <c r="E39" s="92"/>
      <c r="F39" s="92"/>
      <c r="G39" s="101">
        <f>SUM(G34:G38)</f>
        <v>1633.2</v>
      </c>
    </row>
    <row r="41" spans="1:10">
      <c r="B41" s="102" t="s">
        <v>151</v>
      </c>
      <c r="C41" s="103" t="s">
        <v>161</v>
      </c>
      <c r="D41" s="104" t="s">
        <v>120</v>
      </c>
    </row>
    <row r="42" spans="1:10" ht="25.5">
      <c r="B42" s="105" t="s">
        <v>155</v>
      </c>
      <c r="C42" s="86">
        <v>15</v>
      </c>
      <c r="D42" s="71">
        <f>C8*C42</f>
        <v>2748</v>
      </c>
    </row>
    <row r="43" spans="1:10">
      <c r="B43" s="67" t="s">
        <v>153</v>
      </c>
      <c r="C43" s="86">
        <v>0</v>
      </c>
      <c r="D43" s="71">
        <f>E12*C43</f>
        <v>0</v>
      </c>
    </row>
    <row r="44" spans="1:10">
      <c r="B44" s="67" t="s">
        <v>154</v>
      </c>
      <c r="C44" s="86">
        <v>17</v>
      </c>
      <c r="D44" s="71">
        <f>G31*C44</f>
        <v>20044.545454545452</v>
      </c>
    </row>
    <row r="45" spans="1:10">
      <c r="B45" s="67" t="s">
        <v>156</v>
      </c>
      <c r="C45" s="86">
        <v>1</v>
      </c>
      <c r="D45" s="71">
        <f>G39*C45</f>
        <v>1633.2</v>
      </c>
    </row>
    <row r="46" spans="1:10">
      <c r="B46" s="106" t="s">
        <v>157</v>
      </c>
      <c r="C46" s="107">
        <v>0</v>
      </c>
      <c r="D46" s="108">
        <f>SUM(D42:D45)</f>
        <v>24425.745454545453</v>
      </c>
    </row>
    <row r="47" spans="1:10">
      <c r="C47" s="61">
        <f>H2</f>
        <v>193.17</v>
      </c>
      <c r="D47">
        <f>D46/C47</f>
        <v>126.44688851553272</v>
      </c>
    </row>
    <row r="48" spans="1:10">
      <c r="G48" s="62">
        <f>90+23</f>
        <v>113</v>
      </c>
      <c r="H48" s="109">
        <v>0.8</v>
      </c>
      <c r="I48" s="61">
        <f>G48*H48</f>
        <v>90.4</v>
      </c>
      <c r="J48" s="60" t="s">
        <v>122</v>
      </c>
    </row>
    <row r="49" spans="2:11">
      <c r="I49">
        <v>120</v>
      </c>
    </row>
    <row r="50" spans="2:11">
      <c r="B50" s="60" t="s">
        <v>166</v>
      </c>
      <c r="C50" s="61">
        <v>193</v>
      </c>
      <c r="D50">
        <v>35</v>
      </c>
      <c r="E50">
        <f>D50*C50</f>
        <v>6755</v>
      </c>
    </row>
    <row r="51" spans="2:11">
      <c r="B51" s="60" t="s">
        <v>167</v>
      </c>
      <c r="C51" s="61">
        <v>1000</v>
      </c>
      <c r="D51">
        <v>2</v>
      </c>
      <c r="E51">
        <f>D51*C51</f>
        <v>2000</v>
      </c>
      <c r="I51">
        <f>I48*I49</f>
        <v>10848</v>
      </c>
    </row>
    <row r="52" spans="2:11">
      <c r="B52" s="60" t="s">
        <v>153</v>
      </c>
      <c r="E52">
        <v>3500</v>
      </c>
    </row>
    <row r="53" spans="2:11">
      <c r="E53">
        <f>SUM(E50:E52)+D46</f>
        <v>36680.745454545453</v>
      </c>
    </row>
    <row r="54" spans="2:11">
      <c r="E54">
        <f>E53/C47</f>
        <v>189.88841670313948</v>
      </c>
    </row>
    <row r="55" spans="2:11">
      <c r="C55" s="62"/>
      <c r="D55" s="62"/>
      <c r="E55" s="62"/>
      <c r="F55" s="62"/>
      <c r="G55" s="62"/>
      <c r="H55" s="62"/>
      <c r="I55" s="62"/>
      <c r="J55" s="62"/>
      <c r="K55" s="62"/>
    </row>
    <row r="56" spans="2:11">
      <c r="C56" s="62"/>
      <c r="D56" s="62"/>
      <c r="E56" s="62"/>
      <c r="F56" s="62"/>
      <c r="G56" s="62"/>
      <c r="H56" s="62"/>
      <c r="I56" s="62"/>
      <c r="J56" s="62"/>
      <c r="K56" s="62"/>
    </row>
    <row r="57" spans="2:11">
      <c r="C57" s="113"/>
      <c r="D57" s="112"/>
      <c r="E57" s="111"/>
      <c r="F57" s="112"/>
      <c r="G57" s="112"/>
      <c r="H57" s="62"/>
      <c r="I57" s="62"/>
      <c r="J57" s="62"/>
      <c r="K57" s="62"/>
    </row>
    <row r="58" spans="2:11">
      <c r="C58" s="61"/>
      <c r="D58" s="62"/>
      <c r="E58" s="61"/>
      <c r="F58" s="61"/>
      <c r="G58" s="61"/>
      <c r="H58" s="62"/>
      <c r="I58" s="62"/>
      <c r="J58" s="62"/>
      <c r="K58" s="62"/>
    </row>
    <row r="59" spans="2:11">
      <c r="C59" s="61"/>
      <c r="D59" s="62"/>
      <c r="E59" s="61"/>
      <c r="F59" s="61"/>
      <c r="G59" s="61"/>
      <c r="H59" s="62"/>
      <c r="I59" s="62"/>
      <c r="J59" s="62"/>
      <c r="K59" s="62"/>
    </row>
    <row r="60" spans="2:11">
      <c r="C60" s="62"/>
      <c r="D60" s="62"/>
      <c r="E60" s="62"/>
      <c r="F60" s="62"/>
      <c r="G60" s="62"/>
      <c r="H60" s="62"/>
      <c r="I60" s="62"/>
      <c r="J60" s="62"/>
      <c r="K60" s="62"/>
    </row>
    <row r="61" spans="2:11">
      <c r="C61" s="62"/>
      <c r="D61" s="62"/>
      <c r="E61" s="62"/>
      <c r="F61" s="62"/>
      <c r="G61" s="62"/>
      <c r="H61" s="62"/>
      <c r="I61" s="62"/>
      <c r="J61" s="62"/>
      <c r="K61" s="62"/>
    </row>
    <row r="62" spans="2:11">
      <c r="C62" s="62"/>
      <c r="D62" s="62"/>
      <c r="E62" s="62"/>
      <c r="F62" s="62"/>
      <c r="G62" s="62"/>
      <c r="H62" s="62"/>
      <c r="I62" s="62"/>
      <c r="J62" s="62"/>
      <c r="K62" s="62"/>
    </row>
    <row r="63" spans="2:11">
      <c r="C63" s="62"/>
      <c r="D63" s="62"/>
      <c r="E63" s="62"/>
      <c r="F63" s="62"/>
      <c r="G63" s="62"/>
      <c r="H63" s="62"/>
      <c r="I63" s="62"/>
      <c r="J63" s="62"/>
      <c r="K63" s="62"/>
    </row>
    <row r="64" spans="2:11">
      <c r="C64" s="62"/>
      <c r="D64" s="62"/>
      <c r="E64" s="62"/>
      <c r="F64" s="62"/>
      <c r="G64" s="62"/>
      <c r="H64" s="62"/>
      <c r="I64" s="62"/>
      <c r="J64" s="62"/>
      <c r="K64" s="62"/>
    </row>
    <row r="65" spans="3:11">
      <c r="C65" s="62"/>
      <c r="D65" s="62"/>
      <c r="E65" s="62"/>
      <c r="F65" s="62"/>
      <c r="G65" s="62"/>
      <c r="H65" s="62"/>
      <c r="I65" s="62"/>
      <c r="J65" s="62"/>
      <c r="K65" s="62"/>
    </row>
    <row r="66" spans="3:11">
      <c r="C66" s="62"/>
      <c r="D66" s="62"/>
      <c r="E66" s="62"/>
      <c r="F66" s="62"/>
      <c r="G66" s="62"/>
      <c r="H66" s="62"/>
      <c r="I66" s="62"/>
      <c r="J66" s="62"/>
      <c r="K66" s="62"/>
    </row>
    <row r="67" spans="3:11">
      <c r="C67" s="62"/>
      <c r="D67" s="62"/>
      <c r="E67" s="62"/>
      <c r="F67" s="62"/>
      <c r="G67" s="62"/>
      <c r="H67" s="62"/>
      <c r="I67" s="62"/>
      <c r="J67" s="62"/>
      <c r="K67" s="62"/>
    </row>
    <row r="68" spans="3:11">
      <c r="C68" s="62"/>
      <c r="D68" s="62"/>
      <c r="E68" s="62"/>
      <c r="F68" s="62"/>
      <c r="G68" s="62"/>
      <c r="H68" s="62"/>
      <c r="I68" s="62"/>
      <c r="J68" s="62"/>
      <c r="K68" s="62"/>
    </row>
    <row r="69" spans="3:11">
      <c r="C69" s="62"/>
      <c r="D69" s="62"/>
      <c r="E69" s="62"/>
      <c r="F69" s="62"/>
      <c r="G69" s="62"/>
      <c r="H69" s="62"/>
      <c r="I69" s="62"/>
      <c r="J69" s="62"/>
      <c r="K69" s="62"/>
    </row>
    <row r="70" spans="3:11">
      <c r="C70" s="62"/>
      <c r="D70" s="62"/>
      <c r="E70" s="62"/>
      <c r="F70" s="62"/>
      <c r="G70" s="62"/>
      <c r="H70" s="62"/>
      <c r="I70" s="62"/>
      <c r="J70" s="62"/>
      <c r="K70" s="62"/>
    </row>
  </sheetData>
  <mergeCells count="5">
    <mergeCell ref="A2:A8"/>
    <mergeCell ref="A10:A12"/>
    <mergeCell ref="B10:B11"/>
    <mergeCell ref="A15:A31"/>
    <mergeCell ref="A34:A39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H47"/>
  <sheetViews>
    <sheetView workbookViewId="0">
      <selection activeCell="B4" sqref="B4"/>
    </sheetView>
  </sheetViews>
  <sheetFormatPr defaultRowHeight="12.75"/>
  <cols>
    <col min="1" max="1" width="2.7109375" customWidth="1"/>
    <col min="2" max="2" width="36.7109375" bestFit="1" customWidth="1"/>
    <col min="3" max="3" width="17.7109375" bestFit="1" customWidth="1"/>
    <col min="4" max="4" width="18.28515625" bestFit="1" customWidth="1"/>
    <col min="5" max="5" width="17.140625" customWidth="1"/>
    <col min="6" max="6" width="22.28515625" bestFit="1" customWidth="1"/>
    <col min="7" max="7" width="27.140625" bestFit="1" customWidth="1"/>
    <col min="8" max="8" width="10.5703125" bestFit="1" customWidth="1"/>
  </cols>
  <sheetData>
    <row r="2" spans="1:8">
      <c r="A2" s="437"/>
      <c r="B2" s="64" t="s">
        <v>131</v>
      </c>
      <c r="C2" s="65">
        <v>0</v>
      </c>
      <c r="D2" s="66" t="s">
        <v>132</v>
      </c>
      <c r="G2" s="60" t="s">
        <v>159</v>
      </c>
      <c r="H2" s="62">
        <v>230</v>
      </c>
    </row>
    <row r="3" spans="1:8">
      <c r="A3" s="437"/>
      <c r="B3" s="67" t="str">
        <f>'Fundação '!B3</f>
        <v>Local da obra Mauá</v>
      </c>
      <c r="C3" s="68">
        <v>0</v>
      </c>
      <c r="D3" s="69" t="s">
        <v>132</v>
      </c>
    </row>
    <row r="4" spans="1:8">
      <c r="A4" s="437"/>
      <c r="B4" s="67" t="s">
        <v>133</v>
      </c>
      <c r="C4" s="70">
        <v>0.8</v>
      </c>
      <c r="D4" s="71"/>
    </row>
    <row r="5" spans="1:8">
      <c r="A5" s="437"/>
      <c r="B5" s="67" t="s">
        <v>134</v>
      </c>
      <c r="C5" s="72">
        <f>C4*C3</f>
        <v>0</v>
      </c>
      <c r="D5" s="71"/>
    </row>
    <row r="6" spans="1:8">
      <c r="A6" s="437"/>
      <c r="B6" s="67" t="s">
        <v>135</v>
      </c>
      <c r="C6" s="72">
        <f>C4*C3</f>
        <v>0</v>
      </c>
      <c r="D6" s="71"/>
    </row>
    <row r="7" spans="1:8">
      <c r="A7" s="437"/>
      <c r="B7" s="67" t="s">
        <v>136</v>
      </c>
      <c r="C7" s="70">
        <f>91.6*2</f>
        <v>183.2</v>
      </c>
      <c r="D7" s="71"/>
    </row>
    <row r="8" spans="1:8">
      <c r="A8" s="437"/>
      <c r="B8" s="73" t="s">
        <v>137</v>
      </c>
      <c r="C8" s="74">
        <f>SUM(C5:C7)</f>
        <v>183.2</v>
      </c>
      <c r="D8" s="75"/>
    </row>
    <row r="9" spans="1:8">
      <c r="B9" s="63"/>
      <c r="C9" s="63"/>
    </row>
    <row r="10" spans="1:8" ht="25.5">
      <c r="A10" s="437"/>
      <c r="B10" s="438" t="s">
        <v>138</v>
      </c>
      <c r="C10" s="76" t="s">
        <v>139</v>
      </c>
      <c r="D10" s="76" t="s">
        <v>141</v>
      </c>
      <c r="E10" s="77" t="s">
        <v>140</v>
      </c>
    </row>
    <row r="11" spans="1:8">
      <c r="A11" s="437"/>
      <c r="B11" s="439"/>
      <c r="C11" s="70">
        <v>3500</v>
      </c>
      <c r="D11" s="78">
        <v>0.4</v>
      </c>
      <c r="E11" s="71">
        <f>C11*D11</f>
        <v>1400</v>
      </c>
    </row>
    <row r="12" spans="1:8">
      <c r="A12" s="437"/>
      <c r="B12" s="73" t="s">
        <v>137</v>
      </c>
      <c r="C12" s="74"/>
      <c r="D12" s="74"/>
      <c r="E12" s="79">
        <f>E11</f>
        <v>1400</v>
      </c>
    </row>
    <row r="13" spans="1:8">
      <c r="B13" s="63"/>
      <c r="C13" s="63"/>
    </row>
    <row r="15" spans="1:8">
      <c r="A15" s="437"/>
      <c r="B15" s="80"/>
      <c r="C15" s="81" t="s">
        <v>128</v>
      </c>
      <c r="D15" s="81" t="s">
        <v>174</v>
      </c>
      <c r="E15" s="81" t="s">
        <v>115</v>
      </c>
      <c r="F15" s="81" t="s">
        <v>116</v>
      </c>
      <c r="G15" s="77" t="s">
        <v>117</v>
      </c>
    </row>
    <row r="16" spans="1:8">
      <c r="A16" s="437"/>
      <c r="B16" s="67" t="s">
        <v>127</v>
      </c>
      <c r="C16" s="82"/>
      <c r="D16" s="82"/>
      <c r="E16" s="72">
        <v>7500</v>
      </c>
      <c r="F16" s="82">
        <f>22*50</f>
        <v>1100</v>
      </c>
      <c r="G16" s="71">
        <f>E16+F16</f>
        <v>8600</v>
      </c>
    </row>
    <row r="17" spans="1:7">
      <c r="A17" s="437"/>
      <c r="B17" s="67" t="s">
        <v>123</v>
      </c>
      <c r="C17" s="82"/>
      <c r="D17" s="82"/>
      <c r="E17" s="72">
        <v>10000</v>
      </c>
      <c r="F17" s="72">
        <f>22*50</f>
        <v>1100</v>
      </c>
      <c r="G17" s="71">
        <f>F17+E17</f>
        <v>11100</v>
      </c>
    </row>
    <row r="18" spans="1:7">
      <c r="A18" s="437"/>
      <c r="B18" s="67" t="s">
        <v>173</v>
      </c>
      <c r="C18" s="82">
        <v>35</v>
      </c>
      <c r="D18" s="83">
        <v>8</v>
      </c>
      <c r="E18" s="72">
        <f>D18*C18</f>
        <v>280</v>
      </c>
      <c r="F18" s="72">
        <f>50*30</f>
        <v>1500</v>
      </c>
      <c r="G18" s="71">
        <f>E18+F18</f>
        <v>1780</v>
      </c>
    </row>
    <row r="19" spans="1:7">
      <c r="A19" s="437"/>
      <c r="B19" s="67"/>
      <c r="C19" s="82"/>
      <c r="D19" s="83"/>
      <c r="E19" s="72"/>
      <c r="F19" s="72"/>
      <c r="G19" s="71"/>
    </row>
    <row r="20" spans="1:7">
      <c r="A20" s="437"/>
      <c r="B20" s="67" t="s">
        <v>126</v>
      </c>
      <c r="C20" s="82"/>
      <c r="D20" s="83"/>
      <c r="E20" s="72"/>
      <c r="F20" s="72"/>
      <c r="G20" s="71"/>
    </row>
    <row r="21" spans="1:7">
      <c r="A21" s="437"/>
      <c r="B21" s="67"/>
      <c r="C21" s="82"/>
      <c r="D21" s="82"/>
      <c r="E21" s="72"/>
      <c r="F21" s="72"/>
      <c r="G21" s="71"/>
    </row>
    <row r="22" spans="1:7">
      <c r="A22" s="437"/>
      <c r="B22" s="84" t="s">
        <v>118</v>
      </c>
      <c r="C22" s="85"/>
      <c r="D22" s="85"/>
      <c r="E22" s="72"/>
      <c r="F22" s="72"/>
      <c r="G22" s="71"/>
    </row>
    <row r="23" spans="1:7">
      <c r="A23" s="437"/>
      <c r="B23" s="67" t="s">
        <v>172</v>
      </c>
      <c r="C23" s="98" t="s">
        <v>175</v>
      </c>
      <c r="D23" s="110">
        <f>27/8</f>
        <v>3.375</v>
      </c>
      <c r="E23" s="100" t="s">
        <v>176</v>
      </c>
      <c r="F23" s="72"/>
      <c r="G23" s="87"/>
    </row>
    <row r="24" spans="1:7">
      <c r="A24" s="437"/>
      <c r="B24" s="67"/>
      <c r="C24" s="98" t="s">
        <v>175</v>
      </c>
      <c r="D24" s="82">
        <v>45</v>
      </c>
      <c r="E24" s="86"/>
      <c r="F24" s="72"/>
      <c r="G24" s="87">
        <f>D24*27</f>
        <v>1215</v>
      </c>
    </row>
    <row r="25" spans="1:7">
      <c r="A25" s="437"/>
      <c r="B25" s="67"/>
      <c r="C25" s="82"/>
      <c r="D25" s="82"/>
      <c r="E25" s="86"/>
      <c r="F25" s="72"/>
      <c r="G25" s="87"/>
    </row>
    <row r="26" spans="1:7">
      <c r="A26" s="437"/>
      <c r="B26" s="67"/>
      <c r="C26" s="82"/>
      <c r="D26" s="82"/>
      <c r="E26" s="86"/>
      <c r="F26" s="72"/>
      <c r="G26" s="87"/>
    </row>
    <row r="27" spans="1:7">
      <c r="A27" s="437"/>
      <c r="B27" s="67"/>
      <c r="C27" s="82"/>
      <c r="D27" s="82"/>
      <c r="E27" s="86"/>
      <c r="F27" s="72"/>
      <c r="G27" s="87"/>
    </row>
    <row r="28" spans="1:7">
      <c r="A28" s="437"/>
      <c r="B28" s="67"/>
      <c r="C28" s="82"/>
      <c r="D28" s="82"/>
      <c r="E28" s="86"/>
      <c r="F28" s="72"/>
      <c r="G28" s="71"/>
    </row>
    <row r="29" spans="1:7">
      <c r="A29" s="437"/>
      <c r="B29" s="67"/>
      <c r="C29" s="82"/>
      <c r="D29" s="82"/>
      <c r="E29" s="86"/>
      <c r="F29" s="72"/>
      <c r="G29" s="71"/>
    </row>
    <row r="30" spans="1:7">
      <c r="A30" s="437"/>
      <c r="B30" s="88" t="s">
        <v>119</v>
      </c>
      <c r="C30" s="89"/>
      <c r="D30" s="89"/>
      <c r="E30" s="89"/>
      <c r="F30" s="72"/>
      <c r="G30" s="90">
        <f>SUM(G23:G27)</f>
        <v>1215</v>
      </c>
    </row>
    <row r="31" spans="1:7">
      <c r="A31" s="437"/>
      <c r="B31" s="91" t="s">
        <v>130</v>
      </c>
      <c r="C31" s="92"/>
      <c r="D31" s="92"/>
      <c r="E31" s="93"/>
      <c r="F31" s="93"/>
      <c r="G31" s="94">
        <f>G30/22</f>
        <v>55.227272727272727</v>
      </c>
    </row>
    <row r="33" spans="1:7">
      <c r="B33" s="60"/>
      <c r="C33" s="60"/>
      <c r="D33" s="60"/>
    </row>
    <row r="34" spans="1:7">
      <c r="A34" s="437"/>
      <c r="B34" s="64" t="s">
        <v>121</v>
      </c>
      <c r="C34" s="95" t="s">
        <v>142</v>
      </c>
      <c r="D34" s="95" t="s">
        <v>143</v>
      </c>
      <c r="E34" s="95" t="s">
        <v>144</v>
      </c>
      <c r="F34" s="95" t="s">
        <v>145</v>
      </c>
      <c r="G34" s="96" t="s">
        <v>101</v>
      </c>
    </row>
    <row r="35" spans="1:7">
      <c r="A35" s="437"/>
      <c r="B35" s="67"/>
      <c r="C35" s="97">
        <f>C3</f>
        <v>0</v>
      </c>
      <c r="D35" s="82">
        <v>1</v>
      </c>
      <c r="E35" s="72">
        <f>D35*C35</f>
        <v>0</v>
      </c>
      <c r="F35" s="72">
        <f>E35*2</f>
        <v>0</v>
      </c>
      <c r="G35" s="71">
        <f>F35</f>
        <v>0</v>
      </c>
    </row>
    <row r="36" spans="1:7">
      <c r="A36" s="437"/>
      <c r="B36" s="67" t="s">
        <v>146</v>
      </c>
      <c r="C36" s="97"/>
      <c r="D36" s="82"/>
      <c r="E36" s="72"/>
      <c r="F36" s="72"/>
      <c r="G36" s="71">
        <f>C7</f>
        <v>183.2</v>
      </c>
    </row>
    <row r="37" spans="1:7">
      <c r="A37" s="437"/>
      <c r="B37" s="67"/>
      <c r="C37" s="97" t="s">
        <v>148</v>
      </c>
      <c r="D37" s="98" t="s">
        <v>149</v>
      </c>
      <c r="E37" s="72"/>
      <c r="F37" s="72"/>
      <c r="G37" s="71"/>
    </row>
    <row r="38" spans="1:7">
      <c r="A38" s="437"/>
      <c r="B38" s="67" t="s">
        <v>147</v>
      </c>
      <c r="C38" s="99">
        <v>1000</v>
      </c>
      <c r="D38" s="100">
        <v>1</v>
      </c>
      <c r="E38" s="72"/>
      <c r="F38" s="72"/>
      <c r="G38" s="71">
        <f>C38*D38</f>
        <v>1000</v>
      </c>
    </row>
    <row r="39" spans="1:7">
      <c r="A39" s="437"/>
      <c r="B39" s="91" t="s">
        <v>150</v>
      </c>
      <c r="C39" s="92"/>
      <c r="D39" s="92"/>
      <c r="E39" s="92"/>
      <c r="F39" s="92"/>
      <c r="G39" s="101">
        <f>SUM(G34:G38)</f>
        <v>1183.2</v>
      </c>
    </row>
    <row r="41" spans="1:7">
      <c r="B41" s="102" t="s">
        <v>151</v>
      </c>
      <c r="C41" s="103" t="s">
        <v>152</v>
      </c>
      <c r="D41" s="104" t="s">
        <v>120</v>
      </c>
    </row>
    <row r="42" spans="1:7" ht="25.5">
      <c r="B42" s="105" t="s">
        <v>155</v>
      </c>
      <c r="C42" s="86">
        <v>1</v>
      </c>
      <c r="D42" s="71">
        <f>C8*C42</f>
        <v>183.2</v>
      </c>
    </row>
    <row r="43" spans="1:7">
      <c r="B43" s="67" t="s">
        <v>153</v>
      </c>
      <c r="C43" s="86">
        <v>0.4</v>
      </c>
      <c r="D43" s="71">
        <f>C43*C11</f>
        <v>1400</v>
      </c>
    </row>
    <row r="44" spans="1:7">
      <c r="B44" s="67" t="s">
        <v>154</v>
      </c>
      <c r="C44" s="86">
        <v>1</v>
      </c>
      <c r="D44" s="71">
        <f>G30</f>
        <v>1215</v>
      </c>
    </row>
    <row r="45" spans="1:7">
      <c r="B45" s="67" t="s">
        <v>156</v>
      </c>
      <c r="C45" s="72">
        <v>0.3</v>
      </c>
      <c r="D45" s="71">
        <f>G39*C45</f>
        <v>354.96</v>
      </c>
    </row>
    <row r="46" spans="1:7">
      <c r="B46" s="106" t="s">
        <v>157</v>
      </c>
      <c r="C46" s="107"/>
      <c r="D46" s="108">
        <f>SUM(D42:D45)</f>
        <v>3153.16</v>
      </c>
    </row>
    <row r="47" spans="1:7">
      <c r="C47" s="61">
        <v>27</v>
      </c>
      <c r="D47">
        <f>D46/C47</f>
        <v>116.78370370370369</v>
      </c>
    </row>
  </sheetData>
  <mergeCells count="5">
    <mergeCell ref="A2:A8"/>
    <mergeCell ref="A10:A12"/>
    <mergeCell ref="B10:B11"/>
    <mergeCell ref="A15:A31"/>
    <mergeCell ref="A34:A39"/>
  </mergeCell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H47"/>
  <sheetViews>
    <sheetView topLeftCell="A30" workbookViewId="0">
      <selection activeCell="G2" sqref="G2"/>
    </sheetView>
  </sheetViews>
  <sheetFormatPr defaultRowHeight="12.75"/>
  <cols>
    <col min="1" max="1" width="2.7109375" customWidth="1"/>
    <col min="2" max="2" width="36.7109375" bestFit="1" customWidth="1"/>
    <col min="3" max="3" width="17.7109375" bestFit="1" customWidth="1"/>
    <col min="4" max="4" width="18.28515625" bestFit="1" customWidth="1"/>
    <col min="5" max="5" width="17.140625" customWidth="1"/>
    <col min="6" max="6" width="22.28515625" bestFit="1" customWidth="1"/>
    <col min="7" max="7" width="27.140625" bestFit="1" customWidth="1"/>
    <col min="8" max="8" width="10.5703125" bestFit="1" customWidth="1"/>
  </cols>
  <sheetData>
    <row r="2" spans="1:8">
      <c r="A2" s="437"/>
      <c r="B2" s="64" t="s">
        <v>131</v>
      </c>
      <c r="C2" s="65">
        <v>0</v>
      </c>
      <c r="D2" s="66" t="s">
        <v>132</v>
      </c>
      <c r="G2" s="60"/>
      <c r="H2" s="62"/>
    </row>
    <row r="3" spans="1:8">
      <c r="A3" s="437"/>
      <c r="B3" s="67" t="str">
        <f>'Fundação '!B3</f>
        <v>Local da obra Mauá</v>
      </c>
      <c r="C3" s="68">
        <v>0</v>
      </c>
      <c r="D3" s="69" t="s">
        <v>132</v>
      </c>
      <c r="G3" s="60"/>
    </row>
    <row r="4" spans="1:8">
      <c r="A4" s="437"/>
      <c r="B4" s="67" t="s">
        <v>259</v>
      </c>
      <c r="C4" s="70">
        <v>0.8</v>
      </c>
      <c r="D4" s="71"/>
    </row>
    <row r="5" spans="1:8">
      <c r="A5" s="437"/>
      <c r="B5" s="67" t="s">
        <v>134</v>
      </c>
      <c r="C5" s="72">
        <f>C4*C3</f>
        <v>0</v>
      </c>
      <c r="D5" s="71"/>
    </row>
    <row r="6" spans="1:8">
      <c r="A6" s="437"/>
      <c r="B6" s="67" t="s">
        <v>135</v>
      </c>
      <c r="C6" s="72">
        <f>C4*C3</f>
        <v>0</v>
      </c>
      <c r="D6" s="71"/>
    </row>
    <row r="7" spans="1:8">
      <c r="A7" s="437"/>
      <c r="B7" s="67" t="s">
        <v>136</v>
      </c>
      <c r="C7" s="70">
        <f>91.6*2</f>
        <v>183.2</v>
      </c>
      <c r="D7" s="71"/>
    </row>
    <row r="8" spans="1:8">
      <c r="A8" s="437"/>
      <c r="B8" s="73" t="s">
        <v>137</v>
      </c>
      <c r="C8" s="74">
        <f>SUM(C5:C7)</f>
        <v>183.2</v>
      </c>
      <c r="D8" s="75"/>
    </row>
    <row r="9" spans="1:8">
      <c r="B9" s="63"/>
      <c r="C9" s="63"/>
    </row>
    <row r="10" spans="1:8" ht="25.5">
      <c r="A10" s="437"/>
      <c r="B10" s="438" t="s">
        <v>138</v>
      </c>
      <c r="C10" s="76" t="s">
        <v>139</v>
      </c>
      <c r="D10" s="76" t="s">
        <v>141</v>
      </c>
      <c r="E10" s="77" t="s">
        <v>140</v>
      </c>
    </row>
    <row r="11" spans="1:8">
      <c r="A11" s="437"/>
      <c r="B11" s="439"/>
      <c r="C11" s="70">
        <v>3500</v>
      </c>
      <c r="D11" s="78">
        <v>1</v>
      </c>
      <c r="E11" s="71">
        <f>C11*D11</f>
        <v>3500</v>
      </c>
    </row>
    <row r="12" spans="1:8">
      <c r="A12" s="437"/>
      <c r="B12" s="73" t="s">
        <v>137</v>
      </c>
      <c r="C12" s="74"/>
      <c r="D12" s="74"/>
      <c r="E12" s="79">
        <f>E11</f>
        <v>3500</v>
      </c>
    </row>
    <row r="13" spans="1:8">
      <c r="B13" s="63"/>
      <c r="C13" s="63"/>
    </row>
    <row r="15" spans="1:8">
      <c r="A15" s="437"/>
      <c r="B15" s="80"/>
      <c r="C15" s="81" t="s">
        <v>128</v>
      </c>
      <c r="D15" s="81" t="s">
        <v>174</v>
      </c>
      <c r="E15" s="81" t="s">
        <v>115</v>
      </c>
      <c r="F15" s="81" t="s">
        <v>116</v>
      </c>
      <c r="G15" s="77" t="s">
        <v>117</v>
      </c>
    </row>
    <row r="16" spans="1:8">
      <c r="A16" s="437"/>
      <c r="B16" s="67" t="s">
        <v>127</v>
      </c>
      <c r="C16" s="82"/>
      <c r="D16" s="82"/>
      <c r="E16" s="72">
        <v>7500</v>
      </c>
      <c r="F16" s="82">
        <f>22*50</f>
        <v>1100</v>
      </c>
      <c r="G16" s="71">
        <f>E16+F16</f>
        <v>8600</v>
      </c>
    </row>
    <row r="17" spans="1:7">
      <c r="A17" s="437"/>
      <c r="B17" s="67" t="s">
        <v>123</v>
      </c>
      <c r="C17" s="82"/>
      <c r="D17" s="82"/>
      <c r="E17" s="72">
        <v>10000</v>
      </c>
      <c r="F17" s="72">
        <f>22*50</f>
        <v>1100</v>
      </c>
      <c r="G17" s="71">
        <f>F17+E17</f>
        <v>11100</v>
      </c>
    </row>
    <row r="18" spans="1:7">
      <c r="A18" s="437"/>
      <c r="B18" s="67" t="s">
        <v>173</v>
      </c>
      <c r="C18" s="82">
        <v>35</v>
      </c>
      <c r="D18" s="83">
        <v>8</v>
      </c>
      <c r="E18" s="72">
        <f>D18*C18</f>
        <v>280</v>
      </c>
      <c r="F18" s="72">
        <f>50*30</f>
        <v>1500</v>
      </c>
      <c r="G18" s="71">
        <f>E18+F18</f>
        <v>1780</v>
      </c>
    </row>
    <row r="19" spans="1:7">
      <c r="A19" s="437"/>
      <c r="B19" s="67"/>
      <c r="C19" s="82"/>
      <c r="D19" s="83"/>
      <c r="E19" s="72"/>
      <c r="F19" s="72"/>
      <c r="G19" s="71"/>
    </row>
    <row r="20" spans="1:7">
      <c r="A20" s="437"/>
      <c r="B20" s="67" t="s">
        <v>126</v>
      </c>
      <c r="C20" s="82"/>
      <c r="D20" s="83"/>
      <c r="E20" s="72"/>
      <c r="F20" s="72"/>
      <c r="G20" s="71"/>
    </row>
    <row r="21" spans="1:7">
      <c r="A21" s="437"/>
      <c r="B21" s="67"/>
      <c r="C21" s="82"/>
      <c r="D21" s="82"/>
      <c r="E21" s="72"/>
      <c r="F21" s="72"/>
      <c r="G21" s="71"/>
    </row>
    <row r="22" spans="1:7">
      <c r="A22" s="437"/>
      <c r="B22" s="84" t="s">
        <v>118</v>
      </c>
      <c r="C22" s="85"/>
      <c r="D22" s="85"/>
      <c r="E22" s="72"/>
      <c r="F22" s="72"/>
      <c r="G22" s="71"/>
    </row>
    <row r="23" spans="1:7">
      <c r="A23" s="437"/>
      <c r="B23" s="67" t="s">
        <v>172</v>
      </c>
      <c r="C23" s="98" t="s">
        <v>175</v>
      </c>
      <c r="D23" s="110">
        <f>27/8</f>
        <v>3.375</v>
      </c>
      <c r="E23" s="100" t="s">
        <v>176</v>
      </c>
      <c r="F23" s="72"/>
      <c r="G23" s="87"/>
    </row>
    <row r="24" spans="1:7">
      <c r="A24" s="437"/>
      <c r="B24" s="67"/>
      <c r="C24" s="98" t="s">
        <v>175</v>
      </c>
      <c r="D24" s="82">
        <v>45</v>
      </c>
      <c r="E24" s="86"/>
      <c r="F24" s="72"/>
      <c r="G24" s="87">
        <v>35000</v>
      </c>
    </row>
    <row r="25" spans="1:7">
      <c r="A25" s="437"/>
      <c r="B25" s="67"/>
      <c r="C25" s="82"/>
      <c r="D25" s="82"/>
      <c r="E25" s="86"/>
      <c r="F25" s="72"/>
      <c r="G25" s="87"/>
    </row>
    <row r="26" spans="1:7">
      <c r="A26" s="437"/>
      <c r="B26" s="67"/>
      <c r="C26" s="82"/>
      <c r="D26" s="82"/>
      <c r="E26" s="86"/>
      <c r="F26" s="72"/>
      <c r="G26" s="87"/>
    </row>
    <row r="27" spans="1:7">
      <c r="A27" s="437"/>
      <c r="B27" s="67"/>
      <c r="C27" s="82"/>
      <c r="D27" s="82"/>
      <c r="E27" s="86"/>
      <c r="F27" s="72"/>
      <c r="G27" s="87"/>
    </row>
    <row r="28" spans="1:7">
      <c r="A28" s="437"/>
      <c r="B28" s="67"/>
      <c r="C28" s="82"/>
      <c r="D28" s="82"/>
      <c r="E28" s="86"/>
      <c r="F28" s="72"/>
      <c r="G28" s="71"/>
    </row>
    <row r="29" spans="1:7">
      <c r="A29" s="437"/>
      <c r="B29" s="67"/>
      <c r="C29" s="82"/>
      <c r="D29" s="82"/>
      <c r="E29" s="86"/>
      <c r="F29" s="72"/>
      <c r="G29" s="71"/>
    </row>
    <row r="30" spans="1:7">
      <c r="A30" s="437"/>
      <c r="B30" s="88" t="s">
        <v>119</v>
      </c>
      <c r="C30" s="89"/>
      <c r="D30" s="89"/>
      <c r="E30" s="89"/>
      <c r="F30" s="72"/>
      <c r="G30" s="90">
        <f>SUM(G23:G27)</f>
        <v>35000</v>
      </c>
    </row>
    <row r="31" spans="1:7">
      <c r="A31" s="437"/>
      <c r="B31" s="91" t="s">
        <v>130</v>
      </c>
      <c r="C31" s="92"/>
      <c r="D31" s="92"/>
      <c r="E31" s="93"/>
      <c r="F31" s="93"/>
      <c r="G31" s="94">
        <f>G30/22</f>
        <v>1590.909090909091</v>
      </c>
    </row>
    <row r="33" spans="1:7">
      <c r="B33" s="60"/>
      <c r="C33" s="60"/>
      <c r="D33" s="60"/>
    </row>
    <row r="34" spans="1:7">
      <c r="A34" s="437"/>
      <c r="B34" s="64" t="s">
        <v>121</v>
      </c>
      <c r="C34" s="95" t="s">
        <v>142</v>
      </c>
      <c r="D34" s="95" t="s">
        <v>143</v>
      </c>
      <c r="E34" s="95" t="s">
        <v>144</v>
      </c>
      <c r="F34" s="95" t="s">
        <v>145</v>
      </c>
      <c r="G34" s="96" t="s">
        <v>101</v>
      </c>
    </row>
    <row r="35" spans="1:7">
      <c r="A35" s="437"/>
      <c r="B35" s="67"/>
      <c r="C35" s="97">
        <f>C3</f>
        <v>0</v>
      </c>
      <c r="D35" s="82">
        <v>1</v>
      </c>
      <c r="E35" s="72">
        <f>D35*C35</f>
        <v>0</v>
      </c>
      <c r="F35" s="72">
        <f>E35*2</f>
        <v>0</v>
      </c>
      <c r="G35" s="71">
        <f>F35</f>
        <v>0</v>
      </c>
    </row>
    <row r="36" spans="1:7">
      <c r="A36" s="437"/>
      <c r="B36" s="67" t="s">
        <v>146</v>
      </c>
      <c r="C36" s="97"/>
      <c r="D36" s="82"/>
      <c r="E36" s="72"/>
      <c r="F36" s="72"/>
      <c r="G36" s="71">
        <f>C7</f>
        <v>183.2</v>
      </c>
    </row>
    <row r="37" spans="1:7">
      <c r="A37" s="437"/>
      <c r="B37" s="67"/>
      <c r="C37" s="97" t="s">
        <v>148</v>
      </c>
      <c r="D37" s="98" t="s">
        <v>149</v>
      </c>
      <c r="E37" s="72"/>
      <c r="F37" s="72"/>
      <c r="G37" s="71"/>
    </row>
    <row r="38" spans="1:7">
      <c r="A38" s="437"/>
      <c r="B38" s="67" t="s">
        <v>147</v>
      </c>
      <c r="C38" s="99">
        <v>1000</v>
      </c>
      <c r="D38" s="100">
        <v>1</v>
      </c>
      <c r="E38" s="72"/>
      <c r="F38" s="72"/>
      <c r="G38" s="71">
        <f>C38*D38</f>
        <v>1000</v>
      </c>
    </row>
    <row r="39" spans="1:7">
      <c r="A39" s="437"/>
      <c r="B39" s="91" t="s">
        <v>150</v>
      </c>
      <c r="C39" s="92"/>
      <c r="D39" s="92"/>
      <c r="E39" s="92"/>
      <c r="F39" s="92"/>
      <c r="G39" s="101">
        <f>SUM(G34:G38)</f>
        <v>1183.2</v>
      </c>
    </row>
    <row r="41" spans="1:7">
      <c r="B41" s="102" t="s">
        <v>151</v>
      </c>
      <c r="C41" s="103" t="s">
        <v>152</v>
      </c>
      <c r="D41" s="104" t="s">
        <v>120</v>
      </c>
    </row>
    <row r="42" spans="1:7" ht="25.5">
      <c r="B42" s="105" t="s">
        <v>155</v>
      </c>
      <c r="C42" s="86">
        <v>2</v>
      </c>
      <c r="D42" s="71">
        <f>C8*C42</f>
        <v>366.4</v>
      </c>
    </row>
    <row r="43" spans="1:7">
      <c r="B43" s="67" t="s">
        <v>153</v>
      </c>
      <c r="C43" s="86">
        <v>1</v>
      </c>
      <c r="D43" s="71">
        <f>C43*C11</f>
        <v>3500</v>
      </c>
    </row>
    <row r="44" spans="1:7">
      <c r="B44" s="67" t="s">
        <v>154</v>
      </c>
      <c r="C44" s="86">
        <v>1</v>
      </c>
      <c r="D44" s="71">
        <f>G30</f>
        <v>35000</v>
      </c>
    </row>
    <row r="45" spans="1:7">
      <c r="B45" s="67" t="s">
        <v>156</v>
      </c>
      <c r="C45" s="72">
        <v>0.3</v>
      </c>
      <c r="D45" s="71">
        <f>G39*C45</f>
        <v>354.96</v>
      </c>
    </row>
    <row r="46" spans="1:7">
      <c r="B46" s="106" t="s">
        <v>157</v>
      </c>
      <c r="C46" s="107"/>
      <c r="D46" s="108">
        <f>SUM(D42:D45)</f>
        <v>39221.360000000001</v>
      </c>
    </row>
    <row r="47" spans="1:7">
      <c r="C47" s="61">
        <v>360</v>
      </c>
      <c r="D47">
        <f>D46/C47</f>
        <v>108.94822222222223</v>
      </c>
    </row>
  </sheetData>
  <mergeCells count="5">
    <mergeCell ref="A2:A8"/>
    <mergeCell ref="A10:A12"/>
    <mergeCell ref="B10:B11"/>
    <mergeCell ref="A15:A31"/>
    <mergeCell ref="A34:A39"/>
  </mergeCells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M36"/>
  <sheetViews>
    <sheetView workbookViewId="0">
      <selection activeCell="F23" sqref="F23"/>
    </sheetView>
  </sheetViews>
  <sheetFormatPr defaultRowHeight="12.75"/>
  <cols>
    <col min="1" max="1" width="2.85546875" customWidth="1"/>
    <col min="2" max="2" width="25.140625" style="62" bestFit="1" customWidth="1"/>
    <col min="3" max="3" width="9.140625" style="212"/>
    <col min="4" max="4" width="13.28515625" bestFit="1" customWidth="1"/>
    <col min="6" max="6" width="28.28515625" customWidth="1"/>
    <col min="7" max="7" width="13.28515625" bestFit="1" customWidth="1"/>
  </cols>
  <sheetData>
    <row r="2" spans="2:13">
      <c r="B2" s="153" t="s">
        <v>251</v>
      </c>
      <c r="D2" s="442" t="s">
        <v>252</v>
      </c>
      <c r="E2" s="442"/>
      <c r="F2">
        <f>G14+D17</f>
        <v>2500</v>
      </c>
      <c r="J2" s="60"/>
      <c r="M2" s="60"/>
    </row>
    <row r="3" spans="2:13">
      <c r="B3" s="153"/>
      <c r="D3" s="442" t="s">
        <v>253</v>
      </c>
      <c r="E3" s="442"/>
      <c r="F3">
        <f>G15+D15</f>
        <v>4275</v>
      </c>
      <c r="M3" s="60"/>
    </row>
    <row r="4" spans="2:13">
      <c r="B4" s="153"/>
    </row>
    <row r="6" spans="2:13">
      <c r="B6" s="153" t="s">
        <v>233</v>
      </c>
      <c r="C6" s="212">
        <v>8</v>
      </c>
      <c r="D6">
        <v>890</v>
      </c>
      <c r="F6" s="60" t="s">
        <v>242</v>
      </c>
    </row>
    <row r="7" spans="2:13">
      <c r="B7" s="153" t="s">
        <v>237</v>
      </c>
      <c r="C7" s="212">
        <v>1</v>
      </c>
      <c r="D7">
        <v>1000</v>
      </c>
      <c r="F7" s="60" t="s">
        <v>243</v>
      </c>
      <c r="G7">
        <v>15000</v>
      </c>
    </row>
    <row r="8" spans="2:13">
      <c r="B8" s="153" t="s">
        <v>234</v>
      </c>
      <c r="C8" s="212">
        <v>11</v>
      </c>
      <c r="D8">
        <v>600</v>
      </c>
      <c r="F8" s="60" t="s">
        <v>244</v>
      </c>
      <c r="G8">
        <v>13000</v>
      </c>
    </row>
    <row r="9" spans="2:13">
      <c r="B9" s="153" t="s">
        <v>238</v>
      </c>
      <c r="C9" s="212">
        <v>1</v>
      </c>
      <c r="D9">
        <v>375</v>
      </c>
    </row>
    <row r="10" spans="2:13">
      <c r="B10" s="153" t="s">
        <v>239</v>
      </c>
      <c r="C10" s="212">
        <f>C9</f>
        <v>1</v>
      </c>
      <c r="D10">
        <v>130</v>
      </c>
      <c r="F10" s="60" t="s">
        <v>245</v>
      </c>
      <c r="G10" s="213">
        <f>89.8981+79.6445</f>
        <v>169.54259999999999</v>
      </c>
    </row>
    <row r="11" spans="2:13">
      <c r="B11" s="153" t="s">
        <v>240</v>
      </c>
      <c r="C11" s="112">
        <v>2</v>
      </c>
      <c r="D11">
        <v>200</v>
      </c>
      <c r="F11" s="60" t="s">
        <v>248</v>
      </c>
      <c r="G11">
        <f>G7/G10</f>
        <v>88.473339443891987</v>
      </c>
    </row>
    <row r="12" spans="2:13">
      <c r="B12" s="153" t="s">
        <v>235</v>
      </c>
      <c r="C12" s="212">
        <v>1</v>
      </c>
      <c r="D12">
        <v>750</v>
      </c>
      <c r="F12" s="60" t="s">
        <v>249</v>
      </c>
      <c r="G12">
        <f>G8/G10</f>
        <v>76.676894184706384</v>
      </c>
    </row>
    <row r="13" spans="2:13">
      <c r="B13" s="153" t="s">
        <v>241</v>
      </c>
      <c r="C13" s="212">
        <f>C12+C8</f>
        <v>12</v>
      </c>
      <c r="D13">
        <v>150</v>
      </c>
    </row>
    <row r="14" spans="2:13">
      <c r="B14" s="215" t="s">
        <v>236</v>
      </c>
      <c r="C14" s="216">
        <v>1</v>
      </c>
      <c r="D14" s="217">
        <v>180</v>
      </c>
      <c r="F14" s="60" t="s">
        <v>246</v>
      </c>
      <c r="G14">
        <f>G11*'RESUMO CUSTOS '!C6</f>
        <v>0</v>
      </c>
    </row>
    <row r="15" spans="2:13">
      <c r="D15">
        <f>SUM(D6:D14)</f>
        <v>4275</v>
      </c>
      <c r="F15" s="60" t="s">
        <v>247</v>
      </c>
      <c r="G15">
        <f>G12*'RESUMO CUSTOS '!C6</f>
        <v>0</v>
      </c>
    </row>
    <row r="17" spans="2:6">
      <c r="B17" s="153" t="s">
        <v>250</v>
      </c>
      <c r="D17" s="214">
        <v>2500</v>
      </c>
    </row>
    <row r="18" spans="2:6">
      <c r="D18" s="60" t="s">
        <v>254</v>
      </c>
      <c r="E18" s="60"/>
    </row>
    <row r="22" spans="2:6">
      <c r="B22" s="153" t="s">
        <v>255</v>
      </c>
      <c r="D22" s="442" t="s">
        <v>252</v>
      </c>
      <c r="E22" s="442"/>
      <c r="F22">
        <f>D35</f>
        <v>0</v>
      </c>
    </row>
    <row r="23" spans="2:6">
      <c r="D23" s="442" t="s">
        <v>253</v>
      </c>
      <c r="E23" s="442"/>
      <c r="F23">
        <f>D36</f>
        <v>0</v>
      </c>
    </row>
    <row r="27" spans="2:6">
      <c r="B27" s="60" t="s">
        <v>256</v>
      </c>
      <c r="C27"/>
    </row>
    <row r="28" spans="2:6">
      <c r="B28" s="60" t="s">
        <v>243</v>
      </c>
      <c r="C28"/>
      <c r="D28">
        <v>10000</v>
      </c>
    </row>
    <row r="29" spans="2:6">
      <c r="B29" s="60" t="s">
        <v>244</v>
      </c>
      <c r="C29"/>
      <c r="D29">
        <v>18000</v>
      </c>
    </row>
    <row r="30" spans="2:6">
      <c r="B30"/>
      <c r="C30"/>
    </row>
    <row r="31" spans="2:6">
      <c r="B31" s="60" t="s">
        <v>245</v>
      </c>
      <c r="C31" s="213"/>
      <c r="D31" s="213">
        <f>89.8981+79.6445</f>
        <v>169.54259999999999</v>
      </c>
    </row>
    <row r="32" spans="2:6">
      <c r="B32" s="60" t="s">
        <v>248</v>
      </c>
      <c r="C32"/>
      <c r="D32">
        <f>D28/D31</f>
        <v>58.982226295927987</v>
      </c>
    </row>
    <row r="33" spans="2:4">
      <c r="B33" s="60" t="s">
        <v>249</v>
      </c>
      <c r="C33"/>
      <c r="D33">
        <f>D29/D31</f>
        <v>106.16800733267037</v>
      </c>
    </row>
    <row r="34" spans="2:4">
      <c r="B34"/>
      <c r="C34"/>
    </row>
    <row r="35" spans="2:4">
      <c r="B35" s="60" t="s">
        <v>246</v>
      </c>
      <c r="C35"/>
      <c r="D35">
        <f>D32*'RESUMO CUSTOS '!C6</f>
        <v>0</v>
      </c>
    </row>
    <row r="36" spans="2:4">
      <c r="B36" s="60" t="s">
        <v>247</v>
      </c>
      <c r="C36"/>
      <c r="D36">
        <f>D33*'RESUMO CUSTOS '!C6</f>
        <v>0</v>
      </c>
    </row>
  </sheetData>
  <mergeCells count="4">
    <mergeCell ref="D2:E2"/>
    <mergeCell ref="D3:E3"/>
    <mergeCell ref="D22:E22"/>
    <mergeCell ref="D23:E23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0000"/>
    <pageSetUpPr fitToPage="1"/>
  </sheetPr>
  <dimension ref="A1:Z49"/>
  <sheetViews>
    <sheetView showGridLines="0" topLeftCell="A23" zoomScale="85" zoomScaleNormal="85" workbookViewId="0">
      <selection activeCell="B21" sqref="B21:C33"/>
    </sheetView>
  </sheetViews>
  <sheetFormatPr defaultColWidth="10.7109375" defaultRowHeight="20.100000000000001" customHeight="1"/>
  <cols>
    <col min="1" max="1" width="21.7109375" style="3" customWidth="1"/>
    <col min="2" max="2" width="20.42578125" style="3" customWidth="1"/>
    <col min="3" max="3" width="23.42578125" style="3" customWidth="1"/>
    <col min="4" max="4" width="20.28515625" style="3" customWidth="1"/>
    <col min="5" max="5" width="19.85546875" style="3" customWidth="1"/>
    <col min="6" max="8" width="18.7109375" style="3" customWidth="1"/>
    <col min="9" max="9" width="20.85546875" style="3" customWidth="1"/>
    <col min="10" max="10" width="18.7109375" style="3" customWidth="1"/>
    <col min="11" max="11" width="20.85546875" style="3" customWidth="1"/>
    <col min="12" max="12" width="24.5703125" style="3" customWidth="1"/>
    <col min="13" max="13" width="12.140625" style="3" bestFit="1" customWidth="1"/>
    <col min="14" max="14" width="15.28515625" style="3" bestFit="1" customWidth="1"/>
    <col min="15" max="15" width="14" style="3" bestFit="1" customWidth="1"/>
    <col min="16" max="16" width="14.42578125" style="3" bestFit="1" customWidth="1"/>
    <col min="17" max="23" width="15.28515625" style="3" bestFit="1" customWidth="1"/>
    <col min="24" max="26" width="12.140625" style="3" bestFit="1" customWidth="1"/>
    <col min="27" max="16384" width="10.7109375" style="3"/>
  </cols>
  <sheetData>
    <row r="1" spans="1:26" ht="20.100000000000001" customHeight="1">
      <c r="A1" s="445"/>
      <c r="B1" s="445"/>
      <c r="C1" s="447" t="s">
        <v>18</v>
      </c>
      <c r="D1" s="447"/>
      <c r="E1" s="447"/>
      <c r="F1" s="447"/>
      <c r="G1" s="447"/>
      <c r="H1" s="447"/>
      <c r="I1" s="447"/>
      <c r="J1" s="447"/>
      <c r="K1" s="447"/>
      <c r="L1" s="447"/>
    </row>
    <row r="2" spans="1:26" ht="20.100000000000001" customHeight="1">
      <c r="A2" s="445"/>
      <c r="B2" s="445"/>
      <c r="C2" s="447"/>
      <c r="D2" s="447"/>
      <c r="E2" s="447"/>
      <c r="F2" s="447"/>
      <c r="G2" s="447"/>
      <c r="H2" s="447"/>
      <c r="I2" s="447"/>
      <c r="J2" s="447"/>
      <c r="K2" s="447"/>
      <c r="L2" s="447"/>
    </row>
    <row r="3" spans="1:26" ht="20.100000000000001" customHeight="1">
      <c r="A3" s="445"/>
      <c r="B3" s="445"/>
      <c r="C3" s="447"/>
      <c r="D3" s="447"/>
      <c r="E3" s="447"/>
      <c r="F3" s="447"/>
      <c r="G3" s="447"/>
      <c r="H3" s="447"/>
      <c r="I3" s="447"/>
      <c r="J3" s="447"/>
      <c r="K3" s="447"/>
      <c r="L3" s="447"/>
    </row>
    <row r="4" spans="1:26" ht="20.100000000000001" customHeight="1">
      <c r="A4" s="446"/>
      <c r="B4" s="445"/>
      <c r="C4" s="447"/>
      <c r="D4" s="447"/>
      <c r="E4" s="447"/>
      <c r="F4" s="447"/>
      <c r="G4" s="447"/>
      <c r="H4" s="447"/>
      <c r="I4" s="447"/>
      <c r="J4" s="447"/>
      <c r="K4" s="447"/>
      <c r="L4" s="447"/>
    </row>
    <row r="5" spans="1:26" ht="20.100000000000001" customHeight="1">
      <c r="A5" s="10"/>
      <c r="B5" s="456" t="s">
        <v>19</v>
      </c>
      <c r="C5" s="457"/>
      <c r="D5" s="457"/>
      <c r="E5" s="457"/>
      <c r="F5" s="457"/>
      <c r="G5" s="457"/>
      <c r="H5" s="458"/>
      <c r="I5" s="11"/>
      <c r="J5" s="12"/>
      <c r="K5" s="12"/>
      <c r="L5" s="12"/>
    </row>
    <row r="6" spans="1:26" ht="20.100000000000001" customHeight="1">
      <c r="A6" s="13"/>
      <c r="B6" s="14" t="s">
        <v>20</v>
      </c>
      <c r="C6" s="15" t="s">
        <v>80</v>
      </c>
      <c r="D6" s="15" t="s">
        <v>81</v>
      </c>
      <c r="E6" s="15" t="s">
        <v>82</v>
      </c>
      <c r="F6" s="15" t="s">
        <v>83</v>
      </c>
      <c r="G6" s="15" t="s">
        <v>84</v>
      </c>
      <c r="H6" s="15" t="s">
        <v>85</v>
      </c>
      <c r="I6" s="16"/>
      <c r="J6" s="17"/>
      <c r="K6" s="17"/>
      <c r="L6" s="1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6" ht="20.100000000000001" customHeight="1">
      <c r="A7" s="18" t="s">
        <v>79</v>
      </c>
      <c r="B7" s="19" t="s">
        <v>21</v>
      </c>
      <c r="C7" s="20">
        <v>9150</v>
      </c>
      <c r="D7" s="20">
        <v>12250</v>
      </c>
      <c r="E7" s="20">
        <v>15400</v>
      </c>
      <c r="F7" s="20">
        <v>6420</v>
      </c>
      <c r="G7" s="20">
        <v>6420</v>
      </c>
      <c r="H7" s="20">
        <v>5100</v>
      </c>
      <c r="I7" s="21"/>
      <c r="J7" s="22"/>
      <c r="K7" s="22"/>
      <c r="L7" s="22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20.100000000000001" customHeight="1">
      <c r="A8" s="18" t="s">
        <v>78</v>
      </c>
      <c r="B8" s="19" t="s">
        <v>22</v>
      </c>
      <c r="C8" s="20">
        <f t="shared" ref="C8:H8" si="0">C7*1.86</f>
        <v>17019</v>
      </c>
      <c r="D8" s="20">
        <f t="shared" si="0"/>
        <v>22785</v>
      </c>
      <c r="E8" s="20">
        <f t="shared" si="0"/>
        <v>28644</v>
      </c>
      <c r="F8" s="20">
        <f t="shared" si="0"/>
        <v>11941.2</v>
      </c>
      <c r="G8" s="20">
        <f t="shared" si="0"/>
        <v>11941.2</v>
      </c>
      <c r="H8" s="20">
        <f t="shared" si="0"/>
        <v>9486</v>
      </c>
      <c r="I8" s="21"/>
      <c r="J8" s="22"/>
      <c r="K8" s="22"/>
      <c r="L8" s="22"/>
    </row>
    <row r="9" spans="1:26" ht="20.100000000000001" customHeight="1">
      <c r="A9" s="23" t="s">
        <v>89</v>
      </c>
      <c r="B9" s="19" t="s">
        <v>23</v>
      </c>
      <c r="C9" s="20">
        <f t="shared" ref="C9:H9" si="1">C8/220</f>
        <v>77.359090909090909</v>
      </c>
      <c r="D9" s="20">
        <f t="shared" si="1"/>
        <v>103.56818181818181</v>
      </c>
      <c r="E9" s="20">
        <f t="shared" si="1"/>
        <v>130.19999999999999</v>
      </c>
      <c r="F9" s="20">
        <f t="shared" si="1"/>
        <v>54.278181818181821</v>
      </c>
      <c r="G9" s="20">
        <f t="shared" si="1"/>
        <v>54.278181818181821</v>
      </c>
      <c r="H9" s="20">
        <f t="shared" si="1"/>
        <v>43.118181818181817</v>
      </c>
      <c r="I9" s="21"/>
      <c r="J9" s="22"/>
      <c r="K9" s="22"/>
      <c r="L9" s="22"/>
    </row>
    <row r="10" spans="1:26" ht="9.9499999999999993" customHeight="1">
      <c r="A10" s="24"/>
      <c r="B10" s="24"/>
      <c r="C10" s="24"/>
      <c r="D10" s="24"/>
      <c r="E10" s="24"/>
      <c r="F10" s="24"/>
      <c r="G10" s="24"/>
      <c r="H10" s="25"/>
      <c r="I10" s="24"/>
      <c r="J10" s="24"/>
      <c r="K10" s="24"/>
      <c r="L10" s="24"/>
    </row>
    <row r="11" spans="1:26" ht="20.100000000000001" customHeight="1">
      <c r="A11" s="443" t="s">
        <v>24</v>
      </c>
      <c r="B11" s="443"/>
      <c r="C11" s="443"/>
      <c r="D11" s="22"/>
      <c r="E11" s="443" t="s">
        <v>25</v>
      </c>
      <c r="F11" s="448" t="s">
        <v>64</v>
      </c>
      <c r="G11" s="448" t="s">
        <v>26</v>
      </c>
      <c r="H11" s="443" t="s">
        <v>16</v>
      </c>
      <c r="I11" s="24"/>
      <c r="J11" s="444"/>
      <c r="K11" s="444"/>
      <c r="L11" s="444"/>
    </row>
    <row r="12" spans="1:26" ht="20.100000000000001" customHeight="1">
      <c r="A12" s="15" t="s">
        <v>27</v>
      </c>
      <c r="B12" s="15" t="s">
        <v>28</v>
      </c>
      <c r="C12" s="15" t="s">
        <v>14</v>
      </c>
      <c r="D12" s="24"/>
      <c r="E12" s="443"/>
      <c r="F12" s="448"/>
      <c r="G12" s="448"/>
      <c r="H12" s="443"/>
      <c r="I12" s="24"/>
      <c r="J12" s="17"/>
      <c r="K12" s="17"/>
      <c r="L12" s="17"/>
    </row>
    <row r="13" spans="1:26" ht="20.100000000000001" customHeight="1">
      <c r="A13" s="26">
        <v>0</v>
      </c>
      <c r="B13" s="26">
        <v>0</v>
      </c>
      <c r="C13" s="26">
        <v>0</v>
      </c>
      <c r="D13" s="27"/>
      <c r="E13" s="26">
        <v>0.129</v>
      </c>
      <c r="F13" s="26">
        <v>0.08</v>
      </c>
      <c r="G13" s="20">
        <v>8.75</v>
      </c>
      <c r="H13" s="20">
        <v>22</v>
      </c>
      <c r="I13" s="24"/>
      <c r="J13" s="22"/>
      <c r="K13" s="22"/>
      <c r="L13" s="22"/>
    </row>
    <row r="14" spans="1:26" ht="9.9499999999999993" customHeight="1" thickBot="1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</row>
    <row r="15" spans="1:26" ht="20.100000000000001" customHeight="1">
      <c r="A15" s="443" t="s">
        <v>10</v>
      </c>
      <c r="B15" s="443"/>
      <c r="C15" s="443"/>
      <c r="D15" s="24"/>
      <c r="E15" s="460" t="s">
        <v>70</v>
      </c>
      <c r="F15" s="462" t="s">
        <v>71</v>
      </c>
      <c r="G15" s="458" t="s">
        <v>29</v>
      </c>
      <c r="H15" s="443"/>
      <c r="I15" s="443"/>
      <c r="J15" s="443"/>
      <c r="K15" s="443"/>
      <c r="L15" s="443"/>
    </row>
    <row r="16" spans="1:26" ht="20.100000000000001" customHeight="1">
      <c r="A16" s="28" t="s">
        <v>75</v>
      </c>
      <c r="B16" s="28" t="s">
        <v>76</v>
      </c>
      <c r="C16" s="28" t="s">
        <v>77</v>
      </c>
      <c r="D16" s="24"/>
      <c r="E16" s="461"/>
      <c r="F16" s="463"/>
      <c r="G16" s="14" t="s">
        <v>30</v>
      </c>
      <c r="H16" s="15" t="s">
        <v>31</v>
      </c>
      <c r="I16" s="15" t="s">
        <v>32</v>
      </c>
      <c r="J16" s="15" t="s">
        <v>33</v>
      </c>
      <c r="K16" s="15" t="s">
        <v>34</v>
      </c>
      <c r="L16" s="15" t="s">
        <v>62</v>
      </c>
    </row>
    <row r="17" spans="1:14" ht="20.100000000000001" customHeight="1" thickBot="1">
      <c r="A17" s="20">
        <v>88.78</v>
      </c>
      <c r="B17" s="20">
        <v>155.38</v>
      </c>
      <c r="C17" s="20">
        <v>233.94</v>
      </c>
      <c r="D17" s="24"/>
      <c r="E17" s="29">
        <v>0.69</v>
      </c>
      <c r="F17" s="30" t="e">
        <f>L42</f>
        <v>#DIV/0!</v>
      </c>
      <c r="G17" s="31">
        <v>1.36</v>
      </c>
      <c r="H17" s="20">
        <v>125</v>
      </c>
      <c r="I17" s="20">
        <v>175</v>
      </c>
      <c r="J17" s="20">
        <v>1</v>
      </c>
      <c r="K17" s="20">
        <v>25</v>
      </c>
      <c r="L17" s="20">
        <v>500</v>
      </c>
    </row>
    <row r="18" spans="1:14" ht="9.9499999999999993" customHeight="1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</row>
    <row r="19" spans="1:14" ht="20.100000000000001" customHeight="1">
      <c r="A19" s="443" t="s">
        <v>35</v>
      </c>
      <c r="B19" s="443"/>
      <c r="C19" s="443"/>
      <c r="D19" s="443"/>
      <c r="E19" s="443"/>
      <c r="F19" s="24"/>
      <c r="G19" s="444"/>
      <c r="H19" s="444"/>
      <c r="I19" s="444"/>
      <c r="J19" s="444"/>
      <c r="K19" s="444"/>
      <c r="L19" s="444"/>
    </row>
    <row r="20" spans="1:14" ht="20.100000000000001" customHeight="1">
      <c r="A20" s="15" t="s">
        <v>20</v>
      </c>
      <c r="B20" s="15" t="s">
        <v>11</v>
      </c>
      <c r="C20" s="15" t="s">
        <v>11</v>
      </c>
      <c r="D20" s="15" t="s">
        <v>11</v>
      </c>
      <c r="E20" s="15" t="s">
        <v>11</v>
      </c>
      <c r="F20" s="24"/>
      <c r="G20" s="17"/>
      <c r="H20" s="17"/>
      <c r="I20" s="17"/>
      <c r="J20" s="17"/>
      <c r="K20" s="17"/>
      <c r="L20" s="444"/>
    </row>
    <row r="21" spans="1:14" ht="20.100000000000001" customHeight="1">
      <c r="A21" s="15" t="s">
        <v>80</v>
      </c>
      <c r="B21" s="32"/>
      <c r="C21" s="32"/>
      <c r="D21" s="32"/>
      <c r="E21" s="32"/>
      <c r="F21" s="24"/>
      <c r="G21" s="24"/>
      <c r="H21" s="22"/>
      <c r="I21" s="22"/>
      <c r="J21" s="22"/>
      <c r="K21" s="22"/>
      <c r="L21" s="24"/>
      <c r="N21" s="4"/>
    </row>
    <row r="22" spans="1:14" ht="20.100000000000001" customHeight="1">
      <c r="A22" s="15" t="s">
        <v>81</v>
      </c>
      <c r="B22" s="32"/>
      <c r="C22" s="32"/>
      <c r="D22" s="32"/>
      <c r="E22" s="32"/>
      <c r="F22" s="24"/>
      <c r="G22" s="24"/>
      <c r="H22" s="22"/>
      <c r="I22" s="22"/>
      <c r="J22" s="22"/>
      <c r="K22" s="22"/>
      <c r="L22" s="24"/>
      <c r="N22" s="4"/>
    </row>
    <row r="23" spans="1:14" ht="20.100000000000001" customHeight="1">
      <c r="A23" s="15" t="s">
        <v>82</v>
      </c>
      <c r="B23" s="32"/>
      <c r="C23" s="32"/>
      <c r="D23" s="32"/>
      <c r="E23" s="32"/>
      <c r="F23" s="24"/>
      <c r="G23" s="24"/>
      <c r="H23" s="22"/>
      <c r="I23" s="22"/>
      <c r="J23" s="22"/>
      <c r="K23" s="22"/>
      <c r="L23" s="24"/>
    </row>
    <row r="24" spans="1:14" ht="20.100000000000001" customHeight="1">
      <c r="A24" s="15" t="s">
        <v>83</v>
      </c>
      <c r="B24" s="32"/>
      <c r="C24" s="32"/>
      <c r="D24" s="32"/>
      <c r="E24" s="32"/>
      <c r="F24" s="24"/>
      <c r="G24" s="24"/>
      <c r="H24" s="24"/>
      <c r="I24" s="24"/>
      <c r="J24" s="24"/>
      <c r="K24" s="24"/>
      <c r="L24" s="24"/>
    </row>
    <row r="25" spans="1:14" ht="20.100000000000001" customHeight="1">
      <c r="A25" s="15" t="s">
        <v>84</v>
      </c>
      <c r="B25" s="32"/>
      <c r="C25" s="32"/>
      <c r="D25" s="32"/>
      <c r="E25" s="32"/>
      <c r="F25" s="24"/>
      <c r="G25" s="443" t="s">
        <v>36</v>
      </c>
      <c r="H25" s="443"/>
      <c r="I25" s="443"/>
      <c r="J25" s="443"/>
      <c r="K25" s="443"/>
      <c r="L25" s="443"/>
    </row>
    <row r="26" spans="1:14" ht="20.100000000000001" customHeight="1">
      <c r="A26" s="15" t="s">
        <v>88</v>
      </c>
      <c r="B26" s="32"/>
      <c r="C26" s="32"/>
      <c r="D26" s="32"/>
      <c r="E26" s="32"/>
      <c r="F26" s="24"/>
      <c r="G26" s="33" t="s">
        <v>37</v>
      </c>
      <c r="H26" s="34" t="b">
        <v>0</v>
      </c>
      <c r="I26" s="34" t="b">
        <v>0</v>
      </c>
      <c r="J26" s="34" t="b">
        <v>0</v>
      </c>
      <c r="K26" s="34" t="b">
        <v>0</v>
      </c>
      <c r="L26" s="34" t="b">
        <v>0</v>
      </c>
    </row>
    <row r="27" spans="1:14" ht="20.100000000000001" customHeight="1">
      <c r="A27" s="33"/>
      <c r="B27" s="32"/>
      <c r="C27" s="32"/>
      <c r="D27" s="32"/>
      <c r="E27" s="32"/>
      <c r="F27" s="24"/>
      <c r="G27" s="33" t="s">
        <v>38</v>
      </c>
      <c r="H27" s="32">
        <v>0</v>
      </c>
      <c r="I27" s="35">
        <v>0</v>
      </c>
      <c r="J27" s="35">
        <v>0</v>
      </c>
      <c r="K27" s="35">
        <v>0</v>
      </c>
      <c r="L27" s="35">
        <v>0</v>
      </c>
    </row>
    <row r="28" spans="1:14" ht="20.100000000000001" customHeight="1">
      <c r="A28" s="33"/>
      <c r="B28" s="32"/>
      <c r="C28" s="32"/>
      <c r="D28" s="32"/>
      <c r="E28" s="32"/>
      <c r="F28" s="24"/>
      <c r="G28" s="33" t="s">
        <v>39</v>
      </c>
      <c r="H28" s="36">
        <f>H27/70</f>
        <v>0</v>
      </c>
      <c r="I28" s="459"/>
      <c r="J28" s="459"/>
      <c r="K28" s="37"/>
      <c r="L28" s="37"/>
    </row>
    <row r="29" spans="1:14" ht="20.100000000000001" customHeight="1">
      <c r="A29" s="33"/>
      <c r="B29" s="32"/>
      <c r="C29" s="32"/>
      <c r="D29" s="32"/>
      <c r="E29" s="32"/>
      <c r="F29" s="24"/>
      <c r="G29" s="24"/>
      <c r="H29" s="24"/>
      <c r="I29" s="24"/>
      <c r="J29" s="448" t="s">
        <v>42</v>
      </c>
      <c r="K29" s="448" t="s">
        <v>43</v>
      </c>
      <c r="L29" s="448" t="s">
        <v>67</v>
      </c>
    </row>
    <row r="30" spans="1:14" ht="20.100000000000001" customHeight="1">
      <c r="A30" s="33"/>
      <c r="B30" s="32"/>
      <c r="C30" s="32"/>
      <c r="D30" s="32"/>
      <c r="E30" s="32"/>
      <c r="F30" s="24"/>
      <c r="G30" s="448" t="s">
        <v>40</v>
      </c>
      <c r="H30" s="448" t="s">
        <v>41</v>
      </c>
      <c r="I30" s="448" t="s">
        <v>44</v>
      </c>
      <c r="J30" s="448"/>
      <c r="K30" s="448"/>
      <c r="L30" s="448"/>
    </row>
    <row r="31" spans="1:14" ht="20.100000000000001" customHeight="1">
      <c r="A31" s="15" t="s">
        <v>45</v>
      </c>
      <c r="B31" s="32"/>
      <c r="C31" s="32"/>
      <c r="D31" s="32"/>
      <c r="E31" s="32"/>
      <c r="F31" s="24"/>
      <c r="G31" s="448"/>
      <c r="H31" s="448"/>
      <c r="I31" s="448"/>
      <c r="J31" s="38">
        <v>0</v>
      </c>
      <c r="K31" s="38">
        <v>0</v>
      </c>
      <c r="L31" s="39">
        <f>SUM(F36:I36)+L36+H39</f>
        <v>0</v>
      </c>
    </row>
    <row r="32" spans="1:14" ht="20.100000000000001" customHeight="1">
      <c r="A32" s="15" t="s">
        <v>15</v>
      </c>
      <c r="B32" s="32"/>
      <c r="C32" s="32"/>
      <c r="D32" s="32"/>
      <c r="E32" s="32"/>
      <c r="F32" s="24"/>
      <c r="G32" s="20">
        <v>125</v>
      </c>
      <c r="H32" s="40" t="b">
        <v>0</v>
      </c>
      <c r="I32" s="41" t="b">
        <v>0</v>
      </c>
      <c r="J32" s="42">
        <v>0.3</v>
      </c>
      <c r="K32" s="42">
        <v>0.3</v>
      </c>
      <c r="L32" s="42">
        <v>0.3</v>
      </c>
    </row>
    <row r="33" spans="1:13" ht="9.9499999999999993" customHeight="1">
      <c r="A33" s="24"/>
      <c r="B33" s="22"/>
      <c r="C33" s="22"/>
      <c r="D33" s="22"/>
      <c r="E33" s="22"/>
      <c r="F33" s="24"/>
      <c r="G33" s="24"/>
      <c r="H33" s="24"/>
      <c r="I33" s="24"/>
      <c r="J33" s="24"/>
      <c r="K33" s="24"/>
      <c r="L33" s="24"/>
    </row>
    <row r="34" spans="1:13" ht="20.100000000000001" customHeight="1">
      <c r="A34" s="443" t="s">
        <v>46</v>
      </c>
      <c r="B34" s="443"/>
      <c r="C34" s="443"/>
      <c r="D34" s="443"/>
      <c r="E34" s="443"/>
      <c r="F34" s="443"/>
      <c r="G34" s="443"/>
      <c r="H34" s="443"/>
      <c r="I34" s="443"/>
      <c r="J34" s="443"/>
      <c r="K34" s="443"/>
      <c r="L34" s="443"/>
    </row>
    <row r="35" spans="1:13" ht="20.100000000000001" customHeight="1">
      <c r="A35" s="15" t="s">
        <v>20</v>
      </c>
      <c r="B35" s="15" t="s">
        <v>47</v>
      </c>
      <c r="C35" s="15" t="s">
        <v>48</v>
      </c>
      <c r="D35" s="15" t="s">
        <v>49</v>
      </c>
      <c r="E35" s="15" t="s">
        <v>50</v>
      </c>
      <c r="F35" s="15" t="s">
        <v>51</v>
      </c>
      <c r="G35" s="15" t="s">
        <v>52</v>
      </c>
      <c r="H35" s="15" t="s">
        <v>53</v>
      </c>
      <c r="I35" s="15" t="s">
        <v>54</v>
      </c>
      <c r="J35" s="15" t="s">
        <v>42</v>
      </c>
      <c r="K35" s="15" t="s">
        <v>43</v>
      </c>
      <c r="L35" s="15" t="s">
        <v>10</v>
      </c>
    </row>
    <row r="36" spans="1:13" ht="20.100000000000001" customHeight="1">
      <c r="A36" s="43" t="s">
        <v>1</v>
      </c>
      <c r="B36" s="20">
        <f>SUM(B37:B46)</f>
        <v>0</v>
      </c>
      <c r="C36" s="20">
        <f>SUM(C37:C46)</f>
        <v>0</v>
      </c>
      <c r="D36" s="20">
        <f>SUM(D37:D46)</f>
        <v>0</v>
      </c>
      <c r="E36" s="20">
        <f>SUM(E37:E46)</f>
        <v>0</v>
      </c>
      <c r="F36" s="20">
        <f>F38+F40+F42+F44+F46</f>
        <v>0</v>
      </c>
      <c r="G36" s="20">
        <f>IF(H32=FALSE,0,((B32*SUM(B21:B30))+(C32*SUM(C21:C30))+(D32*SUM(D21:D30))+(E32*SUM(E21:E30)))*G32)</f>
        <v>0</v>
      </c>
      <c r="H36" s="20">
        <f>IF(H32=FALSE,(B32*SUM(B21:B30)*H13)+(C32*SUM(C21:C30)*H13)+(D32*SUM(D21:D30)*H13)+(E32*SUM(E21:E30)*H13),((B32*SUM(B21:B30)*H13)+(C32*SUM(C21:C30)*H13)+(D32*SUM(D21:D30)*H13)+(E32*SUM(E21:E30)*H13))*2)</f>
        <v>0</v>
      </c>
      <c r="I36" s="20">
        <f>((L21*H21)+(L22*H22)+(L23*H23))</f>
        <v>0</v>
      </c>
      <c r="J36" s="20">
        <f>J31</f>
        <v>0</v>
      </c>
      <c r="K36" s="20">
        <f>K31</f>
        <v>0</v>
      </c>
      <c r="L36" s="20">
        <f>IF(I32=FALSE,0,C17)*3</f>
        <v>0</v>
      </c>
    </row>
    <row r="37" spans="1:13" ht="20.100000000000001" customHeight="1" thickBot="1">
      <c r="A37" s="15" t="s">
        <v>80</v>
      </c>
      <c r="B37" s="20">
        <f>(B32*B21*$C$9*$G$13)+(B31*B21*$C$9)</f>
        <v>0</v>
      </c>
      <c r="C37" s="20">
        <f>((C32*C21*$C$9*$G$13)+(C31*C21*$C$9))*(1+$A$13)</f>
        <v>0</v>
      </c>
      <c r="D37" s="20">
        <f>((D32*D21*$C$9*$G$13)+(D31*D21*$C$9))*(1+$B$13)</f>
        <v>0</v>
      </c>
      <c r="E37" s="20">
        <f>((E32*E21*$C$9*$G$13)+(E31*E21*$C$9))*(1+$C$13)</f>
        <v>0</v>
      </c>
      <c r="F37" s="15" t="s">
        <v>55</v>
      </c>
      <c r="G37" s="22"/>
      <c r="H37" s="24"/>
      <c r="I37" s="24"/>
      <c r="J37" s="24"/>
      <c r="K37" s="24"/>
      <c r="L37" s="24"/>
    </row>
    <row r="38" spans="1:13" ht="20.100000000000001" customHeight="1">
      <c r="A38" s="15" t="s">
        <v>81</v>
      </c>
      <c r="B38" s="20">
        <f>(B32*B22*$D$9*$G$13)+(B31*B22*$D$9)</f>
        <v>0</v>
      </c>
      <c r="C38" s="20">
        <f>((C32*C22*$D$9*$G$13)+(C31*C22*$D$9))*(1+$A$13)</f>
        <v>0</v>
      </c>
      <c r="D38" s="20">
        <f>((D32*D22*$D$9*$G$13)+(D31*D22*$D$9))*(1+$B$13)</f>
        <v>0</v>
      </c>
      <c r="E38" s="20">
        <f>((E32*E22*$D$9*$G$13)+(E31*E22*$D$9))*(1+$C$13)</f>
        <v>0</v>
      </c>
      <c r="F38" s="20">
        <f>IF(H26=FALSE,0,(IF(SUM(B32:E32)=0,H27*G17*COUNTIF(B31:E31,"&gt;0"),IF(H32=TRUE,H27*G17,H27*G17*SUM(B32:E32)))))</f>
        <v>0</v>
      </c>
      <c r="G38" s="24"/>
      <c r="H38" s="15" t="s">
        <v>56</v>
      </c>
      <c r="I38" s="44" t="s">
        <v>68</v>
      </c>
      <c r="J38" s="44" t="s">
        <v>69</v>
      </c>
      <c r="K38" s="45" t="s">
        <v>57</v>
      </c>
      <c r="L38" s="46" t="s">
        <v>58</v>
      </c>
    </row>
    <row r="39" spans="1:13" ht="20.100000000000001" customHeight="1" thickBot="1">
      <c r="A39" s="15" t="s">
        <v>82</v>
      </c>
      <c r="B39" s="20">
        <f>(B32*B23*$E$9*$G$13)+(B31*B23*$E$9)</f>
        <v>0</v>
      </c>
      <c r="C39" s="20">
        <f>((C32*C23*$E$9*$G$13)+(C31*C23*$E$9))*(1+$A$13)</f>
        <v>0</v>
      </c>
      <c r="D39" s="20">
        <f>((D32*D23*$E$9*$G$13)+(D31*D23*$E$9))*(1+$B$13)</f>
        <v>0</v>
      </c>
      <c r="E39" s="20">
        <f>((E32*E23*$E$9*$G$13)+(E31*E23*$E$9))*(1+$C$13)</f>
        <v>0</v>
      </c>
      <c r="F39" s="15" t="s">
        <v>59</v>
      </c>
      <c r="G39" s="22"/>
      <c r="H39" s="20">
        <f>SUM(B36:L36)*F13</f>
        <v>0</v>
      </c>
      <c r="I39" s="47">
        <f>SUM(B36:E36)</f>
        <v>0</v>
      </c>
      <c r="J39" s="47">
        <f>SUM(F36:L36)+H39</f>
        <v>0</v>
      </c>
      <c r="K39" s="48">
        <f>SUM(I39:J39)</f>
        <v>0</v>
      </c>
      <c r="L39" s="49">
        <f>(I39*(1+E17))+(J36*(1+J32))+(K36*(1+K32))+(L31*(1+L32))</f>
        <v>0</v>
      </c>
      <c r="M39" s="8"/>
    </row>
    <row r="40" spans="1:13" ht="20.100000000000001" customHeight="1" thickBot="1">
      <c r="A40" s="15" t="s">
        <v>83</v>
      </c>
      <c r="B40" s="20">
        <f>(B32*B24*$F$9*$G$13)+(B31*B24*$F$9)</f>
        <v>0</v>
      </c>
      <c r="C40" s="20">
        <f>((C32*C24*$F$9*$G$13)+(C31*C24*$F$9))*(1+$A$13)</f>
        <v>0</v>
      </c>
      <c r="D40" s="20">
        <f>((D32*D24*$F$9*$G$13)+(D31*D24*$F$9))*(1+$B$13)</f>
        <v>0</v>
      </c>
      <c r="E40" s="20">
        <f>((E32*E24*$F$9*$G$13)+(E31*E24*$F$9))*(1+$C$13)</f>
        <v>0</v>
      </c>
      <c r="F40" s="20">
        <f>IF(I26=FALSE,0,((SUM(B32:E32)*H17)+(SUM(B32:E32)*I27*J17)))+IF(J26=FALSE,0,((SUM(B32:E32)*I17)+(SUM(B32:E32)*J27*J17)))</f>
        <v>0</v>
      </c>
      <c r="G40" s="22"/>
      <c r="H40" s="22"/>
      <c r="I40" s="22"/>
      <c r="J40" s="22"/>
      <c r="K40" s="22"/>
      <c r="L40" s="22"/>
    </row>
    <row r="41" spans="1:13" ht="20.100000000000001" customHeight="1">
      <c r="A41" s="15" t="s">
        <v>84</v>
      </c>
      <c r="B41" s="20">
        <f>(B32*B25*$G$9*$G$13)+(B31*B25*$G$9)</f>
        <v>0</v>
      </c>
      <c r="C41" s="20">
        <f>((C32*C25*$G$9*$G$13)+(C31*C25*$G$9))*(1+$A$13)</f>
        <v>0</v>
      </c>
      <c r="D41" s="20">
        <f>((D32*D25*$G$9*$G$13)+(D31*D25*$G$9))*(1+$B$13)</f>
        <v>0</v>
      </c>
      <c r="E41" s="20">
        <f>((E32*E25*$G$9*$G$13)+(E31*E25*$G$9))*(1+$C$13)</f>
        <v>0</v>
      </c>
      <c r="F41" s="15" t="s">
        <v>60</v>
      </c>
      <c r="G41" s="24"/>
      <c r="H41" s="50" t="s">
        <v>8</v>
      </c>
      <c r="I41" s="51" t="s">
        <v>9</v>
      </c>
      <c r="J41" s="50" t="s">
        <v>4</v>
      </c>
      <c r="K41" s="52" t="s">
        <v>65</v>
      </c>
      <c r="L41" s="51" t="s">
        <v>66</v>
      </c>
    </row>
    <row r="42" spans="1:13" ht="20.100000000000001" customHeight="1" thickBot="1">
      <c r="A42" s="15" t="s">
        <v>85</v>
      </c>
      <c r="B42" s="20">
        <f>(B32*B26*$H$9*$G$13)+(B31*B26*$H$9)</f>
        <v>0</v>
      </c>
      <c r="C42" s="20">
        <f>((C32*C26*$H$9*$G$13)+(C31*C26*$H$9))*(1+$A$13)</f>
        <v>0</v>
      </c>
      <c r="D42" s="20">
        <f>((D32*D26*$H$9*$G$13)+(D31*D26*$H$9))*(1+$B$13)</f>
        <v>0</v>
      </c>
      <c r="E42" s="20">
        <f>((E32*E26*$H$9*$G$13)+(E31*E26*$H$9))*(1+$C$13)</f>
        <v>0</v>
      </c>
      <c r="F42" s="20">
        <f>IF(K26=FALSE,0,K27*K17)</f>
        <v>0</v>
      </c>
      <c r="G42" s="24"/>
      <c r="H42" s="53">
        <f>L39*E13</f>
        <v>0</v>
      </c>
      <c r="I42" s="54">
        <f>L39-H42-K39</f>
        <v>0</v>
      </c>
      <c r="J42" s="55" t="e">
        <f>H42/L39</f>
        <v>#DIV/0!</v>
      </c>
      <c r="K42" s="56" t="e">
        <f>I42/K39</f>
        <v>#DIV/0!</v>
      </c>
      <c r="L42" s="57" t="e">
        <f>I42/L39</f>
        <v>#DIV/0!</v>
      </c>
    </row>
    <row r="43" spans="1:13" ht="20.100000000000001" customHeight="1">
      <c r="A43" s="33"/>
      <c r="B43" s="20">
        <f>(B32*B27*$I$9*$G$13)+(B31*B27*$I$9)</f>
        <v>0</v>
      </c>
      <c r="C43" s="20">
        <f>((C32*C27*$I$9*$G$13)+(C31*C27*$I$9))*(1+$A$13)</f>
        <v>0</v>
      </c>
      <c r="D43" s="20">
        <f>((D32*D27*$I$9*$G$13)+(D31*D27*$I$9))*(1+$B$13)</f>
        <v>0</v>
      </c>
      <c r="E43" s="20">
        <f>((E32*E27*$I$9*$G$13)+(E31*E27*$I$9))*(1+$C$13)</f>
        <v>0</v>
      </c>
      <c r="F43" s="15" t="s">
        <v>62</v>
      </c>
      <c r="G43" s="12"/>
      <c r="H43" s="24"/>
      <c r="I43" s="24"/>
      <c r="J43" s="24"/>
      <c r="K43" s="24"/>
      <c r="L43" s="24"/>
    </row>
    <row r="44" spans="1:13" ht="20.100000000000001" customHeight="1">
      <c r="A44" s="33"/>
      <c r="B44" s="20">
        <f>(B32*B28*$J$9*$G$13)+(B31*B28*$J$9)</f>
        <v>0</v>
      </c>
      <c r="C44" s="20">
        <f>((C32*C28*$J$9*$G$13)+(C31*C28*$J$9))*(1+$A$13)</f>
        <v>0</v>
      </c>
      <c r="D44" s="20">
        <f>((D32*D28*$J$9*$G$13)+(D31*D28*$J$9))*(1+$B$13)</f>
        <v>0</v>
      </c>
      <c r="E44" s="20">
        <f>((E32*E28*$J$9*$G$13)+(E31*E28*$J$9))*(1+$C$13)</f>
        <v>0</v>
      </c>
      <c r="F44" s="20">
        <f>IF(L26=FALSE,0,MAX(SUM(B21:B30),SUM(C21:C30),SUM(D21:D30),SUM(E21:E30))*(L27*2)*L17)</f>
        <v>0</v>
      </c>
      <c r="G44" s="24"/>
      <c r="H44" s="449" t="s">
        <v>61</v>
      </c>
      <c r="I44" s="449"/>
      <c r="J44" s="449"/>
      <c r="K44" s="449"/>
      <c r="L44" s="449"/>
    </row>
    <row r="45" spans="1:13" s="5" customFormat="1" ht="20.100000000000001" customHeight="1">
      <c r="A45" s="33"/>
      <c r="B45" s="20">
        <f>(B32*B29*$K$9*$G$13)+(B31*B29*$K$9)</f>
        <v>0</v>
      </c>
      <c r="C45" s="20">
        <f>((C32*C29*$K$9*$G$13)+(C31*C29*$K$9))*(1+$A$13)</f>
        <v>0</v>
      </c>
      <c r="D45" s="20">
        <f>((D32*D29*$K$9*$G$13)+(D31*D29*$K$9))*(1+$B$13)</f>
        <v>0</v>
      </c>
      <c r="E45" s="20">
        <f>((E32*E29*$K$9*$G$13)+(E31*E29*$K$9))*(1+$C$13)</f>
        <v>0</v>
      </c>
      <c r="F45" s="15" t="s">
        <v>63</v>
      </c>
      <c r="G45" s="24"/>
      <c r="H45" s="450"/>
      <c r="I45" s="451"/>
      <c r="J45" s="451"/>
      <c r="K45" s="451"/>
      <c r="L45" s="452"/>
    </row>
    <row r="46" spans="1:13" ht="20.100000000000001" customHeight="1">
      <c r="A46" s="33"/>
      <c r="B46" s="20">
        <f>(B32*B30*$L$9*$G$13)+(B31*B30*$L$9)</f>
        <v>0</v>
      </c>
      <c r="C46" s="20">
        <f>((C32*C30*$L$9*$G$13)+(C31*C30*$L$9))*(1+$A$13)</f>
        <v>0</v>
      </c>
      <c r="D46" s="20">
        <f>((D32*D30*$L$9*$G$13)+(D31*D30*$L$9))*(1+$B$13)</f>
        <v>0</v>
      </c>
      <c r="E46" s="20">
        <f>((E32*E30*$L$9*$G$13)+(E31*E30*$L$9))*(1+$C$13)</f>
        <v>0</v>
      </c>
      <c r="F46" s="20">
        <f>IF(H32=FALSE,(((B32*B21*$C$9)+(B32*B22*$D$9)+(B32*B23*$E$9)+(B32*B24*$F$9)+(B32*B25*$G$9)+(B32*B26*$H$9)+(B32*B27*$I$9)+(B32*B28*$J$9)+(B32*B29*$K$9)+(B32*B30*$L$9))*$H$28*(1+$A$13))+(((C32*C21*$C$9)+(C32*C22*$D$9)+(C32*C23*$E$9)+(C32*C24*$F$9)+(C32*C25*$G$9)+(C32*C26*$H$9)+(C32*C27*$I$9)+(C32*C28*$J$9)+(C32*C29*$K$9)+(C32*C30*$L$9))*$H$28*(1+$A$13))+(((D32*D21*$C$9)+(D32*D22*$D$9)+(D32*D23*$E$9)+(D32*D24*$F$9)+(D32*D25*$G$9)+(D32*D26*$H$9)+(D32*D27*$I$9)+(D32*D28*$J$9)+(D32*D29*$K$9)+(D32*D30*$L$9))*$H$28*(1+$B$13))+(((E32*E21*$C$9)+(E32*E22*$D$9)+(E32*E23*$E$9)+(E32*E24*$F$9)+(E32*E25*$G$9)+(E32*E26*$H$9)+(E32*E27*$I$9)+(E32*E28*$J$9)+(E32*E29*$K$9)+(E32*E30*$L$9))*$H$28*(1+$C$13)*(1+$A$13)),((((B32*B21*$C$9)+(B32*B22*$D$9)+(B32*B23*$E$9)+(B32*B24*$F$9)+(B32*B25*$G$9)+(B32*B26*$H$9)+(B32*B27*$I$9)+(B32*B28*$J$9)+(B32*B29*$K$9)+(B32*B30*$L$9))*$H$28*(1+$A$13))+(((C32*C21*$C$9)+(C32*C22*$D$9)+(C32*C23*$E$9)+(C32*C24*$F$9)+(C32*C25*$G$9)+(C32*C26*$H$9)+(C32*C27*$I$9)+(C32*C28*$J$9)+(C32*C29*$K$9)+(C32*C30*$L$9))*$H$28*(1+$A$13))+(((D32*D21*$C$9)+(D32*D22*$D$9)+(D32*D23*$E$9)+(D32*D24*$F$9)+(D32*D25*$G$9)+(D32*D26*$H$9)+(D32*D27*$I$9)+(D32*D28*$J$9)+(D32*D29*$K$9)+(D32*D30*$L$9))*$H$28*(1+$B$13))+(((E32*E21*$C$9)+(E32*E22*$D$9)+(E32*E23*$E$9)+(E32*E24*$F$9)+(E32*E25*$G$9)+(E32*E26*$H$9)+(E32*E27*$I$9)+(E32*E28*$J$9)+(E32*E29*$K$9)+(E32*E30*$L$9))*$H$28*(1+$C$13)*(1+$A$13)))/SUM(B32:E32))</f>
        <v>0</v>
      </c>
      <c r="G46" s="24"/>
      <c r="H46" s="453"/>
      <c r="I46" s="454"/>
      <c r="J46" s="454"/>
      <c r="K46" s="454"/>
      <c r="L46" s="455"/>
    </row>
    <row r="49" spans="8:12" ht="20.100000000000001" customHeight="1">
      <c r="H49" s="6"/>
      <c r="I49" s="6"/>
      <c r="J49" s="6"/>
      <c r="K49" s="6"/>
      <c r="L49" s="9"/>
    </row>
  </sheetData>
  <mergeCells count="27">
    <mergeCell ref="A34:L34"/>
    <mergeCell ref="H44:L44"/>
    <mergeCell ref="H45:L46"/>
    <mergeCell ref="B5:H5"/>
    <mergeCell ref="G25:L25"/>
    <mergeCell ref="I28:J28"/>
    <mergeCell ref="J29:J30"/>
    <mergeCell ref="K29:K30"/>
    <mergeCell ref="L29:L30"/>
    <mergeCell ref="G30:G31"/>
    <mergeCell ref="H30:H31"/>
    <mergeCell ref="I30:I31"/>
    <mergeCell ref="A15:C15"/>
    <mergeCell ref="E15:E16"/>
    <mergeCell ref="F15:F16"/>
    <mergeCell ref="G15:L15"/>
    <mergeCell ref="A19:E19"/>
    <mergeCell ref="G19:K19"/>
    <mergeCell ref="L19:L20"/>
    <mergeCell ref="A1:B4"/>
    <mergeCell ref="C1:L4"/>
    <mergeCell ref="A11:C11"/>
    <mergeCell ref="E11:E12"/>
    <mergeCell ref="F11:F12"/>
    <mergeCell ref="G11:G12"/>
    <mergeCell ref="H11:H12"/>
    <mergeCell ref="J11:L11"/>
  </mergeCells>
  <conditionalFormatting sqref="F17">
    <cfRule type="cellIs" dxfId="5" priority="1" operator="greaterThan">
      <formula>0.25</formula>
    </cfRule>
    <cfRule type="cellIs" dxfId="4" priority="2" operator="lessThan">
      <formula>0.25</formula>
    </cfRule>
    <cfRule type="cellIs" dxfId="3" priority="3" operator="lessThan">
      <formula>25</formula>
    </cfRule>
  </conditionalFormatting>
  <printOptions horizontalCentered="1" verticalCentered="1"/>
  <pageMargins left="0.19685039370078741" right="0.19685039370078741" top="0.19685039370078741" bottom="0.19685039370078741" header="0.19685039370078741" footer="0.19685039370078741"/>
  <pageSetup paperSize="9" scale="63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7649" r:id="rId4" name="Check Box 1">
              <controlPr defaultSize="0" autoFill="0" autoLine="0" autoPict="0">
                <anchor moveWithCells="1">
                  <from>
                    <xdr:col>7</xdr:col>
                    <xdr:colOff>504825</xdr:colOff>
                    <xdr:row>31</xdr:row>
                    <xdr:rowOff>0</xdr:rowOff>
                  </from>
                  <to>
                    <xdr:col>7</xdr:col>
                    <xdr:colOff>809625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50" r:id="rId5" name="Check Box 2">
              <controlPr defaultSize="0" autoFill="0" autoLine="0" autoPict="0">
                <anchor moveWithCells="1">
                  <from>
                    <xdr:col>7</xdr:col>
                    <xdr:colOff>9525</xdr:colOff>
                    <xdr:row>25</xdr:row>
                    <xdr:rowOff>0</xdr:rowOff>
                  </from>
                  <to>
                    <xdr:col>7</xdr:col>
                    <xdr:colOff>1181100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51" r:id="rId6" name="Check Box 3">
              <controlPr defaultSize="0" autoFill="0" autoLine="0" autoPict="0">
                <anchor moveWithCells="1">
                  <from>
                    <xdr:col>8</xdr:col>
                    <xdr:colOff>9525</xdr:colOff>
                    <xdr:row>25</xdr:row>
                    <xdr:rowOff>0</xdr:rowOff>
                  </from>
                  <to>
                    <xdr:col>8</xdr:col>
                    <xdr:colOff>1181100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52" r:id="rId7" name="Check Box 4">
              <controlPr defaultSize="0" autoFill="0" autoLine="0" autoPict="0">
                <anchor moveWithCells="1">
                  <from>
                    <xdr:col>9</xdr:col>
                    <xdr:colOff>9525</xdr:colOff>
                    <xdr:row>25</xdr:row>
                    <xdr:rowOff>0</xdr:rowOff>
                  </from>
                  <to>
                    <xdr:col>9</xdr:col>
                    <xdr:colOff>1181100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53" r:id="rId8" name="Check Box 5">
              <controlPr defaultSize="0" autoFill="0" autoLine="0" autoPict="0">
                <anchor moveWithCells="1">
                  <from>
                    <xdr:col>10</xdr:col>
                    <xdr:colOff>9525</xdr:colOff>
                    <xdr:row>25</xdr:row>
                    <xdr:rowOff>0</xdr:rowOff>
                  </from>
                  <to>
                    <xdr:col>10</xdr:col>
                    <xdr:colOff>1181100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54" r:id="rId9" name="Check Box 6">
              <controlPr defaultSize="0" autoFill="0" autoLine="0" autoPict="0">
                <anchor moveWithCells="1">
                  <from>
                    <xdr:col>11</xdr:col>
                    <xdr:colOff>9525</xdr:colOff>
                    <xdr:row>25</xdr:row>
                    <xdr:rowOff>0</xdr:rowOff>
                  </from>
                  <to>
                    <xdr:col>11</xdr:col>
                    <xdr:colOff>1181100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55" r:id="rId10" name="Check Box 7">
              <controlPr defaultSize="0" autoFill="0" autoLine="0" autoPict="0">
                <anchor moveWithCells="1">
                  <from>
                    <xdr:col>8</xdr:col>
                    <xdr:colOff>542925</xdr:colOff>
                    <xdr:row>31</xdr:row>
                    <xdr:rowOff>9525</xdr:rowOff>
                  </from>
                  <to>
                    <xdr:col>8</xdr:col>
                    <xdr:colOff>847725</xdr:colOff>
                    <xdr:row>32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0000"/>
    <pageSetUpPr fitToPage="1"/>
  </sheetPr>
  <dimension ref="A1:Z49"/>
  <sheetViews>
    <sheetView showGridLines="0" topLeftCell="A19" zoomScale="85" zoomScaleNormal="85" workbookViewId="0">
      <selection activeCell="A9" sqref="A9"/>
    </sheetView>
  </sheetViews>
  <sheetFormatPr defaultColWidth="10.7109375" defaultRowHeight="20.100000000000001" customHeight="1"/>
  <cols>
    <col min="1" max="1" width="21.7109375" style="3" customWidth="1"/>
    <col min="2" max="2" width="20.42578125" style="3" customWidth="1"/>
    <col min="3" max="3" width="23.42578125" style="3" customWidth="1"/>
    <col min="4" max="4" width="20.28515625" style="3" customWidth="1"/>
    <col min="5" max="5" width="19.85546875" style="3" customWidth="1"/>
    <col min="6" max="8" width="18.7109375" style="3" customWidth="1"/>
    <col min="9" max="9" width="20.85546875" style="3" customWidth="1"/>
    <col min="10" max="10" width="18.7109375" style="3" customWidth="1"/>
    <col min="11" max="11" width="20.85546875" style="3" customWidth="1"/>
    <col min="12" max="12" width="24.5703125" style="3" customWidth="1"/>
    <col min="13" max="13" width="12.140625" style="3" bestFit="1" customWidth="1"/>
    <col min="14" max="14" width="15.28515625" style="3" bestFit="1" customWidth="1"/>
    <col min="15" max="15" width="14" style="3" bestFit="1" customWidth="1"/>
    <col min="16" max="16" width="14.42578125" style="3" bestFit="1" customWidth="1"/>
    <col min="17" max="23" width="15.28515625" style="3" bestFit="1" customWidth="1"/>
    <col min="24" max="26" width="12.140625" style="3" bestFit="1" customWidth="1"/>
    <col min="27" max="16384" width="10.7109375" style="3"/>
  </cols>
  <sheetData>
    <row r="1" spans="1:26" ht="20.100000000000001" customHeight="1">
      <c r="A1" s="445"/>
      <c r="B1" s="445"/>
      <c r="C1" s="447" t="s">
        <v>18</v>
      </c>
      <c r="D1" s="447"/>
      <c r="E1" s="447"/>
      <c r="F1" s="447"/>
      <c r="G1" s="447"/>
      <c r="H1" s="447"/>
      <c r="I1" s="447"/>
      <c r="J1" s="447"/>
      <c r="K1" s="447"/>
      <c r="L1" s="447"/>
    </row>
    <row r="2" spans="1:26" ht="20.100000000000001" customHeight="1">
      <c r="A2" s="445"/>
      <c r="B2" s="445"/>
      <c r="C2" s="447"/>
      <c r="D2" s="447"/>
      <c r="E2" s="447"/>
      <c r="F2" s="447"/>
      <c r="G2" s="447"/>
      <c r="H2" s="447"/>
      <c r="I2" s="447"/>
      <c r="J2" s="447"/>
      <c r="K2" s="447"/>
      <c r="L2" s="447"/>
    </row>
    <row r="3" spans="1:26" ht="20.100000000000001" customHeight="1">
      <c r="A3" s="445"/>
      <c r="B3" s="445"/>
      <c r="C3" s="447"/>
      <c r="D3" s="447"/>
      <c r="E3" s="447"/>
      <c r="F3" s="447"/>
      <c r="G3" s="447"/>
      <c r="H3" s="447"/>
      <c r="I3" s="447"/>
      <c r="J3" s="447"/>
      <c r="K3" s="447"/>
      <c r="L3" s="447"/>
    </row>
    <row r="4" spans="1:26" ht="20.100000000000001" customHeight="1">
      <c r="A4" s="446"/>
      <c r="B4" s="445"/>
      <c r="C4" s="447"/>
      <c r="D4" s="447"/>
      <c r="E4" s="447"/>
      <c r="F4" s="447"/>
      <c r="G4" s="447"/>
      <c r="H4" s="447"/>
      <c r="I4" s="447"/>
      <c r="J4" s="447"/>
      <c r="K4" s="447"/>
      <c r="L4" s="447"/>
    </row>
    <row r="5" spans="1:26" ht="20.100000000000001" customHeight="1">
      <c r="A5" s="10"/>
      <c r="B5" s="456" t="s">
        <v>19</v>
      </c>
      <c r="C5" s="457"/>
      <c r="D5" s="457"/>
      <c r="E5" s="457"/>
      <c r="F5" s="457"/>
      <c r="G5" s="457"/>
      <c r="H5" s="457"/>
      <c r="I5" s="457"/>
      <c r="J5" s="458"/>
      <c r="K5" s="12"/>
      <c r="L5" s="12"/>
    </row>
    <row r="6" spans="1:26" ht="30">
      <c r="A6" s="13"/>
      <c r="B6" s="14" t="s">
        <v>20</v>
      </c>
      <c r="C6" s="15" t="s">
        <v>80</v>
      </c>
      <c r="D6" s="15" t="s">
        <v>81</v>
      </c>
      <c r="E6" s="15" t="s">
        <v>82</v>
      </c>
      <c r="F6" s="15" t="s">
        <v>83</v>
      </c>
      <c r="G6" s="15" t="s">
        <v>84</v>
      </c>
      <c r="H6" s="15" t="s">
        <v>85</v>
      </c>
      <c r="I6" s="15" t="s">
        <v>86</v>
      </c>
      <c r="J6" s="58" t="s">
        <v>87</v>
      </c>
      <c r="K6" s="17"/>
      <c r="L6" s="1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6" ht="20.100000000000001" customHeight="1">
      <c r="A7" s="18" t="s">
        <v>79</v>
      </c>
      <c r="B7" s="19" t="s">
        <v>21</v>
      </c>
      <c r="C7" s="20">
        <v>9150</v>
      </c>
      <c r="D7" s="20">
        <v>12250</v>
      </c>
      <c r="E7" s="20">
        <v>15400</v>
      </c>
      <c r="F7" s="20">
        <v>6420</v>
      </c>
      <c r="G7" s="20">
        <v>6420</v>
      </c>
      <c r="H7" s="20">
        <v>5100</v>
      </c>
      <c r="I7" s="20">
        <v>3400</v>
      </c>
      <c r="J7" s="20">
        <v>2100</v>
      </c>
      <c r="K7" s="22"/>
      <c r="L7" s="22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20.100000000000001" customHeight="1">
      <c r="A8" s="18" t="s">
        <v>78</v>
      </c>
      <c r="B8" s="19" t="s">
        <v>22</v>
      </c>
      <c r="C8" s="20">
        <f>C7*1.86</f>
        <v>17019</v>
      </c>
      <c r="D8" s="20">
        <f t="shared" ref="D8:J8" si="0">D7*1.86</f>
        <v>22785</v>
      </c>
      <c r="E8" s="20">
        <f t="shared" si="0"/>
        <v>28644</v>
      </c>
      <c r="F8" s="20">
        <f t="shared" si="0"/>
        <v>11941.2</v>
      </c>
      <c r="G8" s="20">
        <f t="shared" si="0"/>
        <v>11941.2</v>
      </c>
      <c r="H8" s="20">
        <f t="shared" si="0"/>
        <v>9486</v>
      </c>
      <c r="I8" s="20">
        <f t="shared" si="0"/>
        <v>6324</v>
      </c>
      <c r="J8" s="20">
        <f t="shared" si="0"/>
        <v>3906</v>
      </c>
      <c r="K8" s="22"/>
      <c r="L8" s="22"/>
    </row>
    <row r="9" spans="1:26" ht="20.100000000000001" customHeight="1">
      <c r="A9" s="23" t="s">
        <v>89</v>
      </c>
      <c r="B9" s="19" t="s">
        <v>23</v>
      </c>
      <c r="C9" s="20">
        <f t="shared" ref="C9:H9" si="1">C8/220</f>
        <v>77.359090909090909</v>
      </c>
      <c r="D9" s="20">
        <f t="shared" si="1"/>
        <v>103.56818181818181</v>
      </c>
      <c r="E9" s="20">
        <f t="shared" si="1"/>
        <v>130.19999999999999</v>
      </c>
      <c r="F9" s="20">
        <f t="shared" si="1"/>
        <v>54.278181818181821</v>
      </c>
      <c r="G9" s="20">
        <f t="shared" si="1"/>
        <v>54.278181818181821</v>
      </c>
      <c r="H9" s="20">
        <f t="shared" si="1"/>
        <v>43.118181818181817</v>
      </c>
      <c r="I9" s="20">
        <f>I8/220</f>
        <v>28.745454545454546</v>
      </c>
      <c r="J9" s="20">
        <f>J8/220</f>
        <v>17.754545454545454</v>
      </c>
      <c r="K9" s="22"/>
      <c r="L9" s="22"/>
    </row>
    <row r="10" spans="1:26" ht="9.9499999999999993" customHeight="1">
      <c r="A10" s="24"/>
      <c r="B10" s="24"/>
      <c r="C10" s="24"/>
      <c r="D10" s="24"/>
      <c r="E10" s="24"/>
      <c r="F10" s="24"/>
      <c r="G10" s="24"/>
      <c r="H10" s="25"/>
      <c r="I10" s="24"/>
      <c r="J10" s="24"/>
      <c r="K10" s="24"/>
      <c r="L10" s="24"/>
    </row>
    <row r="11" spans="1:26" ht="20.100000000000001" customHeight="1">
      <c r="A11" s="443" t="s">
        <v>24</v>
      </c>
      <c r="B11" s="443"/>
      <c r="C11" s="443"/>
      <c r="D11" s="22"/>
      <c r="E11" s="443" t="s">
        <v>25</v>
      </c>
      <c r="F11" s="448" t="s">
        <v>64</v>
      </c>
      <c r="G11" s="448" t="s">
        <v>26</v>
      </c>
      <c r="H11" s="443" t="s">
        <v>16</v>
      </c>
      <c r="I11" s="24"/>
      <c r="J11" s="444"/>
      <c r="K11" s="444"/>
      <c r="L11" s="444"/>
    </row>
    <row r="12" spans="1:26" ht="20.100000000000001" customHeight="1">
      <c r="A12" s="15" t="s">
        <v>27</v>
      </c>
      <c r="B12" s="15" t="s">
        <v>28</v>
      </c>
      <c r="C12" s="15" t="s">
        <v>14</v>
      </c>
      <c r="D12" s="24"/>
      <c r="E12" s="443"/>
      <c r="F12" s="448"/>
      <c r="G12" s="448"/>
      <c r="H12" s="443"/>
      <c r="I12" s="24"/>
      <c r="J12" s="17"/>
      <c r="K12" s="17"/>
      <c r="L12" s="17"/>
    </row>
    <row r="13" spans="1:26" ht="20.100000000000001" customHeight="1">
      <c r="A13" s="26">
        <v>0.6</v>
      </c>
      <c r="B13" s="26">
        <v>1</v>
      </c>
      <c r="C13" s="26">
        <v>0.2</v>
      </c>
      <c r="D13" s="27"/>
      <c r="E13" s="26">
        <v>0.129</v>
      </c>
      <c r="F13" s="26">
        <v>0.08</v>
      </c>
      <c r="G13" s="20">
        <v>8.75</v>
      </c>
      <c r="H13" s="20">
        <v>22</v>
      </c>
      <c r="I13" s="24"/>
      <c r="J13" s="22"/>
      <c r="K13" s="22"/>
      <c r="L13" s="22"/>
    </row>
    <row r="14" spans="1:26" ht="9.9499999999999993" customHeight="1" thickBot="1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</row>
    <row r="15" spans="1:26" ht="20.100000000000001" customHeight="1">
      <c r="A15" s="443" t="s">
        <v>10</v>
      </c>
      <c r="B15" s="443"/>
      <c r="C15" s="443"/>
      <c r="D15" s="24"/>
      <c r="E15" s="460" t="s">
        <v>70</v>
      </c>
      <c r="F15" s="462" t="s">
        <v>71</v>
      </c>
      <c r="G15" s="458" t="s">
        <v>29</v>
      </c>
      <c r="H15" s="443"/>
      <c r="I15" s="443"/>
      <c r="J15" s="443"/>
      <c r="K15" s="443"/>
      <c r="L15" s="443"/>
    </row>
    <row r="16" spans="1:26" ht="20.100000000000001" customHeight="1">
      <c r="A16" s="28" t="s">
        <v>75</v>
      </c>
      <c r="B16" s="28" t="s">
        <v>76</v>
      </c>
      <c r="C16" s="28" t="s">
        <v>77</v>
      </c>
      <c r="D16" s="24"/>
      <c r="E16" s="461"/>
      <c r="F16" s="463"/>
      <c r="G16" s="14" t="s">
        <v>30</v>
      </c>
      <c r="H16" s="15" t="s">
        <v>31</v>
      </c>
      <c r="I16" s="15" t="s">
        <v>32</v>
      </c>
      <c r="J16" s="15" t="s">
        <v>33</v>
      </c>
      <c r="K16" s="15" t="s">
        <v>34</v>
      </c>
      <c r="L16" s="15" t="s">
        <v>62</v>
      </c>
    </row>
    <row r="17" spans="1:14" ht="20.100000000000001" customHeight="1" thickBot="1">
      <c r="A17" s="20">
        <v>88.78</v>
      </c>
      <c r="B17" s="20">
        <v>155.38</v>
      </c>
      <c r="C17" s="20">
        <v>233.94</v>
      </c>
      <c r="D17" s="24"/>
      <c r="E17" s="29">
        <v>0.8</v>
      </c>
      <c r="F17" s="30" t="e">
        <f>L42</f>
        <v>#DIV/0!</v>
      </c>
      <c r="G17" s="31">
        <v>1.36</v>
      </c>
      <c r="H17" s="20">
        <v>125</v>
      </c>
      <c r="I17" s="20">
        <v>175</v>
      </c>
      <c r="J17" s="20">
        <v>1</v>
      </c>
      <c r="K17" s="20">
        <v>25</v>
      </c>
      <c r="L17" s="20">
        <v>500</v>
      </c>
    </row>
    <row r="18" spans="1:14" ht="9.9499999999999993" customHeight="1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</row>
    <row r="19" spans="1:14" ht="20.100000000000001" customHeight="1">
      <c r="A19" s="443" t="s">
        <v>35</v>
      </c>
      <c r="B19" s="443"/>
      <c r="C19" s="443"/>
      <c r="D19" s="443"/>
      <c r="E19" s="443"/>
      <c r="F19" s="24"/>
      <c r="G19" s="444"/>
      <c r="H19" s="444"/>
      <c r="I19" s="444"/>
      <c r="J19" s="444"/>
      <c r="K19" s="444"/>
      <c r="L19" s="444"/>
    </row>
    <row r="20" spans="1:14" ht="20.100000000000001" customHeight="1">
      <c r="A20" s="15" t="s">
        <v>20</v>
      </c>
      <c r="B20" s="15" t="s">
        <v>11</v>
      </c>
      <c r="C20" s="15" t="s">
        <v>12</v>
      </c>
      <c r="D20" s="15" t="s">
        <v>13</v>
      </c>
      <c r="E20" s="15" t="s">
        <v>14</v>
      </c>
      <c r="F20" s="24"/>
      <c r="G20" s="17"/>
      <c r="H20" s="17"/>
      <c r="I20" s="17"/>
      <c r="J20" s="17"/>
      <c r="K20" s="17"/>
      <c r="L20" s="444"/>
    </row>
    <row r="21" spans="1:14" ht="20.100000000000001" customHeight="1">
      <c r="A21" s="15" t="s">
        <v>80</v>
      </c>
      <c r="B21" s="32"/>
      <c r="C21" s="32"/>
      <c r="D21" s="32"/>
      <c r="E21" s="32"/>
      <c r="F21" s="24"/>
      <c r="G21" s="24"/>
      <c r="H21" s="22"/>
      <c r="I21" s="22"/>
      <c r="J21" s="22"/>
      <c r="K21" s="22"/>
      <c r="L21" s="24"/>
      <c r="N21" s="4"/>
    </row>
    <row r="22" spans="1:14" ht="20.100000000000001" customHeight="1">
      <c r="A22" s="15" t="s">
        <v>81</v>
      </c>
      <c r="B22" s="32"/>
      <c r="C22" s="32"/>
      <c r="D22" s="32"/>
      <c r="E22" s="32"/>
      <c r="F22" s="24"/>
      <c r="G22" s="24"/>
      <c r="H22" s="22"/>
      <c r="I22" s="22"/>
      <c r="J22" s="22"/>
      <c r="K22" s="22"/>
      <c r="L22" s="24"/>
      <c r="N22" s="4"/>
    </row>
    <row r="23" spans="1:14" ht="20.100000000000001" customHeight="1">
      <c r="A23" s="15" t="s">
        <v>82</v>
      </c>
      <c r="B23" s="32"/>
      <c r="C23" s="32"/>
      <c r="D23" s="32"/>
      <c r="E23" s="32"/>
      <c r="F23" s="24"/>
      <c r="G23" s="24"/>
      <c r="H23" s="22"/>
      <c r="I23" s="22"/>
      <c r="J23" s="22"/>
      <c r="K23" s="22"/>
      <c r="L23" s="24"/>
    </row>
    <row r="24" spans="1:14" ht="20.100000000000001" customHeight="1">
      <c r="A24" s="15" t="s">
        <v>83</v>
      </c>
      <c r="B24" s="32"/>
      <c r="C24" s="32"/>
      <c r="D24" s="32"/>
      <c r="E24" s="32"/>
      <c r="F24" s="24"/>
      <c r="G24" s="24"/>
      <c r="H24" s="24"/>
      <c r="I24" s="24"/>
      <c r="J24" s="24"/>
      <c r="K24" s="24"/>
      <c r="L24" s="24"/>
    </row>
    <row r="25" spans="1:14" ht="20.100000000000001" customHeight="1">
      <c r="A25" s="15" t="s">
        <v>84</v>
      </c>
      <c r="B25" s="32"/>
      <c r="C25" s="32"/>
      <c r="D25" s="32"/>
      <c r="E25" s="32"/>
      <c r="F25" s="24"/>
      <c r="G25" s="443" t="s">
        <v>36</v>
      </c>
      <c r="H25" s="443"/>
      <c r="I25" s="443"/>
      <c r="J25" s="443"/>
      <c r="K25" s="443"/>
      <c r="L25" s="443"/>
    </row>
    <row r="26" spans="1:14" ht="20.100000000000001" customHeight="1">
      <c r="A26" s="15" t="s">
        <v>85</v>
      </c>
      <c r="B26" s="32"/>
      <c r="C26" s="32"/>
      <c r="D26" s="32"/>
      <c r="E26" s="32"/>
      <c r="F26" s="24"/>
      <c r="G26" s="33" t="s">
        <v>37</v>
      </c>
      <c r="H26" s="34" t="b">
        <v>0</v>
      </c>
      <c r="I26" s="34" t="b">
        <v>0</v>
      </c>
      <c r="J26" s="34" t="b">
        <v>0</v>
      </c>
      <c r="K26" s="34" t="b">
        <v>0</v>
      </c>
      <c r="L26" s="34" t="b">
        <v>0</v>
      </c>
    </row>
    <row r="27" spans="1:14" ht="20.100000000000001" customHeight="1">
      <c r="A27" s="15" t="s">
        <v>86</v>
      </c>
      <c r="B27" s="32"/>
      <c r="C27" s="32"/>
      <c r="D27" s="32"/>
      <c r="E27" s="32"/>
      <c r="F27" s="24"/>
      <c r="G27" s="33" t="s">
        <v>38</v>
      </c>
      <c r="H27" s="32">
        <v>0</v>
      </c>
      <c r="I27" s="35">
        <v>0</v>
      </c>
      <c r="J27" s="35">
        <v>0</v>
      </c>
      <c r="K27" s="35">
        <v>0</v>
      </c>
      <c r="L27" s="35">
        <v>0</v>
      </c>
    </row>
    <row r="28" spans="1:14" ht="30">
      <c r="A28" s="58" t="s">
        <v>87</v>
      </c>
      <c r="B28" s="32"/>
      <c r="C28" s="32"/>
      <c r="D28" s="32"/>
      <c r="E28" s="32"/>
      <c r="F28" s="24"/>
      <c r="G28" s="33" t="s">
        <v>39</v>
      </c>
      <c r="H28" s="36">
        <f>H27/70</f>
        <v>0</v>
      </c>
      <c r="I28" s="459"/>
      <c r="J28" s="459"/>
      <c r="K28" s="37"/>
      <c r="L28" s="37"/>
    </row>
    <row r="29" spans="1:14" ht="20.100000000000001" customHeight="1">
      <c r="A29" s="33"/>
      <c r="B29" s="32"/>
      <c r="C29" s="32"/>
      <c r="D29" s="32"/>
      <c r="E29" s="32"/>
      <c r="F29" s="24"/>
      <c r="G29" s="24"/>
      <c r="H29" s="24"/>
      <c r="I29" s="24"/>
      <c r="J29" s="448" t="s">
        <v>42</v>
      </c>
      <c r="K29" s="448" t="s">
        <v>43</v>
      </c>
      <c r="L29" s="448" t="s">
        <v>67</v>
      </c>
    </row>
    <row r="30" spans="1:14" ht="20.100000000000001" customHeight="1">
      <c r="A30" s="33"/>
      <c r="B30" s="32"/>
      <c r="C30" s="32"/>
      <c r="D30" s="32"/>
      <c r="E30" s="32"/>
      <c r="F30" s="24"/>
      <c r="G30" s="448" t="s">
        <v>40</v>
      </c>
      <c r="H30" s="448" t="s">
        <v>41</v>
      </c>
      <c r="I30" s="448" t="s">
        <v>44</v>
      </c>
      <c r="J30" s="448"/>
      <c r="K30" s="448"/>
      <c r="L30" s="448"/>
    </row>
    <row r="31" spans="1:14" ht="20.100000000000001" customHeight="1">
      <c r="A31" s="15" t="s">
        <v>45</v>
      </c>
      <c r="B31" s="32"/>
      <c r="C31" s="32"/>
      <c r="D31" s="32"/>
      <c r="E31" s="32"/>
      <c r="F31" s="24"/>
      <c r="G31" s="448"/>
      <c r="H31" s="448"/>
      <c r="I31" s="448"/>
      <c r="J31" s="38">
        <v>0</v>
      </c>
      <c r="K31" s="38">
        <v>0</v>
      </c>
      <c r="L31" s="39">
        <f>SUM(F36:I36)+L36+H39</f>
        <v>0</v>
      </c>
    </row>
    <row r="32" spans="1:14" ht="20.100000000000001" customHeight="1">
      <c r="A32" s="15" t="s">
        <v>15</v>
      </c>
      <c r="B32" s="32"/>
      <c r="C32" s="32"/>
      <c r="D32" s="32"/>
      <c r="E32" s="32"/>
      <c r="F32" s="24"/>
      <c r="G32" s="20">
        <v>125</v>
      </c>
      <c r="H32" s="40" t="b">
        <v>0</v>
      </c>
      <c r="I32" s="41" t="b">
        <v>0</v>
      </c>
      <c r="J32" s="42">
        <v>0.3</v>
      </c>
      <c r="K32" s="42">
        <v>0.3</v>
      </c>
      <c r="L32" s="42">
        <v>0.3</v>
      </c>
    </row>
    <row r="33" spans="1:13" ht="9.9499999999999993" customHeight="1">
      <c r="A33" s="24"/>
      <c r="B33" s="22"/>
      <c r="C33" s="22"/>
      <c r="D33" s="22"/>
      <c r="E33" s="22"/>
      <c r="F33" s="24"/>
      <c r="G33" s="24"/>
      <c r="H33" s="24"/>
      <c r="I33" s="24"/>
      <c r="J33" s="24"/>
      <c r="K33" s="24"/>
      <c r="L33" s="24"/>
    </row>
    <row r="34" spans="1:13" ht="20.100000000000001" customHeight="1">
      <c r="A34" s="443" t="s">
        <v>46</v>
      </c>
      <c r="B34" s="443"/>
      <c r="C34" s="443"/>
      <c r="D34" s="443"/>
      <c r="E34" s="443"/>
      <c r="F34" s="443"/>
      <c r="G34" s="443"/>
      <c r="H34" s="443"/>
      <c r="I34" s="443"/>
      <c r="J34" s="443"/>
      <c r="K34" s="443"/>
      <c r="L34" s="443"/>
    </row>
    <row r="35" spans="1:13" ht="20.100000000000001" customHeight="1">
      <c r="A35" s="15" t="s">
        <v>20</v>
      </c>
      <c r="B35" s="15" t="s">
        <v>47</v>
      </c>
      <c r="C35" s="15" t="s">
        <v>48</v>
      </c>
      <c r="D35" s="15" t="s">
        <v>49</v>
      </c>
      <c r="E35" s="15" t="s">
        <v>50</v>
      </c>
      <c r="F35" s="15" t="s">
        <v>51</v>
      </c>
      <c r="G35" s="15" t="s">
        <v>52</v>
      </c>
      <c r="H35" s="15" t="s">
        <v>53</v>
      </c>
      <c r="I35" s="15" t="s">
        <v>54</v>
      </c>
      <c r="J35" s="15" t="s">
        <v>42</v>
      </c>
      <c r="K35" s="15" t="s">
        <v>43</v>
      </c>
      <c r="L35" s="15" t="s">
        <v>10</v>
      </c>
    </row>
    <row r="36" spans="1:13" ht="20.100000000000001" customHeight="1">
      <c r="A36" s="43" t="s">
        <v>1</v>
      </c>
      <c r="B36" s="20">
        <f>SUM(B37:B46)</f>
        <v>0</v>
      </c>
      <c r="C36" s="20">
        <f>SUM(C37:C46)</f>
        <v>0</v>
      </c>
      <c r="D36" s="20">
        <f>SUM(D37:D46)</f>
        <v>0</v>
      </c>
      <c r="E36" s="20">
        <f>SUM(E37:E46)</f>
        <v>0</v>
      </c>
      <c r="F36" s="20">
        <f>F38+F40+F42+F44+F46</f>
        <v>0</v>
      </c>
      <c r="G36" s="20">
        <f>IF(H32=FALSE,0,((B32*SUM(B21:B30))+(C32*SUM(C21:C30))+(D32*SUM(D21:D30))+(E32*SUM(E21:E30)))*G32)</f>
        <v>0</v>
      </c>
      <c r="H36" s="20">
        <f>IF(H32=FALSE,(B32*SUM(B21:B30)*H13)+(C32*SUM(C21:C30)*H13)+(D32*SUM(D21:D30)*H13)+(E32*SUM(E21:E30)*H13),((B32*SUM(B21:B30)*H13)+(C32*SUM(C21:C30)*H13)+(D32*SUM(D21:D30)*H13)+(E32*SUM(E21:E30)*H13))*2)</f>
        <v>0</v>
      </c>
      <c r="I36" s="20">
        <f>((L21*H21)+(L22*H22)+(L23*H23))</f>
        <v>0</v>
      </c>
      <c r="J36" s="20">
        <f>J31</f>
        <v>0</v>
      </c>
      <c r="K36" s="20">
        <f>K31</f>
        <v>0</v>
      </c>
      <c r="L36" s="20">
        <f>IF(I32=FALSE,0,C17)</f>
        <v>0</v>
      </c>
    </row>
    <row r="37" spans="1:13" ht="20.100000000000001" customHeight="1" thickBot="1">
      <c r="A37" s="15" t="s">
        <v>80</v>
      </c>
      <c r="B37" s="20">
        <f>(B32*B21*$C$9*$G$13)+(B31*B21*$C$9)</f>
        <v>0</v>
      </c>
      <c r="C37" s="20">
        <f>((C32*C21*$C$9*$G$13)+(C31*C21*$C$9))*(1+$A$13)</f>
        <v>0</v>
      </c>
      <c r="D37" s="20">
        <f>((D32*D21*$C$9*$G$13)+(D31*D21*$C$9))*(1+$B$13)</f>
        <v>0</v>
      </c>
      <c r="E37" s="20">
        <f>((E32*E21*$C$9*$G$13)+(E31*E21*$C$9))*(1+$C$13)</f>
        <v>0</v>
      </c>
      <c r="F37" s="15" t="s">
        <v>55</v>
      </c>
      <c r="G37" s="22"/>
      <c r="H37" s="24"/>
      <c r="I37" s="24"/>
      <c r="J37" s="24"/>
      <c r="K37" s="24"/>
      <c r="L37" s="24"/>
    </row>
    <row r="38" spans="1:13" ht="20.100000000000001" customHeight="1">
      <c r="A38" s="15" t="s">
        <v>81</v>
      </c>
      <c r="B38" s="20">
        <f>(B32*B22*$D$9*$G$13)+(B31*B22*$D$9)</f>
        <v>0</v>
      </c>
      <c r="C38" s="20">
        <f>((C32*C22*$D$9*$G$13)+(C31*C22*$D$9))*(1+$A$13)</f>
        <v>0</v>
      </c>
      <c r="D38" s="20">
        <f>((D32*D22*$D$9*$G$13)+(D31*D22*$D$9))*(1+$B$13)</f>
        <v>0</v>
      </c>
      <c r="E38" s="20">
        <f>((E32*E22*$D$9*$G$13)+(E31*E22*$D$9))*(1+$C$13)</f>
        <v>0</v>
      </c>
      <c r="F38" s="20">
        <f>IF(H26=FALSE,0,(IF(SUM(B32:E32)=0,H27*G17*COUNTIF(B31:E31,"&gt;0"),IF(H32=TRUE,H27*G17,H27*G17*SUM(B32:E32)))))</f>
        <v>0</v>
      </c>
      <c r="G38" s="24"/>
      <c r="H38" s="15" t="s">
        <v>56</v>
      </c>
      <c r="I38" s="44" t="s">
        <v>68</v>
      </c>
      <c r="J38" s="44" t="s">
        <v>69</v>
      </c>
      <c r="K38" s="45" t="s">
        <v>57</v>
      </c>
      <c r="L38" s="46" t="s">
        <v>58</v>
      </c>
    </row>
    <row r="39" spans="1:13" ht="20.100000000000001" customHeight="1" thickBot="1">
      <c r="A39" s="15" t="s">
        <v>82</v>
      </c>
      <c r="B39" s="20">
        <f>(B32*B23*$E$9*$G$13)+(B31*B23*$E$9)</f>
        <v>0</v>
      </c>
      <c r="C39" s="20">
        <f>((C32*C23*$E$9*$G$13)+(C31*C23*$E$9))*(1+$A$13)</f>
        <v>0</v>
      </c>
      <c r="D39" s="20">
        <f>((D32*D23*$E$9*$G$13)+(D31*D23*$E$9))*(1+$B$13)</f>
        <v>0</v>
      </c>
      <c r="E39" s="20">
        <f>((E32*E23*$E$9*$G$13)+(E31*E23*$E$9))*(1+$C$13)</f>
        <v>0</v>
      </c>
      <c r="F39" s="15" t="s">
        <v>59</v>
      </c>
      <c r="G39" s="22"/>
      <c r="H39" s="20">
        <f>SUM(B36:L36)*F13</f>
        <v>0</v>
      </c>
      <c r="I39" s="47">
        <f>SUM(B36:E36)</f>
        <v>0</v>
      </c>
      <c r="J39" s="47">
        <f>SUM(F36:L36)+H39</f>
        <v>0</v>
      </c>
      <c r="K39" s="48">
        <f>SUM(I39:J39)</f>
        <v>0</v>
      </c>
      <c r="L39" s="49">
        <f>(I39*(1+E17))+(J36*(1+J32))+(K36*(1+K32))+(L31*(1+L32))</f>
        <v>0</v>
      </c>
      <c r="M39" s="8"/>
    </row>
    <row r="40" spans="1:13" ht="20.100000000000001" customHeight="1" thickBot="1">
      <c r="A40" s="15" t="s">
        <v>83</v>
      </c>
      <c r="B40" s="20">
        <f>(B32*B24*$F$9*$G$13)+(B31*B24*$F$9)</f>
        <v>0</v>
      </c>
      <c r="C40" s="20">
        <f>((C32*C24*$F$9*$G$13)+(C31*C24*$F$9))*(1+$A$13)</f>
        <v>0</v>
      </c>
      <c r="D40" s="20">
        <f>((D32*D24*$F$9*$G$13)+(D31*D24*$F$9))*(1+$B$13)</f>
        <v>0</v>
      </c>
      <c r="E40" s="20">
        <f>((E32*E24*$F$9*$G$13)+(E31*E24*$F$9))*(1+$C$13)</f>
        <v>0</v>
      </c>
      <c r="F40" s="20">
        <f>IF(I26=FALSE,0,((SUM(B32:E32)*H17)+(SUM(B32:E32)*I27*J17)))+IF(J26=FALSE,0,((SUM(B32:E32)*I17)+(SUM(B32:E32)*J27*J17)))</f>
        <v>0</v>
      </c>
      <c r="G40" s="22"/>
      <c r="H40" s="22"/>
      <c r="I40" s="22"/>
      <c r="J40" s="22"/>
      <c r="K40" s="22"/>
      <c r="L40" s="22"/>
    </row>
    <row r="41" spans="1:13" ht="20.100000000000001" customHeight="1">
      <c r="A41" s="15" t="s">
        <v>84</v>
      </c>
      <c r="B41" s="20">
        <f>(B32*B25*$G$9*$G$13)+(B31*B25*$G$9)</f>
        <v>0</v>
      </c>
      <c r="C41" s="20">
        <f>((C32*C25*$G$9*$G$13)+(C31*C25*$G$9))*(1+$A$13)</f>
        <v>0</v>
      </c>
      <c r="D41" s="20">
        <f>((D32*D25*$G$9*$G$13)+(D31*D25*$G$9))*(1+$B$13)</f>
        <v>0</v>
      </c>
      <c r="E41" s="20">
        <f>((E32*E25*$G$9*$G$13)+(E31*E25*$G$9))*(1+$C$13)</f>
        <v>0</v>
      </c>
      <c r="F41" s="15" t="s">
        <v>60</v>
      </c>
      <c r="G41" s="24"/>
      <c r="H41" s="50" t="s">
        <v>8</v>
      </c>
      <c r="I41" s="51" t="s">
        <v>9</v>
      </c>
      <c r="J41" s="50" t="s">
        <v>4</v>
      </c>
      <c r="K41" s="52" t="s">
        <v>65</v>
      </c>
      <c r="L41" s="51" t="s">
        <v>66</v>
      </c>
    </row>
    <row r="42" spans="1:13" ht="20.100000000000001" customHeight="1" thickBot="1">
      <c r="A42" s="15" t="s">
        <v>85</v>
      </c>
      <c r="B42" s="20">
        <f>(B32*B26*$H$9*$G$13)+(B31*B26*$H$9)</f>
        <v>0</v>
      </c>
      <c r="C42" s="20">
        <f>((C32*C26*$H$9*$G$13)+(C31*C26*$H$9))*(1+$A$13)</f>
        <v>0</v>
      </c>
      <c r="D42" s="20">
        <f>((D32*D26*$H$9*$G$13)+(D31*D26*$H$9))*(1+$B$13)</f>
        <v>0</v>
      </c>
      <c r="E42" s="20">
        <f>((E32*E26*$H$9*$G$13)+(E31*E26*$H$9))*(1+$C$13)</f>
        <v>0</v>
      </c>
      <c r="F42" s="20">
        <f>IF(K26=FALSE,0,K27*K17)</f>
        <v>0</v>
      </c>
      <c r="G42" s="24"/>
      <c r="H42" s="53">
        <f>L39*E13</f>
        <v>0</v>
      </c>
      <c r="I42" s="54">
        <f>L39-H42-K39</f>
        <v>0</v>
      </c>
      <c r="J42" s="55" t="e">
        <f>H42/L39</f>
        <v>#DIV/0!</v>
      </c>
      <c r="K42" s="56" t="e">
        <f>I42/K39</f>
        <v>#DIV/0!</v>
      </c>
      <c r="L42" s="57" t="e">
        <f>I42/L39</f>
        <v>#DIV/0!</v>
      </c>
    </row>
    <row r="43" spans="1:13" ht="20.100000000000001" customHeight="1">
      <c r="A43" s="15" t="s">
        <v>86</v>
      </c>
      <c r="B43" s="20">
        <f>(B32*B27*$I$9*$G$13)+(B31*B27*$I$9)</f>
        <v>0</v>
      </c>
      <c r="C43" s="20">
        <f>((C32*C27*$I$9*$G$13)+(C31*C27*$I$9))*(1+$A$13)</f>
        <v>0</v>
      </c>
      <c r="D43" s="20">
        <f>((D32*D27*$I$9*$G$13)+(D31*D27*$I$9))*(1+$B$13)</f>
        <v>0</v>
      </c>
      <c r="E43" s="20">
        <f>((E32*E27*$I$9*$G$13)+(E31*E27*$I$9))*(1+$C$13)</f>
        <v>0</v>
      </c>
      <c r="F43" s="15" t="s">
        <v>62</v>
      </c>
      <c r="G43" s="12"/>
      <c r="H43" s="24"/>
      <c r="I43" s="24"/>
      <c r="J43" s="24"/>
      <c r="K43" s="24"/>
      <c r="L43" s="24"/>
    </row>
    <row r="44" spans="1:13" ht="30">
      <c r="A44" s="58" t="s">
        <v>87</v>
      </c>
      <c r="B44" s="20">
        <f>(B32*B28*$J$9*$G$13)+(B31*B28*$J$9)</f>
        <v>0</v>
      </c>
      <c r="C44" s="20">
        <f>((C32*C28*$J$9*$G$13)+(C31*C28*$J$9))*(1+$A$13)</f>
        <v>0</v>
      </c>
      <c r="D44" s="20">
        <f>((D32*D28*$J$9*$G$13)+(D31*D28*$J$9))*(1+$B$13)</f>
        <v>0</v>
      </c>
      <c r="E44" s="20">
        <f>((E32*E28*$J$9*$G$13)+(E31*E28*$J$9))*(1+$C$13)</f>
        <v>0</v>
      </c>
      <c r="F44" s="20">
        <f>IF(L26=FALSE,0,MAX(SUM(B21:B30),SUM(C21:C30),SUM(D21:D30),SUM(E21:E30))*(L27*2)*L17)</f>
        <v>0</v>
      </c>
      <c r="G44" s="24"/>
      <c r="H44" s="449" t="s">
        <v>61</v>
      </c>
      <c r="I44" s="449"/>
      <c r="J44" s="449"/>
      <c r="K44" s="449"/>
      <c r="L44" s="449"/>
    </row>
    <row r="45" spans="1:13" s="5" customFormat="1" ht="20.100000000000001" customHeight="1">
      <c r="A45" s="33"/>
      <c r="B45" s="20">
        <f>(B32*B29*$K$9*$G$13)+(B31*B29*$K$9)</f>
        <v>0</v>
      </c>
      <c r="C45" s="20">
        <f>((C32*C29*$K$9*$G$13)+(C31*C29*$K$9))*(1+$A$13)</f>
        <v>0</v>
      </c>
      <c r="D45" s="20">
        <f>((D32*D29*$K$9*$G$13)+(D31*D29*$K$9))*(1+$B$13)</f>
        <v>0</v>
      </c>
      <c r="E45" s="20">
        <f>((E32*E29*$K$9*$G$13)+(E31*E29*$K$9))*(1+$C$13)</f>
        <v>0</v>
      </c>
      <c r="F45" s="15" t="s">
        <v>63</v>
      </c>
      <c r="G45" s="24"/>
      <c r="H45" s="450"/>
      <c r="I45" s="451"/>
      <c r="J45" s="451"/>
      <c r="K45" s="451"/>
      <c r="L45" s="452"/>
    </row>
    <row r="46" spans="1:13" ht="20.100000000000001" customHeight="1">
      <c r="A46" s="33"/>
      <c r="B46" s="20">
        <f>(B32*B30*$L$9*$G$13)+(B31*B30*$L$9)</f>
        <v>0</v>
      </c>
      <c r="C46" s="20">
        <f>((C32*C30*$L$9*$G$13)+(C31*C30*$L$9))*(1+$A$13)</f>
        <v>0</v>
      </c>
      <c r="D46" s="20">
        <f>((D32*D30*$L$9*$G$13)+(D31*D30*$L$9))*(1+$B$13)</f>
        <v>0</v>
      </c>
      <c r="E46" s="20">
        <f>((E32*E30*$L$9*$G$13)+(E31*E30*$L$9))*(1+$C$13)</f>
        <v>0</v>
      </c>
      <c r="F46" s="20">
        <f>IF(H32=FALSE,(((B32*B21*$C$9)+(B32*B22*$D$9)+(B32*B23*$E$9)+(B32*B24*$F$9)+(B32*B25*$G$9)+(B32*B26*$H$9)+(B32*B27*$I$9)+(B32*B28*$J$9)+(B32*B29*$K$9)+(B32*B30*$L$9))*$H$28*(1+$A$13))+(((C32*C21*$C$9)+(C32*C22*$D$9)+(C32*C23*$E$9)+(C32*C24*$F$9)+(C32*C25*$G$9)+(C32*C26*$H$9)+(C32*C27*$I$9)+(C32*C28*$J$9)+(C32*C29*$K$9)+(C32*C30*$L$9))*$H$28*(1+$A$13))+(((D32*D21*$C$9)+(D32*D22*$D$9)+(D32*D23*$E$9)+(D32*D24*$F$9)+(D32*D25*$G$9)+(D32*D26*$H$9)+(D32*D27*$I$9)+(D32*D28*$J$9)+(D32*D29*$K$9)+(D32*D30*$L$9))*$H$28*(1+$B$13))+(((E32*E21*$C$9)+(E32*E22*$D$9)+(E32*E23*$E$9)+(E32*E24*$F$9)+(E32*E25*$G$9)+(E32*E26*$H$9)+(E32*E27*$I$9)+(E32*E28*$J$9)+(E32*E29*$K$9)+(E32*E30*$L$9))*$H$28*(1+$C$13)*(1+$A$13)),((((B32*B21*$C$9)+(B32*B22*$D$9)+(B32*B23*$E$9)+(B32*B24*$F$9)+(B32*B25*$G$9)+(B32*B26*$H$9)+(B32*B27*$I$9)+(B32*B28*$J$9)+(B32*B29*$K$9)+(B32*B30*$L$9))*$H$28*(1+$A$13))+(((C32*C21*$C$9)+(C32*C22*$D$9)+(C32*C23*$E$9)+(C32*C24*$F$9)+(C32*C25*$G$9)+(C32*C26*$H$9)+(C32*C27*$I$9)+(C32*C28*$J$9)+(C32*C29*$K$9)+(C32*C30*$L$9))*$H$28*(1+$A$13))+(((D32*D21*$C$9)+(D32*D22*$D$9)+(D32*D23*$E$9)+(D32*D24*$F$9)+(D32*D25*$G$9)+(D32*D26*$H$9)+(D32*D27*$I$9)+(D32*D28*$J$9)+(D32*D29*$K$9)+(D32*D30*$L$9))*$H$28*(1+$B$13))+(((E32*E21*$C$9)+(E32*E22*$D$9)+(E32*E23*$E$9)+(E32*E24*$F$9)+(E32*E25*$G$9)+(E32*E26*$H$9)+(E32*E27*$I$9)+(E32*E28*$J$9)+(E32*E29*$K$9)+(E32*E30*$L$9))*$H$28*(1+$C$13)*(1+$A$13)))/SUM(B32:E32))</f>
        <v>0</v>
      </c>
      <c r="G46" s="24"/>
      <c r="H46" s="453"/>
      <c r="I46" s="454"/>
      <c r="J46" s="454"/>
      <c r="K46" s="454"/>
      <c r="L46" s="455"/>
    </row>
    <row r="49" spans="8:12" ht="20.100000000000001" customHeight="1">
      <c r="H49" s="6"/>
      <c r="I49" s="6"/>
      <c r="J49" s="6"/>
      <c r="K49" s="6"/>
      <c r="L49" s="9"/>
    </row>
  </sheetData>
  <mergeCells count="27">
    <mergeCell ref="A34:L34"/>
    <mergeCell ref="H44:L44"/>
    <mergeCell ref="H45:L46"/>
    <mergeCell ref="B5:J5"/>
    <mergeCell ref="G25:L25"/>
    <mergeCell ref="I28:J28"/>
    <mergeCell ref="J29:J30"/>
    <mergeCell ref="K29:K30"/>
    <mergeCell ref="L29:L30"/>
    <mergeCell ref="G30:G31"/>
    <mergeCell ref="H30:H31"/>
    <mergeCell ref="I30:I31"/>
    <mergeCell ref="A15:C15"/>
    <mergeCell ref="E15:E16"/>
    <mergeCell ref="F15:F16"/>
    <mergeCell ref="G15:L15"/>
    <mergeCell ref="A19:E19"/>
    <mergeCell ref="G19:K19"/>
    <mergeCell ref="L19:L20"/>
    <mergeCell ref="A1:B4"/>
    <mergeCell ref="C1:L4"/>
    <mergeCell ref="A11:C11"/>
    <mergeCell ref="E11:E12"/>
    <mergeCell ref="F11:F12"/>
    <mergeCell ref="G11:G12"/>
    <mergeCell ref="H11:H12"/>
    <mergeCell ref="J11:L11"/>
  </mergeCells>
  <conditionalFormatting sqref="F17">
    <cfRule type="cellIs" dxfId="2" priority="1" operator="greaterThan">
      <formula>0.25</formula>
    </cfRule>
    <cfRule type="cellIs" dxfId="1" priority="2" operator="lessThan">
      <formula>0.25</formula>
    </cfRule>
    <cfRule type="cellIs" dxfId="0" priority="3" operator="lessThan">
      <formula>25</formula>
    </cfRule>
  </conditionalFormatting>
  <printOptions horizontalCentered="1" verticalCentered="1"/>
  <pageMargins left="0.19685039370078741" right="0.19685039370078741" top="0.19685039370078741" bottom="0.19685039370078741" header="0.19685039370078741" footer="0.19685039370078741"/>
  <pageSetup paperSize="9" scale="63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8673" r:id="rId4" name="Check Box 1">
              <controlPr defaultSize="0" autoFill="0" autoLine="0" autoPict="0">
                <anchor moveWithCells="1">
                  <from>
                    <xdr:col>7</xdr:col>
                    <xdr:colOff>504825</xdr:colOff>
                    <xdr:row>31</xdr:row>
                    <xdr:rowOff>0</xdr:rowOff>
                  </from>
                  <to>
                    <xdr:col>7</xdr:col>
                    <xdr:colOff>809625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74" r:id="rId5" name="Check Box 2">
              <controlPr defaultSize="0" autoFill="0" autoLine="0" autoPict="0">
                <anchor moveWithCells="1">
                  <from>
                    <xdr:col>7</xdr:col>
                    <xdr:colOff>9525</xdr:colOff>
                    <xdr:row>25</xdr:row>
                    <xdr:rowOff>0</xdr:rowOff>
                  </from>
                  <to>
                    <xdr:col>7</xdr:col>
                    <xdr:colOff>1181100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75" r:id="rId6" name="Check Box 3">
              <controlPr defaultSize="0" autoFill="0" autoLine="0" autoPict="0">
                <anchor moveWithCells="1">
                  <from>
                    <xdr:col>8</xdr:col>
                    <xdr:colOff>9525</xdr:colOff>
                    <xdr:row>25</xdr:row>
                    <xdr:rowOff>0</xdr:rowOff>
                  </from>
                  <to>
                    <xdr:col>8</xdr:col>
                    <xdr:colOff>1181100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76" r:id="rId7" name="Check Box 4">
              <controlPr defaultSize="0" autoFill="0" autoLine="0" autoPict="0">
                <anchor moveWithCells="1">
                  <from>
                    <xdr:col>9</xdr:col>
                    <xdr:colOff>9525</xdr:colOff>
                    <xdr:row>25</xdr:row>
                    <xdr:rowOff>0</xdr:rowOff>
                  </from>
                  <to>
                    <xdr:col>9</xdr:col>
                    <xdr:colOff>1181100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77" r:id="rId8" name="Check Box 5">
              <controlPr defaultSize="0" autoFill="0" autoLine="0" autoPict="0">
                <anchor moveWithCells="1">
                  <from>
                    <xdr:col>10</xdr:col>
                    <xdr:colOff>9525</xdr:colOff>
                    <xdr:row>25</xdr:row>
                    <xdr:rowOff>0</xdr:rowOff>
                  </from>
                  <to>
                    <xdr:col>10</xdr:col>
                    <xdr:colOff>1181100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78" r:id="rId9" name="Check Box 6">
              <controlPr defaultSize="0" autoFill="0" autoLine="0" autoPict="0">
                <anchor moveWithCells="1">
                  <from>
                    <xdr:col>11</xdr:col>
                    <xdr:colOff>9525</xdr:colOff>
                    <xdr:row>25</xdr:row>
                    <xdr:rowOff>0</xdr:rowOff>
                  </from>
                  <to>
                    <xdr:col>11</xdr:col>
                    <xdr:colOff>1181100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79" r:id="rId10" name="Check Box 7">
              <controlPr defaultSize="0" autoFill="0" autoLine="0" autoPict="0">
                <anchor moveWithCells="1">
                  <from>
                    <xdr:col>8</xdr:col>
                    <xdr:colOff>542925</xdr:colOff>
                    <xdr:row>31</xdr:row>
                    <xdr:rowOff>9525</xdr:rowOff>
                  </from>
                  <to>
                    <xdr:col>8</xdr:col>
                    <xdr:colOff>847725</xdr:colOff>
                    <xdr:row>32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15</vt:i4>
      </vt:variant>
      <vt:variant>
        <vt:lpstr>Intervalos Nomeados</vt:lpstr>
      </vt:variant>
      <vt:variant>
        <vt:i4>1</vt:i4>
      </vt:variant>
    </vt:vector>
  </HeadingPairs>
  <TitlesOfParts>
    <vt:vector size="16" baseType="lpstr">
      <vt:lpstr>Proposta Comercial </vt:lpstr>
      <vt:lpstr>Memorial de calculo</vt:lpstr>
      <vt:lpstr>RESUMO CUSTOS </vt:lpstr>
      <vt:lpstr>Fundação </vt:lpstr>
      <vt:lpstr>Aço </vt:lpstr>
      <vt:lpstr>Cobertura</vt:lpstr>
      <vt:lpstr>Plaqueamento Interno </vt:lpstr>
      <vt:lpstr>Plaqueamento Externo</vt:lpstr>
      <vt:lpstr>Revestimento </vt:lpstr>
      <vt:lpstr>Muro</vt:lpstr>
      <vt:lpstr>Instalação Portas</vt:lpstr>
      <vt:lpstr>Pintura </vt:lpstr>
      <vt:lpstr>Instalações</vt:lpstr>
      <vt:lpstr>PROJETO</vt:lpstr>
      <vt:lpstr>TOPOGRAFIA</vt:lpstr>
      <vt:lpstr>'Proposta Comercial 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Yuri Lahos</dc:creator>
  <cp:lastModifiedBy>Guilherme Angelin</cp:lastModifiedBy>
  <cp:lastPrinted>2026-02-11T18:05:07Z</cp:lastPrinted>
  <dcterms:created xsi:type="dcterms:W3CDTF">2009-11-06T14:29:30Z</dcterms:created>
  <dcterms:modified xsi:type="dcterms:W3CDTF">2026-02-11T18:05:12Z</dcterms:modified>
</cp:coreProperties>
</file>