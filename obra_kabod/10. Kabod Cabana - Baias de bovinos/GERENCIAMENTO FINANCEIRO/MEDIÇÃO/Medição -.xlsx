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01. ENGENHARIA\01. CONTRATOS\10. PABLO\GERENCIAMENTO FINANCEIRO\"/>
    </mc:Choice>
  </mc:AlternateContent>
  <xr:revisionPtr revIDLastSave="0" documentId="13_ncr:1_{0D47815E-1CE9-4359-95B7-CD9C23132AE1}" xr6:coauthVersionLast="47" xr6:coauthVersionMax="47" xr10:uidLastSave="{00000000-0000-0000-0000-000000000000}"/>
  <bookViews>
    <workbookView xWindow="-28920" yWindow="-3735" windowWidth="29040" windowHeight="15720" xr2:uid="{D627DFBE-D1E5-4E96-9B9A-C9F3131E74CC}"/>
  </bookViews>
  <sheets>
    <sheet name="Planilha1" sheetId="1" r:id="rId1"/>
    <sheet name="Planilha2" sheetId="2" r:id="rId2"/>
  </sheets>
  <definedNames>
    <definedName name="_xlnm.Print_Area" localSheetId="0">Planilha1!$B$1:$N$34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K10" i="1"/>
  <c r="L10" i="1"/>
  <c r="M11" i="1"/>
  <c r="M12" i="1"/>
  <c r="F12" i="1" s="1"/>
  <c r="N12" i="1" s="1"/>
  <c r="N13" i="1"/>
  <c r="N9" i="1"/>
  <c r="N8" i="1"/>
  <c r="N7" i="1"/>
  <c r="E8" i="1"/>
  <c r="M8" i="1" s="1"/>
  <c r="E9" i="1"/>
  <c r="E10" i="1"/>
  <c r="E11" i="1"/>
  <c r="E12" i="1"/>
  <c r="E13" i="1"/>
  <c r="E7" i="1"/>
  <c r="M7" i="1" s="1"/>
  <c r="J8" i="1"/>
  <c r="J9" i="1"/>
  <c r="J10" i="1"/>
  <c r="L8" i="1"/>
  <c r="L9" i="1"/>
  <c r="L11" i="1"/>
  <c r="L12" i="1"/>
  <c r="L13" i="1"/>
  <c r="L7" i="1"/>
  <c r="K8" i="1"/>
  <c r="K9" i="1"/>
  <c r="K17" i="1"/>
  <c r="K11" i="1"/>
  <c r="K12" i="1"/>
  <c r="K13" i="1"/>
  <c r="K7" i="1"/>
  <c r="J11" i="1"/>
  <c r="J12" i="1"/>
  <c r="J13" i="1"/>
  <c r="L17" i="1" l="1"/>
  <c r="L19" i="1" s="1"/>
  <c r="L20" i="1" s="1"/>
  <c r="I8" i="1"/>
  <c r="J17" i="1"/>
  <c r="J19" i="1" s="1"/>
  <c r="K19" i="1"/>
  <c r="M13" i="1"/>
  <c r="I13" i="1"/>
  <c r="I7" i="1"/>
  <c r="H7" i="1"/>
  <c r="L21" i="1" l="1"/>
  <c r="I12" i="1"/>
  <c r="I11" i="1"/>
  <c r="I10" i="1"/>
  <c r="M9" i="1"/>
  <c r="H9" i="1"/>
  <c r="H17" i="1" s="1"/>
  <c r="H19" i="1" s="1"/>
  <c r="H20" i="1" s="1"/>
  <c r="M10" i="1" l="1"/>
  <c r="I9" i="1"/>
  <c r="I17" i="1" s="1"/>
  <c r="I19" i="1" s="1"/>
  <c r="I20" i="1" s="1"/>
  <c r="J20" i="1" s="1"/>
  <c r="D17" i="1"/>
  <c r="M17" i="1" l="1"/>
  <c r="M19" i="1" s="1"/>
  <c r="M20" i="1" s="1"/>
  <c r="M21" i="1" s="1"/>
  <c r="K20" i="1"/>
  <c r="E17" i="1"/>
  <c r="H21" i="1" l="1"/>
  <c r="I21" i="1"/>
  <c r="K21" i="1"/>
  <c r="J21" i="1"/>
  <c r="O3" i="1"/>
  <c r="O4" i="1" s="1"/>
  <c r="F16" i="1" l="1"/>
  <c r="F15" i="1" l="1"/>
  <c r="F14" i="1"/>
  <c r="F7" i="1" l="1"/>
  <c r="F11" i="1"/>
  <c r="F9" i="1"/>
  <c r="F10" i="1"/>
  <c r="N10" i="1" s="1"/>
  <c r="F8" i="1"/>
  <c r="N11" i="1" l="1"/>
  <c r="N17" i="1" s="1"/>
  <c r="N19" i="1" s="1"/>
  <c r="N20" i="1" s="1"/>
  <c r="N21" i="1" s="1"/>
  <c r="F17" i="1"/>
</calcChain>
</file>

<file path=xl/sharedStrings.xml><?xml version="1.0" encoding="utf-8"?>
<sst xmlns="http://schemas.openxmlformats.org/spreadsheetml/2006/main" count="53" uniqueCount="23">
  <si>
    <t xml:space="preserve">ACUMULADO </t>
  </si>
  <si>
    <t>MEDIÇÃO 2</t>
  </si>
  <si>
    <t>MEDIÇÃO 3</t>
  </si>
  <si>
    <t>MEDIÇÃO 4</t>
  </si>
  <si>
    <t>MEDIÇÃO 5</t>
  </si>
  <si>
    <t xml:space="preserve">MEDIÇÃO </t>
  </si>
  <si>
    <t xml:space="preserve">DESCRIÇÃO </t>
  </si>
  <si>
    <t>Mão de obra</t>
  </si>
  <si>
    <t>Total</t>
  </si>
  <si>
    <t>Valor medido</t>
  </si>
  <si>
    <t>TOTAL RESTANTE DO CONTRATO</t>
  </si>
  <si>
    <t>Descrição</t>
  </si>
  <si>
    <t xml:space="preserve">Produção por % </t>
  </si>
  <si>
    <t>ENTRADA</t>
  </si>
  <si>
    <t>MEDIÇÃO 1 MONTAGEM AÇO</t>
  </si>
  <si>
    <t xml:space="preserve">MEDIÇÃO 2 FINALIZAÇÃO MONTAGEM AÇO </t>
  </si>
  <si>
    <t>MOBILIZAÇÃO</t>
  </si>
  <si>
    <t>MEDIÇÃO 3 FINALIZAÇÃO COBERTURA</t>
  </si>
  <si>
    <t>MEDIÇÃO 4 PLAQUEAMENTO EXTERNO</t>
  </si>
  <si>
    <t>MEDIÇÃO 5 PLAQUEAMENTO INTERNO E FORRO</t>
  </si>
  <si>
    <t>MEDIÇÃO 1</t>
  </si>
  <si>
    <t>ass. contrato</t>
  </si>
  <si>
    <t>PABLO
Vila Velha-ES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</si>
</sst>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%"/>
    <numFmt numFmtId="166" formatCode="&quot;R$&quot;\ #,##0.00"/>
    <numFmt numFmtId="167" formatCode="0.00000%"/>
    <numFmt numFmtId="168" formatCode="_-[$R$-416]\ * #,##0.00_-;\-[$R$-416]\ * #,##0.00_-;_-[$R$-416]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10"/>
      <name val="Times New Roman"/>
      <family val="1"/>
    </font>
    <font>
      <sz val="10"/>
      <name val="Helv"/>
      <charset val="204"/>
    </font>
    <font>
      <b/>
      <sz val="14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168" fontId="16" fillId="0" borderId="0"/>
    <xf numFmtId="44" fontId="2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4" fontId="13" fillId="0" borderId="0" xfId="1" applyFont="1" applyAlignment="1">
      <alignment vertical="center"/>
    </xf>
    <xf numFmtId="10" fontId="14" fillId="0" borderId="0" xfId="2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 wrapText="1"/>
    </xf>
    <xf numFmtId="10" fontId="13" fillId="0" borderId="0" xfId="2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67" fontId="10" fillId="4" borderId="0" xfId="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Border="1" applyAlignment="1">
      <alignment vertical="center"/>
    </xf>
    <xf numFmtId="43" fontId="6" fillId="4" borderId="0" xfId="0" applyNumberFormat="1" applyFont="1" applyFill="1" applyBorder="1" applyAlignment="1" applyProtection="1">
      <alignment horizontal="center" vertical="center"/>
      <protection locked="0"/>
    </xf>
    <xf numFmtId="10" fontId="6" fillId="4" borderId="0" xfId="2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10" fontId="11" fillId="0" borderId="4" xfId="2" applyNumberFormat="1" applyFont="1" applyFill="1" applyBorder="1" applyAlignment="1">
      <alignment horizontal="center" vertical="center"/>
    </xf>
    <xf numFmtId="44" fontId="6" fillId="2" borderId="4" xfId="1" applyFont="1" applyFill="1" applyBorder="1" applyAlignment="1">
      <alignment horizontal="center" vertical="center" wrapText="1"/>
    </xf>
    <xf numFmtId="167" fontId="10" fillId="0" borderId="4" xfId="2" applyNumberFormat="1" applyFont="1" applyFill="1" applyBorder="1" applyAlignment="1">
      <alignment horizontal="center" vertical="center" wrapText="1"/>
    </xf>
    <xf numFmtId="44" fontId="10" fillId="2" borderId="10" xfId="2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horizontal="left" vertical="center" wrapText="1"/>
    </xf>
    <xf numFmtId="44" fontId="10" fillId="4" borderId="0" xfId="0" applyNumberFormat="1" applyFont="1" applyFill="1" applyBorder="1" applyAlignment="1">
      <alignment horizontal="left" vertical="center" wrapText="1"/>
    </xf>
    <xf numFmtId="44" fontId="9" fillId="4" borderId="0" xfId="0" applyNumberFormat="1" applyFont="1" applyFill="1" applyBorder="1" applyAlignment="1">
      <alignment vertical="center"/>
    </xf>
    <xf numFmtId="44" fontId="9" fillId="4" borderId="0" xfId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44" fontId="11" fillId="0" borderId="14" xfId="1" applyFont="1" applyFill="1" applyBorder="1" applyAlignment="1">
      <alignment horizontal="center" vertical="center"/>
    </xf>
    <xf numFmtId="44" fontId="6" fillId="2" borderId="13" xfId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10" fontId="4" fillId="0" borderId="2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vertical="center"/>
    </xf>
    <xf numFmtId="44" fontId="10" fillId="4" borderId="20" xfId="1" applyFont="1" applyFill="1" applyBorder="1" applyAlignment="1">
      <alignment horizontal="center" vertical="center" wrapText="1"/>
    </xf>
    <xf numFmtId="43" fontId="6" fillId="2" borderId="28" xfId="0" applyNumberFormat="1" applyFont="1" applyFill="1" applyBorder="1" applyAlignment="1" applyProtection="1">
      <alignment horizontal="center" vertical="center"/>
      <protection locked="0"/>
    </xf>
    <xf numFmtId="44" fontId="6" fillId="2" borderId="23" xfId="1" applyFont="1" applyFill="1" applyBorder="1" applyAlignment="1">
      <alignment horizontal="center" vertical="center" wrapText="1"/>
    </xf>
    <xf numFmtId="44" fontId="10" fillId="3" borderId="30" xfId="0" applyNumberFormat="1" applyFont="1" applyFill="1" applyBorder="1" applyAlignment="1">
      <alignment horizontal="left" vertical="center" wrapText="1"/>
    </xf>
    <xf numFmtId="44" fontId="4" fillId="0" borderId="22" xfId="1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44" fontId="10" fillId="0" borderId="29" xfId="1" applyFont="1" applyBorder="1" applyAlignment="1">
      <alignment horizontal="left" vertical="center" wrapText="1"/>
    </xf>
    <xf numFmtId="44" fontId="9" fillId="2" borderId="30" xfId="0" applyNumberFormat="1" applyFont="1" applyFill="1" applyBorder="1" applyAlignment="1">
      <alignment vertical="center"/>
    </xf>
    <xf numFmtId="10" fontId="4" fillId="4" borderId="25" xfId="0" applyNumberFormat="1" applyFont="1" applyFill="1" applyBorder="1" applyAlignment="1">
      <alignment horizontal="center" vertical="center"/>
    </xf>
    <xf numFmtId="166" fontId="5" fillId="2" borderId="27" xfId="0" applyNumberFormat="1" applyFont="1" applyFill="1" applyBorder="1" applyAlignment="1">
      <alignment vertical="center"/>
    </xf>
    <xf numFmtId="165" fontId="9" fillId="2" borderId="11" xfId="2" applyNumberFormat="1" applyFont="1" applyFill="1" applyBorder="1" applyAlignment="1">
      <alignment horizontal="center" vertical="center"/>
    </xf>
    <xf numFmtId="44" fontId="6" fillId="0" borderId="22" xfId="1" applyFont="1" applyFill="1" applyBorder="1" applyAlignment="1">
      <alignment horizontal="left" vertical="center" wrapText="1"/>
    </xf>
    <xf numFmtId="44" fontId="5" fillId="2" borderId="10" xfId="1" applyFont="1" applyFill="1" applyBorder="1" applyAlignment="1">
      <alignment horizontal="center" vertical="center"/>
    </xf>
    <xf numFmtId="44" fontId="4" fillId="0" borderId="28" xfId="2" applyNumberFormat="1" applyFont="1" applyBorder="1" applyAlignment="1">
      <alignment horizontal="center" vertical="center"/>
    </xf>
    <xf numFmtId="44" fontId="4" fillId="0" borderId="20" xfId="2" applyNumberFormat="1" applyFont="1" applyBorder="1" applyAlignment="1">
      <alignment horizontal="center" vertical="center"/>
    </xf>
    <xf numFmtId="14" fontId="12" fillId="5" borderId="18" xfId="0" applyNumberFormat="1" applyFont="1" applyFill="1" applyBorder="1" applyAlignment="1">
      <alignment horizontal="center" vertical="center"/>
    </xf>
    <xf numFmtId="14" fontId="12" fillId="5" borderId="20" xfId="0" applyNumberFormat="1" applyFont="1" applyFill="1" applyBorder="1" applyAlignment="1">
      <alignment horizontal="center" vertical="center"/>
    </xf>
    <xf numFmtId="44" fontId="9" fillId="2" borderId="13" xfId="1" applyFont="1" applyFill="1" applyBorder="1" applyAlignment="1">
      <alignment horizontal="center" vertical="center" wrapText="1"/>
    </xf>
    <xf numFmtId="165" fontId="9" fillId="2" borderId="31" xfId="2" applyNumberFormat="1" applyFont="1" applyFill="1" applyBorder="1" applyAlignment="1">
      <alignment horizontal="center" vertical="center"/>
    </xf>
    <xf numFmtId="14" fontId="12" fillId="5" borderId="35" xfId="0" applyNumberFormat="1" applyFont="1" applyFill="1" applyBorder="1" applyAlignment="1">
      <alignment horizontal="center" vertical="center"/>
    </xf>
    <xf numFmtId="165" fontId="9" fillId="2" borderId="35" xfId="2" applyNumberFormat="1" applyFont="1" applyFill="1" applyBorder="1" applyAlignment="1">
      <alignment horizontal="center" vertical="center"/>
    </xf>
    <xf numFmtId="10" fontId="11" fillId="0" borderId="36" xfId="2" applyNumberFormat="1" applyFont="1" applyFill="1" applyBorder="1" applyAlignment="1">
      <alignment horizontal="center" vertical="center"/>
    </xf>
    <xf numFmtId="10" fontId="11" fillId="0" borderId="37" xfId="2" applyNumberFormat="1" applyFont="1" applyFill="1" applyBorder="1" applyAlignment="1">
      <alignment horizontal="center" vertical="center"/>
    </xf>
    <xf numFmtId="10" fontId="11" fillId="0" borderId="38" xfId="2" applyNumberFormat="1" applyFont="1" applyFill="1" applyBorder="1" applyAlignment="1">
      <alignment horizontal="center" vertical="center"/>
    </xf>
    <xf numFmtId="165" fontId="9" fillId="2" borderId="39" xfId="2" applyNumberFormat="1" applyFont="1" applyFill="1" applyBorder="1" applyAlignment="1">
      <alignment horizontal="center" vertical="center"/>
    </xf>
    <xf numFmtId="14" fontId="12" fillId="5" borderId="38" xfId="0" applyNumberFormat="1" applyFont="1" applyFill="1" applyBorder="1" applyAlignment="1">
      <alignment horizontal="center" vertical="center"/>
    </xf>
    <xf numFmtId="44" fontId="9" fillId="2" borderId="35" xfId="1" applyFont="1" applyFill="1" applyBorder="1" applyAlignment="1">
      <alignment horizontal="center" vertical="center" wrapText="1"/>
    </xf>
    <xf numFmtId="165" fontId="11" fillId="0" borderId="36" xfId="2" applyNumberFormat="1" applyFont="1" applyFill="1" applyBorder="1" applyAlignment="1">
      <alignment horizontal="center" vertical="center"/>
    </xf>
    <xf numFmtId="44" fontId="9" fillId="2" borderId="39" xfId="1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5" fontId="9" fillId="2" borderId="38" xfId="2" applyNumberFormat="1" applyFont="1" applyFill="1" applyBorder="1" applyAlignment="1">
      <alignment horizontal="center" vertical="center"/>
    </xf>
    <xf numFmtId="44" fontId="4" fillId="0" borderId="34" xfId="2" applyNumberFormat="1" applyFont="1" applyBorder="1" applyAlignment="1">
      <alignment horizontal="center" vertical="center"/>
    </xf>
    <xf numFmtId="44" fontId="4" fillId="0" borderId="35" xfId="2" applyNumberFormat="1" applyFont="1" applyBorder="1" applyAlignment="1">
      <alignment horizontal="center" vertical="center"/>
    </xf>
    <xf numFmtId="44" fontId="5" fillId="2" borderId="39" xfId="1" applyFont="1" applyFill="1" applyBorder="1" applyAlignment="1">
      <alignment horizontal="center" vertical="center"/>
    </xf>
    <xf numFmtId="44" fontId="4" fillId="6" borderId="22" xfId="1" applyFont="1" applyFill="1" applyBorder="1" applyAlignment="1">
      <alignment vertical="center"/>
    </xf>
    <xf numFmtId="44" fontId="6" fillId="6" borderId="22" xfId="1" applyFont="1" applyFill="1" applyBorder="1" applyAlignment="1">
      <alignment horizontal="left" vertical="center" wrapText="1"/>
    </xf>
    <xf numFmtId="44" fontId="10" fillId="6" borderId="4" xfId="1" applyFont="1" applyFill="1" applyBorder="1" applyAlignment="1">
      <alignment horizontal="center" vertical="center" wrapText="1"/>
    </xf>
    <xf numFmtId="44" fontId="11" fillId="6" borderId="38" xfId="1" applyFont="1" applyFill="1" applyBorder="1" applyAlignment="1">
      <alignment horizontal="center" vertical="center"/>
    </xf>
    <xf numFmtId="44" fontId="11" fillId="6" borderId="14" xfId="1" applyFont="1" applyFill="1" applyBorder="1" applyAlignment="1">
      <alignment horizontal="center" vertical="center"/>
    </xf>
    <xf numFmtId="44" fontId="10" fillId="6" borderId="18" xfId="1" applyFont="1" applyFill="1" applyBorder="1" applyAlignment="1">
      <alignment horizontal="center" vertical="center" wrapText="1"/>
    </xf>
    <xf numFmtId="44" fontId="11" fillId="6" borderId="4" xfId="1" applyFont="1" applyFill="1" applyBorder="1" applyAlignment="1">
      <alignment horizontal="center" vertical="center"/>
    </xf>
    <xf numFmtId="44" fontId="11" fillId="6" borderId="35" xfId="1" applyFont="1" applyFill="1" applyBorder="1" applyAlignment="1">
      <alignment horizontal="center" vertical="center"/>
    </xf>
    <xf numFmtId="10" fontId="11" fillId="6" borderId="36" xfId="2" applyNumberFormat="1" applyFont="1" applyFill="1" applyBorder="1" applyAlignment="1">
      <alignment horizontal="center" vertical="center"/>
    </xf>
    <xf numFmtId="10" fontId="11" fillId="6" borderId="31" xfId="2" applyNumberFormat="1" applyFont="1" applyFill="1" applyBorder="1" applyAlignment="1">
      <alignment horizontal="center" vertical="center"/>
    </xf>
    <xf numFmtId="10" fontId="10" fillId="6" borderId="38" xfId="2" applyNumberFormat="1" applyFont="1" applyFill="1" applyBorder="1" applyAlignment="1">
      <alignment horizontal="center" vertical="center"/>
    </xf>
    <xf numFmtId="10" fontId="11" fillId="6" borderId="37" xfId="2" applyNumberFormat="1" applyFont="1" applyFill="1" applyBorder="1" applyAlignment="1">
      <alignment horizontal="center" vertical="center"/>
    </xf>
    <xf numFmtId="10" fontId="11" fillId="6" borderId="32" xfId="2" applyNumberFormat="1" applyFont="1" applyFill="1" applyBorder="1" applyAlignment="1">
      <alignment horizontal="center" vertical="center"/>
    </xf>
    <xf numFmtId="10" fontId="10" fillId="6" borderId="37" xfId="2" applyNumberFormat="1" applyFont="1" applyFill="1" applyBorder="1" applyAlignment="1">
      <alignment horizontal="center" vertical="center"/>
    </xf>
    <xf numFmtId="44" fontId="11" fillId="4" borderId="36" xfId="1" applyFont="1" applyFill="1" applyBorder="1" applyAlignment="1">
      <alignment horizontal="center" vertical="center"/>
    </xf>
    <xf numFmtId="44" fontId="11" fillId="4" borderId="14" xfId="1" applyFont="1" applyFill="1" applyBorder="1" applyAlignment="1">
      <alignment horizontal="center" vertical="center"/>
    </xf>
    <xf numFmtId="44" fontId="11" fillId="4" borderId="38" xfId="1" applyFont="1" applyFill="1" applyBorder="1" applyAlignment="1">
      <alignment horizontal="center" vertical="center"/>
    </xf>
    <xf numFmtId="44" fontId="11" fillId="4" borderId="4" xfId="1" applyFont="1" applyFill="1" applyBorder="1" applyAlignment="1">
      <alignment horizontal="center" vertical="center"/>
    </xf>
    <xf numFmtId="10" fontId="11" fillId="4" borderId="37" xfId="2" applyNumberFormat="1" applyFont="1" applyFill="1" applyBorder="1" applyAlignment="1">
      <alignment horizontal="center" vertical="center"/>
    </xf>
    <xf numFmtId="10" fontId="10" fillId="4" borderId="38" xfId="2" applyNumberFormat="1" applyFont="1" applyFill="1" applyBorder="1" applyAlignment="1">
      <alignment horizontal="center" vertical="center"/>
    </xf>
    <xf numFmtId="10" fontId="11" fillId="4" borderId="38" xfId="2" applyNumberFormat="1" applyFont="1" applyFill="1" applyBorder="1" applyAlignment="1">
      <alignment horizontal="center" vertical="center"/>
    </xf>
    <xf numFmtId="10" fontId="11" fillId="4" borderId="7" xfId="2" applyNumberFormat="1" applyFont="1" applyFill="1" applyBorder="1" applyAlignment="1">
      <alignment horizontal="center" vertical="center"/>
    </xf>
    <xf numFmtId="10" fontId="11" fillId="4" borderId="33" xfId="2" applyNumberFormat="1" applyFont="1" applyFill="1" applyBorder="1" applyAlignment="1">
      <alignment horizontal="center" vertical="center"/>
    </xf>
    <xf numFmtId="10" fontId="10" fillId="4" borderId="35" xfId="2" applyNumberFormat="1" applyFont="1" applyFill="1" applyBorder="1" applyAlignment="1">
      <alignment horizontal="center" vertical="center"/>
    </xf>
    <xf numFmtId="44" fontId="10" fillId="6" borderId="20" xfId="1" applyFont="1" applyFill="1" applyBorder="1" applyAlignment="1">
      <alignment horizontal="center" vertical="center" wrapText="1"/>
    </xf>
    <xf numFmtId="44" fontId="11" fillId="6" borderId="36" xfId="1" applyFont="1" applyFill="1" applyBorder="1" applyAlignment="1">
      <alignment horizontal="center" vertical="center"/>
    </xf>
    <xf numFmtId="10" fontId="11" fillId="6" borderId="15" xfId="2" applyNumberFormat="1" applyFont="1" applyFill="1" applyBorder="1" applyAlignment="1">
      <alignment horizontal="center" vertical="center"/>
    </xf>
    <xf numFmtId="44" fontId="4" fillId="0" borderId="11" xfId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5" fontId="9" fillId="2" borderId="19" xfId="2" applyNumberFormat="1" applyFont="1" applyFill="1" applyBorder="1" applyAlignment="1">
      <alignment horizontal="center" vertical="center"/>
    </xf>
    <xf numFmtId="165" fontId="9" fillId="2" borderId="27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6" fillId="6" borderId="15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17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9" fillId="4" borderId="40" xfId="0" applyFont="1" applyFill="1" applyBorder="1" applyAlignment="1">
      <alignment horizontal="center" vertical="center"/>
    </xf>
    <xf numFmtId="44" fontId="6" fillId="2" borderId="35" xfId="1" applyFont="1" applyFill="1" applyBorder="1" applyAlignment="1">
      <alignment horizontal="center" vertical="center" wrapText="1"/>
    </xf>
    <xf numFmtId="44" fontId="11" fillId="0" borderId="38" xfId="1" applyFont="1" applyFill="1" applyBorder="1" applyAlignment="1">
      <alignment horizontal="center" vertical="center"/>
    </xf>
  </cellXfs>
  <cellStyles count="8">
    <cellStyle name="Estilo 1" xfId="6" xr:uid="{70839B12-2EFE-4115-BC36-251D17C1FE64}"/>
    <cellStyle name="Moeda" xfId="1" builtinId="4"/>
    <cellStyle name="Moeda 2" xfId="7" xr:uid="{B4100BDC-0F7F-4C2A-A8C0-014AB8F7CD9C}"/>
    <cellStyle name="Normal" xfId="0" builtinId="0"/>
    <cellStyle name="Normal 2 2" xfId="4" xr:uid="{267780BE-F183-43F1-B42F-FC964427B8D6}"/>
    <cellStyle name="Porcentagem" xfId="2" builtinId="5"/>
    <cellStyle name="Porcentagem 2" xfId="5" xr:uid="{F3CE86D0-6FC5-4155-A4A5-673402A32670}"/>
    <cellStyle name="Separador de milhares 2" xfId="3" xr:uid="{79CFEF1C-151D-4649-A4F8-8A14940E1486}"/>
  </cellStyles>
  <dxfs count="0"/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35945</xdr:colOff>
      <xdr:row>0</xdr:row>
      <xdr:rowOff>35944</xdr:rowOff>
    </xdr:from>
    <xdr:to>
      <xdr:col>1</xdr:col>
      <xdr:colOff>1447401</xdr:colOff>
      <xdr:row>3</xdr:row>
      <xdr:rowOff>26419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0F5D47-F3EC-ABD8-9372-738F98651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477" t="30159" r="34966" b="15873"/>
        <a:stretch/>
      </xdr:blipFill>
      <xdr:spPr>
        <a:xfrm>
          <a:off x="35945" y="35944"/>
          <a:ext cx="1411456" cy="754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518C-3F1B-488D-A33B-042184BBB7A7}">
  <sheetPr>
    <pageSetUpPr fitToPage="1"/>
  </sheetPr>
  <dimension ref="B2:P34"/>
  <sheetViews>
    <sheetView showGridLines="0" tabSelected="1" view="pageBreakPreview" topLeftCell="A4" zoomScale="106" zoomScaleNormal="100" zoomScaleSheetLayoutView="106" workbookViewId="0">
      <selection activeCell="M34" sqref="B1:N34"/>
    </sheetView>
  </sheetViews>
  <sheetFormatPr defaultRowHeight="15"/>
  <cols>
    <col min="1" max="1" width="1.7109375" style="1" customWidth="1"/>
    <col min="2" max="2" width="25.7109375" style="1" customWidth="1"/>
    <col min="3" max="3" width="28.5703125" style="1" customWidth="1"/>
    <col min="4" max="5" width="16.28515625" style="1" customWidth="1"/>
    <col min="6" max="6" width="14.28515625" style="1" bestFit="1" customWidth="1"/>
    <col min="7" max="7" width="2" style="13" customWidth="1"/>
    <col min="8" max="10" width="18.140625" style="1" customWidth="1"/>
    <col min="11" max="13" width="16.7109375" style="1" customWidth="1"/>
    <col min="14" max="14" width="16.7109375" style="1" hidden="1" customWidth="1"/>
    <col min="15" max="15" width="14.42578125" style="1" bestFit="1" customWidth="1"/>
    <col min="16" max="16" width="13.28515625" style="1" bestFit="1" customWidth="1"/>
    <col min="17" max="16384" width="9.140625" style="1"/>
  </cols>
  <sheetData>
    <row r="2" spans="2:16" ht="30">
      <c r="C2" s="2" t="s">
        <v>22</v>
      </c>
      <c r="O2" s="5">
        <v>27239.48</v>
      </c>
    </row>
    <row r="3" spans="2:16" ht="15.75" thickBot="1">
      <c r="O3" s="6">
        <f>O2/E17</f>
        <v>0.19882832116788321</v>
      </c>
    </row>
    <row r="4" spans="2:16" s="4" customFormat="1">
      <c r="C4" s="8"/>
      <c r="G4" s="14"/>
      <c r="H4" s="63" t="s">
        <v>13</v>
      </c>
      <c r="I4" s="64" t="s">
        <v>16</v>
      </c>
      <c r="J4" s="65" t="s">
        <v>20</v>
      </c>
      <c r="K4" s="65" t="s">
        <v>1</v>
      </c>
      <c r="L4" s="65" t="s">
        <v>2</v>
      </c>
      <c r="M4" s="125" t="s">
        <v>3</v>
      </c>
      <c r="N4" s="65" t="s">
        <v>4</v>
      </c>
      <c r="O4" s="9">
        <f>O3/7</f>
        <v>2.8404045881126171E-2</v>
      </c>
    </row>
    <row r="5" spans="2:16" s="4" customFormat="1" ht="15" customHeight="1" thickBot="1">
      <c r="G5" s="14"/>
      <c r="H5" s="59" t="s">
        <v>21</v>
      </c>
      <c r="I5" s="49">
        <v>46111</v>
      </c>
      <c r="J5" s="49">
        <v>46127</v>
      </c>
      <c r="K5" s="50">
        <v>46142</v>
      </c>
      <c r="L5" s="50">
        <v>46164</v>
      </c>
      <c r="M5" s="53">
        <v>46171</v>
      </c>
      <c r="N5" s="50">
        <v>46188</v>
      </c>
    </row>
    <row r="6" spans="2:16" s="10" customFormat="1" ht="15.75" customHeight="1">
      <c r="B6" s="118" t="s">
        <v>11</v>
      </c>
      <c r="C6" s="119"/>
      <c r="D6" s="36" t="s">
        <v>7</v>
      </c>
      <c r="E6" s="36" t="s">
        <v>8</v>
      </c>
      <c r="F6" s="35" t="s">
        <v>9</v>
      </c>
      <c r="G6" s="15"/>
      <c r="H6" s="60" t="s">
        <v>7</v>
      </c>
      <c r="I6" s="51" t="s">
        <v>7</v>
      </c>
      <c r="J6" s="29" t="s">
        <v>7</v>
      </c>
      <c r="K6" s="19" t="s">
        <v>7</v>
      </c>
      <c r="L6" s="29" t="s">
        <v>7</v>
      </c>
      <c r="M6" s="126" t="s">
        <v>7</v>
      </c>
      <c r="N6" s="29" t="s">
        <v>7</v>
      </c>
    </row>
    <row r="7" spans="2:16" s="4" customFormat="1">
      <c r="B7" s="120" t="s">
        <v>13</v>
      </c>
      <c r="C7" s="121"/>
      <c r="D7" s="70">
        <v>3000</v>
      </c>
      <c r="E7" s="71">
        <f>D7</f>
        <v>3000</v>
      </c>
      <c r="F7" s="72">
        <f t="shared" ref="F7:F11" si="0">SUM(H7:M7)</f>
        <v>3000</v>
      </c>
      <c r="G7" s="11"/>
      <c r="H7" s="73">
        <f>H27*D7</f>
        <v>3000</v>
      </c>
      <c r="I7" s="74">
        <f>I27*D7</f>
        <v>0</v>
      </c>
      <c r="J7" s="74">
        <v>0</v>
      </c>
      <c r="K7" s="74">
        <f t="shared" ref="K7:K13" si="1">K27*D7</f>
        <v>0</v>
      </c>
      <c r="L7" s="74">
        <f t="shared" ref="L7:N13" si="2">L27*D7</f>
        <v>0</v>
      </c>
      <c r="M7" s="73">
        <f t="shared" si="2"/>
        <v>0</v>
      </c>
      <c r="N7" s="74">
        <f t="shared" si="2"/>
        <v>0</v>
      </c>
    </row>
    <row r="8" spans="2:16" s="4" customFormat="1">
      <c r="B8" s="120" t="s">
        <v>16</v>
      </c>
      <c r="C8" s="121"/>
      <c r="D8" s="70">
        <v>8000</v>
      </c>
      <c r="E8" s="71">
        <f t="shared" ref="E8:E13" si="3">D8</f>
        <v>8000</v>
      </c>
      <c r="F8" s="75">
        <f t="shared" si="0"/>
        <v>8000</v>
      </c>
      <c r="G8" s="11"/>
      <c r="H8" s="73">
        <v>0</v>
      </c>
      <c r="I8" s="76">
        <f>I28*E8</f>
        <v>8000</v>
      </c>
      <c r="J8" s="74">
        <f t="shared" ref="J8:J13" si="4">J28*D8</f>
        <v>0</v>
      </c>
      <c r="K8" s="74">
        <f t="shared" si="1"/>
        <v>0</v>
      </c>
      <c r="L8" s="74">
        <f t="shared" si="2"/>
        <v>0</v>
      </c>
      <c r="M8" s="73">
        <f t="shared" si="2"/>
        <v>0</v>
      </c>
      <c r="N8" s="74">
        <f t="shared" si="2"/>
        <v>0</v>
      </c>
    </row>
    <row r="9" spans="2:16" s="4" customFormat="1" ht="15" customHeight="1">
      <c r="B9" s="110" t="s">
        <v>14</v>
      </c>
      <c r="C9" s="122"/>
      <c r="D9" s="70">
        <v>23000</v>
      </c>
      <c r="E9" s="71">
        <f t="shared" si="3"/>
        <v>23000</v>
      </c>
      <c r="F9" s="75">
        <f t="shared" si="0"/>
        <v>23000</v>
      </c>
      <c r="G9" s="11"/>
      <c r="H9" s="77">
        <f>H29*D9</f>
        <v>0</v>
      </c>
      <c r="I9" s="74">
        <f>I29*D9</f>
        <v>0</v>
      </c>
      <c r="J9" s="74">
        <f t="shared" si="4"/>
        <v>23000</v>
      </c>
      <c r="K9" s="74">
        <f t="shared" si="1"/>
        <v>0</v>
      </c>
      <c r="L9" s="74">
        <f t="shared" si="2"/>
        <v>0</v>
      </c>
      <c r="M9" s="73">
        <f t="shared" si="2"/>
        <v>0</v>
      </c>
      <c r="N9" s="74">
        <f t="shared" si="2"/>
        <v>0</v>
      </c>
    </row>
    <row r="10" spans="2:16" s="4" customFormat="1" ht="15" customHeight="1">
      <c r="B10" s="110" t="s">
        <v>15</v>
      </c>
      <c r="C10" s="122"/>
      <c r="D10" s="70">
        <v>23000</v>
      </c>
      <c r="E10" s="71">
        <f t="shared" si="3"/>
        <v>23000</v>
      </c>
      <c r="F10" s="94">
        <f t="shared" si="0"/>
        <v>23000</v>
      </c>
      <c r="G10" s="11"/>
      <c r="H10" s="95">
        <v>0</v>
      </c>
      <c r="I10" s="74">
        <f>I30*D10</f>
        <v>0</v>
      </c>
      <c r="J10" s="74">
        <f t="shared" si="4"/>
        <v>0</v>
      </c>
      <c r="K10" s="74">
        <f>K30*D10</f>
        <v>13800</v>
      </c>
      <c r="L10" s="74">
        <f>L30*E10</f>
        <v>9200</v>
      </c>
      <c r="M10" s="73">
        <f t="shared" si="2"/>
        <v>0</v>
      </c>
      <c r="N10" s="28">
        <f t="shared" si="2"/>
        <v>0</v>
      </c>
    </row>
    <row r="11" spans="2:16" s="4" customFormat="1" ht="15" customHeight="1">
      <c r="B11" s="107" t="s">
        <v>17</v>
      </c>
      <c r="C11" s="124"/>
      <c r="D11" s="38">
        <v>28500</v>
      </c>
      <c r="E11" s="45">
        <f t="shared" si="3"/>
        <v>28500</v>
      </c>
      <c r="F11" s="34">
        <f t="shared" si="0"/>
        <v>20092.5</v>
      </c>
      <c r="G11" s="11"/>
      <c r="H11" s="86">
        <v>0</v>
      </c>
      <c r="I11" s="87">
        <f>I31*D11</f>
        <v>0</v>
      </c>
      <c r="J11" s="85">
        <f t="shared" si="4"/>
        <v>0</v>
      </c>
      <c r="K11" s="28">
        <f t="shared" si="1"/>
        <v>0</v>
      </c>
      <c r="L11" s="28">
        <f t="shared" si="2"/>
        <v>0</v>
      </c>
      <c r="M11" s="127">
        <f>M31*E11</f>
        <v>20092.5</v>
      </c>
      <c r="N11" s="28">
        <f t="shared" si="2"/>
        <v>0</v>
      </c>
      <c r="P11" s="3"/>
    </row>
    <row r="12" spans="2:16" s="4" customFormat="1" ht="15" customHeight="1">
      <c r="B12" s="104" t="s">
        <v>18</v>
      </c>
      <c r="C12" s="123"/>
      <c r="D12" s="38">
        <v>28500</v>
      </c>
      <c r="E12" s="45">
        <f t="shared" si="3"/>
        <v>28500</v>
      </c>
      <c r="F12" s="34">
        <f>SUM(H12:M12)</f>
        <v>19950</v>
      </c>
      <c r="G12" s="11"/>
      <c r="H12" s="84">
        <v>0</v>
      </c>
      <c r="I12" s="85">
        <f>I32*D12</f>
        <v>0</v>
      </c>
      <c r="J12" s="85">
        <f t="shared" si="4"/>
        <v>0</v>
      </c>
      <c r="K12" s="28">
        <f t="shared" si="1"/>
        <v>19950</v>
      </c>
      <c r="L12" s="28">
        <f t="shared" si="2"/>
        <v>0</v>
      </c>
      <c r="M12" s="127">
        <f>M32*E12</f>
        <v>0</v>
      </c>
      <c r="N12" s="28">
        <f>N32*F12</f>
        <v>0</v>
      </c>
    </row>
    <row r="13" spans="2:16" s="4" customFormat="1" ht="15" customHeight="1">
      <c r="B13" s="104" t="s">
        <v>19</v>
      </c>
      <c r="C13" s="123"/>
      <c r="D13" s="38">
        <v>23000</v>
      </c>
      <c r="E13" s="45">
        <f t="shared" si="3"/>
        <v>23000</v>
      </c>
      <c r="F13" s="34">
        <f>SUM(H13:N13)</f>
        <v>23000</v>
      </c>
      <c r="G13" s="11"/>
      <c r="H13" s="86">
        <v>0</v>
      </c>
      <c r="I13" s="87">
        <f>I33*D13</f>
        <v>0</v>
      </c>
      <c r="J13" s="85">
        <f t="shared" si="4"/>
        <v>0</v>
      </c>
      <c r="K13" s="28">
        <f t="shared" si="1"/>
        <v>0</v>
      </c>
      <c r="L13" s="28">
        <f t="shared" si="2"/>
        <v>0</v>
      </c>
      <c r="M13" s="127">
        <f t="shared" si="2"/>
        <v>0</v>
      </c>
      <c r="N13" s="28">
        <f>N33*E13</f>
        <v>23000</v>
      </c>
    </row>
    <row r="14" spans="2:16" s="4" customFormat="1" ht="15" hidden="1" customHeight="1">
      <c r="B14" s="116"/>
      <c r="C14" s="117"/>
      <c r="D14" s="39"/>
      <c r="E14" s="40"/>
      <c r="F14" s="20">
        <f>E14/$E$17</f>
        <v>0</v>
      </c>
      <c r="G14" s="11"/>
      <c r="H14" s="55"/>
      <c r="I14" s="18"/>
      <c r="J14" s="18"/>
      <c r="K14" s="18"/>
      <c r="L14" s="18"/>
      <c r="M14" s="55"/>
      <c r="N14" s="18"/>
    </row>
    <row r="15" spans="2:16" s="4" customFormat="1" ht="15.75" hidden="1" customHeight="1" thickBot="1">
      <c r="B15" s="116"/>
      <c r="C15" s="117"/>
      <c r="D15" s="39"/>
      <c r="E15" s="40"/>
      <c r="F15" s="20">
        <f>E15/$E$17</f>
        <v>0</v>
      </c>
      <c r="G15" s="11"/>
      <c r="H15" s="61"/>
      <c r="I15" s="18"/>
      <c r="J15" s="18"/>
      <c r="K15" s="18"/>
      <c r="L15" s="18"/>
      <c r="M15" s="55"/>
      <c r="N15" s="18"/>
    </row>
    <row r="16" spans="2:16" s="4" customFormat="1" hidden="1">
      <c r="B16" s="116"/>
      <c r="C16" s="117"/>
      <c r="D16" s="39"/>
      <c r="E16" s="40"/>
      <c r="F16" s="20">
        <f>E16/$E$17</f>
        <v>0</v>
      </c>
      <c r="G16" s="11"/>
      <c r="H16" s="55"/>
      <c r="I16" s="18"/>
      <c r="J16" s="18"/>
      <c r="K16" s="18"/>
      <c r="L16" s="18"/>
      <c r="M16" s="55"/>
      <c r="N16" s="18"/>
    </row>
    <row r="17" spans="2:15" s="12" customFormat="1" ht="15.75" customHeight="1" thickBot="1">
      <c r="B17" s="114"/>
      <c r="C17" s="115"/>
      <c r="D17" s="37">
        <f>SUM(D7:D13)</f>
        <v>137000</v>
      </c>
      <c r="E17" s="41">
        <f>SUM(E7:E16)</f>
        <v>137000</v>
      </c>
      <c r="F17" s="21">
        <f>SUM(F7:F13)</f>
        <v>120042.5</v>
      </c>
      <c r="G17" s="16"/>
      <c r="H17" s="62">
        <f>SUM(H7:H13)</f>
        <v>3000</v>
      </c>
      <c r="I17" s="62">
        <f t="shared" ref="I17:N17" si="5">SUM(I7:I13)</f>
        <v>8000</v>
      </c>
      <c r="J17" s="62">
        <f t="shared" si="5"/>
        <v>23000</v>
      </c>
      <c r="K17" s="62">
        <f>SUM(K7:K13)</f>
        <v>33750</v>
      </c>
      <c r="L17" s="62">
        <f t="shared" si="5"/>
        <v>9200</v>
      </c>
      <c r="M17" s="62">
        <f t="shared" si="5"/>
        <v>20092.5</v>
      </c>
      <c r="N17" s="62">
        <f t="shared" si="5"/>
        <v>23000</v>
      </c>
      <c r="O17" s="1"/>
    </row>
    <row r="18" spans="2:15" s="22" customFormat="1" ht="8.25" customHeight="1" thickBot="1">
      <c r="B18" s="23"/>
      <c r="C18" s="23"/>
      <c r="D18" s="24"/>
      <c r="E18" s="25"/>
      <c r="F18" s="16"/>
      <c r="G18" s="16"/>
      <c r="H18" s="26"/>
      <c r="I18" s="26"/>
      <c r="J18" s="26"/>
      <c r="K18" s="26"/>
      <c r="L18" s="26"/>
      <c r="M18" s="26"/>
      <c r="N18" s="26"/>
      <c r="O18" s="1"/>
    </row>
    <row r="19" spans="2:15" s="4" customFormat="1">
      <c r="D19" s="3"/>
      <c r="E19" s="30" t="s">
        <v>5</v>
      </c>
      <c r="F19" s="31"/>
      <c r="G19" s="42"/>
      <c r="H19" s="67">
        <f t="shared" ref="H19:M19" si="6">H17</f>
        <v>3000</v>
      </c>
      <c r="I19" s="47">
        <f t="shared" si="6"/>
        <v>8000</v>
      </c>
      <c r="J19" s="47">
        <f t="shared" si="6"/>
        <v>23000</v>
      </c>
      <c r="K19" s="47">
        <f t="shared" si="6"/>
        <v>33750</v>
      </c>
      <c r="L19" s="47">
        <f t="shared" si="6"/>
        <v>9200</v>
      </c>
      <c r="M19" s="47">
        <f t="shared" si="6"/>
        <v>20092.5</v>
      </c>
      <c r="N19" s="47">
        <f t="shared" ref="N19" si="7">N17</f>
        <v>23000</v>
      </c>
      <c r="O19" s="1"/>
    </row>
    <row r="20" spans="2:15" s="4" customFormat="1">
      <c r="B20" s="3"/>
      <c r="E20" s="32" t="s">
        <v>0</v>
      </c>
      <c r="F20" s="33"/>
      <c r="G20" s="14"/>
      <c r="H20" s="68">
        <f>H19</f>
        <v>3000</v>
      </c>
      <c r="I20" s="48">
        <f>I19+H20</f>
        <v>11000</v>
      </c>
      <c r="J20" s="48">
        <f>J19+I20</f>
        <v>34000</v>
      </c>
      <c r="K20" s="48">
        <f>J20+K19</f>
        <v>67750</v>
      </c>
      <c r="L20" s="48">
        <f>K20+L19</f>
        <v>76950</v>
      </c>
      <c r="M20" s="48">
        <f>L20+M19</f>
        <v>97042.5</v>
      </c>
      <c r="N20" s="48">
        <f t="shared" ref="N20" si="8">M20+N19</f>
        <v>120042.5</v>
      </c>
      <c r="O20" s="1"/>
    </row>
    <row r="21" spans="2:15" s="4" customFormat="1" ht="15.75" customHeight="1" thickBot="1">
      <c r="D21" s="27"/>
      <c r="E21" s="98" t="s">
        <v>10</v>
      </c>
      <c r="F21" s="99"/>
      <c r="G21" s="43"/>
      <c r="H21" s="69">
        <f>E17-H20</f>
        <v>134000</v>
      </c>
      <c r="I21" s="46">
        <f>E17-I20</f>
        <v>126000</v>
      </c>
      <c r="J21" s="46">
        <f>E17-J20</f>
        <v>103000</v>
      </c>
      <c r="K21" s="46">
        <f>E17-K20</f>
        <v>69250</v>
      </c>
      <c r="L21" s="46">
        <f>E17-L20</f>
        <v>60050</v>
      </c>
      <c r="M21" s="46">
        <f>E17-M20</f>
        <v>39957.5</v>
      </c>
      <c r="N21" s="46">
        <f>E17-N20</f>
        <v>16957.5</v>
      </c>
      <c r="O21" s="1"/>
    </row>
    <row r="22" spans="2:15" ht="15" customHeight="1">
      <c r="E22" s="113" t="s">
        <v>12</v>
      </c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5" ht="15.75" customHeight="1" thickBot="1"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3"/>
    </row>
    <row r="24" spans="2:15">
      <c r="B24" s="7"/>
      <c r="C24" s="7"/>
      <c r="D24" s="7"/>
      <c r="E24" s="7"/>
      <c r="F24" s="7"/>
      <c r="G24" s="17"/>
      <c r="H24" s="63" t="s">
        <v>13</v>
      </c>
      <c r="I24" s="64" t="s">
        <v>16</v>
      </c>
      <c r="J24" s="65" t="s">
        <v>20</v>
      </c>
      <c r="K24" s="65" t="s">
        <v>1</v>
      </c>
      <c r="L24" s="65" t="s">
        <v>2</v>
      </c>
      <c r="M24" s="125" t="s">
        <v>3</v>
      </c>
      <c r="N24" s="63"/>
      <c r="O24" s="13"/>
    </row>
    <row r="25" spans="2:15" ht="15.75" thickBot="1">
      <c r="E25" s="97"/>
      <c r="F25" s="97"/>
      <c r="G25" s="97"/>
      <c r="H25" s="59" t="s">
        <v>21</v>
      </c>
      <c r="I25" s="49">
        <v>46111</v>
      </c>
      <c r="J25" s="49">
        <v>46127</v>
      </c>
      <c r="K25" s="50">
        <v>46142</v>
      </c>
      <c r="L25" s="50">
        <v>46164</v>
      </c>
      <c r="M25" s="53">
        <v>46171</v>
      </c>
      <c r="N25" s="53"/>
      <c r="O25" s="13"/>
    </row>
    <row r="26" spans="2:15">
      <c r="E26" s="100" t="s">
        <v>6</v>
      </c>
      <c r="F26" s="101"/>
      <c r="G26" s="101"/>
      <c r="H26" s="54" t="s">
        <v>7</v>
      </c>
      <c r="I26" s="52" t="s">
        <v>7</v>
      </c>
      <c r="J26" s="66" t="s">
        <v>7</v>
      </c>
      <c r="K26" s="54" t="s">
        <v>7</v>
      </c>
      <c r="L26" s="54" t="s">
        <v>7</v>
      </c>
      <c r="M26" s="54" t="s">
        <v>7</v>
      </c>
      <c r="N26" s="54" t="s">
        <v>7</v>
      </c>
      <c r="O26" s="13"/>
    </row>
    <row r="27" spans="2:15">
      <c r="E27" s="110" t="s">
        <v>13</v>
      </c>
      <c r="F27" s="111"/>
      <c r="G27" s="112"/>
      <c r="H27" s="78">
        <v>1</v>
      </c>
      <c r="I27" s="79"/>
      <c r="J27" s="80"/>
      <c r="K27" s="78"/>
      <c r="L27" s="78"/>
      <c r="M27" s="78"/>
      <c r="N27" s="78"/>
      <c r="O27" s="13"/>
    </row>
    <row r="28" spans="2:15" s="13" customFormat="1">
      <c r="E28" s="110" t="s">
        <v>16</v>
      </c>
      <c r="F28" s="111"/>
      <c r="G28" s="112"/>
      <c r="H28" s="81">
        <v>0</v>
      </c>
      <c r="I28" s="82">
        <v>1</v>
      </c>
      <c r="J28" s="83"/>
      <c r="K28" s="81"/>
      <c r="L28" s="81"/>
      <c r="M28" s="81"/>
      <c r="N28" s="81"/>
    </row>
    <row r="29" spans="2:15" s="13" customFormat="1" ht="15" customHeight="1">
      <c r="E29" s="110" t="s">
        <v>14</v>
      </c>
      <c r="F29" s="111"/>
      <c r="G29" s="112"/>
      <c r="H29" s="81">
        <v>0</v>
      </c>
      <c r="I29" s="79">
        <v>0</v>
      </c>
      <c r="J29" s="80">
        <v>1</v>
      </c>
      <c r="K29" s="81"/>
      <c r="L29" s="81"/>
      <c r="M29" s="81"/>
      <c r="N29" s="81"/>
      <c r="O29" s="1"/>
    </row>
    <row r="30" spans="2:15" s="13" customFormat="1" ht="25.5" customHeight="1">
      <c r="E30" s="110" t="s">
        <v>15</v>
      </c>
      <c r="F30" s="111"/>
      <c r="G30" s="112"/>
      <c r="H30" s="81">
        <v>0</v>
      </c>
      <c r="I30" s="96">
        <v>0</v>
      </c>
      <c r="J30" s="80">
        <v>0</v>
      </c>
      <c r="K30" s="81">
        <v>0.6</v>
      </c>
      <c r="L30" s="81">
        <v>0.4</v>
      </c>
      <c r="M30" s="81"/>
      <c r="N30" s="56"/>
      <c r="O30" s="1"/>
    </row>
    <row r="31" spans="2:15" s="13" customFormat="1" ht="25.5" customHeight="1">
      <c r="E31" s="107" t="s">
        <v>17</v>
      </c>
      <c r="F31" s="108"/>
      <c r="G31" s="109"/>
      <c r="H31" s="90">
        <v>0</v>
      </c>
      <c r="I31" s="91">
        <v>0</v>
      </c>
      <c r="J31" s="89">
        <v>0</v>
      </c>
      <c r="K31" s="57">
        <v>0</v>
      </c>
      <c r="L31" s="57">
        <v>0</v>
      </c>
      <c r="M31" s="57">
        <v>0.70499999999999996</v>
      </c>
      <c r="N31" s="57"/>
      <c r="O31" s="1"/>
    </row>
    <row r="32" spans="2:15" s="13" customFormat="1" ht="23.25" customHeight="1">
      <c r="E32" s="104" t="s">
        <v>18</v>
      </c>
      <c r="F32" s="105"/>
      <c r="G32" s="106"/>
      <c r="H32" s="88">
        <v>0</v>
      </c>
      <c r="I32" s="91">
        <v>0</v>
      </c>
      <c r="J32" s="89">
        <v>0</v>
      </c>
      <c r="K32" s="56">
        <v>0.7</v>
      </c>
      <c r="L32" s="56">
        <v>0</v>
      </c>
      <c r="M32" s="56">
        <v>0</v>
      </c>
      <c r="N32" s="56"/>
      <c r="O32" s="1"/>
    </row>
    <row r="33" spans="5:15" s="13" customFormat="1" ht="29.25" customHeight="1">
      <c r="E33" s="104" t="s">
        <v>19</v>
      </c>
      <c r="F33" s="105"/>
      <c r="G33" s="106"/>
      <c r="H33" s="90">
        <v>0</v>
      </c>
      <c r="I33" s="92">
        <v>0</v>
      </c>
      <c r="J33" s="93">
        <v>0</v>
      </c>
      <c r="K33" s="57">
        <v>0</v>
      </c>
      <c r="L33" s="57">
        <v>0</v>
      </c>
      <c r="M33" s="57">
        <v>0</v>
      </c>
      <c r="N33" s="57">
        <v>1</v>
      </c>
      <c r="O33" s="1"/>
    </row>
    <row r="34" spans="5:15" ht="15.75" thickBot="1">
      <c r="E34" s="102"/>
      <c r="F34" s="103"/>
      <c r="G34" s="103"/>
      <c r="H34" s="58"/>
      <c r="I34" s="44"/>
      <c r="J34" s="58"/>
      <c r="K34" s="58"/>
      <c r="L34" s="58"/>
      <c r="M34" s="58"/>
      <c r="N34" s="58"/>
    </row>
  </sheetData>
  <mergeCells count="24">
    <mergeCell ref="B17:C17"/>
    <mergeCell ref="B16:C16"/>
    <mergeCell ref="B15:C15"/>
    <mergeCell ref="B6:C6"/>
    <mergeCell ref="B8:C8"/>
    <mergeCell ref="B9:C9"/>
    <mergeCell ref="B10:C10"/>
    <mergeCell ref="B12:C12"/>
    <mergeCell ref="B13:C13"/>
    <mergeCell ref="B14:C14"/>
    <mergeCell ref="B7:C7"/>
    <mergeCell ref="B11:C11"/>
    <mergeCell ref="E25:G25"/>
    <mergeCell ref="E21:F21"/>
    <mergeCell ref="E26:G26"/>
    <mergeCell ref="E34:G34"/>
    <mergeCell ref="E33:G33"/>
    <mergeCell ref="E32:G32"/>
    <mergeCell ref="E31:G31"/>
    <mergeCell ref="E30:G30"/>
    <mergeCell ref="E29:G29"/>
    <mergeCell ref="E28:G28"/>
    <mergeCell ref="E27:G27"/>
    <mergeCell ref="E22:N23"/>
  </mergeCells>
  <phoneticPr fontId="3" type="noConversion"/>
  <pageMargins left="0.55118110236220474" right="0.23622047244094491" top="0.15748031496062992" bottom="0.15748031496062992" header="0.31496062992125984" footer="0.31496062992125984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5838-AD8D-4E71-949E-2400DE65086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angelin</dc:creator>
  <cp:lastModifiedBy>Guilherme Angelin</cp:lastModifiedBy>
  <cp:lastPrinted>2026-05-28T19:50:30Z</cp:lastPrinted>
  <dcterms:created xsi:type="dcterms:W3CDTF">2024-10-10T18:58:50Z</dcterms:created>
  <dcterms:modified xsi:type="dcterms:W3CDTF">2026-05-28T19:50:56Z</dcterms:modified>
</cp:coreProperties>
</file>