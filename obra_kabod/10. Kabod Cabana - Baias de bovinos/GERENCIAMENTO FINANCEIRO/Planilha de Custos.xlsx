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pivotTables/pivotTable4.xml" ContentType="application/vnd.openxmlformats-officedocument.spreadsheetml.pivotTable+xml"/>
  <Override PartName="/xl/tables/table4.xml" ContentType="application/vnd.openxmlformats-officedocument.spreadsheetml.table+xml"/>
  <Override PartName="/xl/pivotTables/pivotTable5.xml" ContentType="application/vnd.openxmlformats-officedocument.spreadsheetml.pivot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G:\Drives compartilhados\SERVIDOR\VEKS ENGENHARIA\01. ENGENHARIA\01. CONTRATOS\10. PABLO\GERENCIAMENTO FINANCEIRO\"/>
    </mc:Choice>
  </mc:AlternateContent>
  <xr:revisionPtr revIDLastSave="0" documentId="13_ncr:1_{703E5EDF-5A05-411D-94F3-E1234CDE6802}" xr6:coauthVersionLast="47" xr6:coauthVersionMax="47" xr10:uidLastSave="{00000000-0000-0000-0000-000000000000}"/>
  <bookViews>
    <workbookView xWindow="-120" yWindow="-120" windowWidth="20730" windowHeight="11040" tabRatio="835" activeTab="2" xr2:uid="{00000000-000D-0000-FFFF-FFFF00000000}"/>
  </bookViews>
  <sheets>
    <sheet name="Gerenciamento Custo" sheetId="40" r:id="rId1"/>
    <sheet name="A Realizar" sheetId="42" r:id="rId2"/>
    <sheet name="Resumo" sheetId="1" r:id="rId3"/>
    <sheet name="Mão de Obra" sheetId="28" r:id="rId4"/>
    <sheet name="Materiais" sheetId="32" state="hidden" r:id="rId5"/>
    <sheet name="Refeição + Transporte" sheetId="38" r:id="rId6"/>
    <sheet name="Locação + Frete" sheetId="39" r:id="rId7"/>
    <sheet name="Fat Direto" sheetId="41" state="hidden" r:id="rId8"/>
  </sheets>
  <definedNames>
    <definedName name="_xlnm.Print_Area" localSheetId="0">'Gerenciamento Custo'!$A$1:$M$10</definedName>
  </definedNames>
  <calcPr calcId="191029"/>
  <pivotCaches>
    <pivotCache cacheId="0" r:id="rId9"/>
    <pivotCache cacheId="1" r:id="rId10"/>
    <pivotCache cacheId="2" r:id="rId11"/>
    <pivotCache cacheId="3" r:id="rId12"/>
    <pivotCache cacheId="4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5" roundtripDataChecksum="blj6PKdO3fe041Q0ydQdaF25gywq3E5b5CesPAa8KUQ="/>
    </ext>
  </extLst>
</workbook>
</file>

<file path=xl/calcChain.xml><?xml version="1.0" encoding="utf-8"?>
<calcChain xmlns="http://schemas.openxmlformats.org/spreadsheetml/2006/main">
  <c r="L5" i="40" l="1"/>
  <c r="I19" i="42"/>
  <c r="I13" i="42"/>
  <c r="I15" i="42"/>
  <c r="F21" i="1"/>
  <c r="C16" i="1"/>
  <c r="G13" i="42"/>
  <c r="C12" i="1"/>
  <c r="C13" i="1"/>
  <c r="F16" i="1"/>
  <c r="F17" i="1"/>
  <c r="E12" i="42"/>
  <c r="C6" i="1" a="1"/>
  <c r="C6" i="1" s="1"/>
  <c r="G4" i="1"/>
  <c r="I14" i="42"/>
  <c r="J9" i="40"/>
  <c r="E17" i="1" l="1"/>
  <c r="G9" i="42" l="1"/>
  <c r="E6" i="42"/>
  <c r="G6" i="42" s="1"/>
  <c r="E7" i="42"/>
  <c r="G7" i="42" s="1"/>
  <c r="E8" i="42"/>
  <c r="G8" i="42" s="1"/>
  <c r="E5" i="42"/>
  <c r="G5" i="42" s="1"/>
  <c r="H5" i="42" l="1"/>
  <c r="J5" i="42" s="1"/>
  <c r="C14" i="42" s="1"/>
  <c r="L4" i="40" s="1"/>
  <c r="N3" i="40"/>
  <c r="J4" i="40"/>
  <c r="J7" i="40"/>
  <c r="T3" i="40" l="1"/>
  <c r="N4" i="40" l="1"/>
  <c r="N6" i="40"/>
  <c r="N8" i="40"/>
  <c r="N9" i="40"/>
  <c r="U3" i="40" l="1"/>
  <c r="K9" i="40" l="1"/>
  <c r="K6" i="40"/>
  <c r="N5" i="40" l="1"/>
  <c r="N7" i="40"/>
  <c r="K5" i="40"/>
  <c r="K7" i="40"/>
  <c r="K8" i="40"/>
  <c r="K3" i="40"/>
  <c r="J10" i="40" l="1"/>
  <c r="H4" i="1" s="1"/>
  <c r="I4" i="1" s="1"/>
  <c r="E3" i="40" l="1"/>
  <c r="P8" i="40" l="1"/>
  <c r="M9" i="40"/>
  <c r="P7" i="40"/>
  <c r="R8" i="40" l="1"/>
  <c r="Q8" i="40"/>
  <c r="M8" i="40"/>
  <c r="R7" i="40"/>
  <c r="Q7" i="40"/>
  <c r="M7" i="40"/>
  <c r="Q9" i="40" l="1"/>
  <c r="Q3" i="40"/>
  <c r="R9" i="40"/>
  <c r="R3" i="40"/>
  <c r="M6" i="40" l="1"/>
  <c r="Q4" i="40"/>
  <c r="R4" i="40"/>
  <c r="R6" i="40"/>
  <c r="Q6" i="40"/>
  <c r="R5" i="40"/>
  <c r="Q5" i="40"/>
  <c r="P9" i="40"/>
  <c r="P6" i="40"/>
  <c r="P5" i="40"/>
  <c r="P4" i="40"/>
  <c r="P3" i="40"/>
  <c r="Q10" i="40" l="1"/>
  <c r="R10" i="40"/>
  <c r="P10" i="40"/>
  <c r="D10" i="40" l="1"/>
  <c r="C4" i="1" s="1" a="1"/>
  <c r="C4" i="1" s="1"/>
  <c r="M5" i="40"/>
  <c r="M3" i="40"/>
  <c r="I5" i="40"/>
  <c r="I3" i="40"/>
  <c r="G5" i="40"/>
  <c r="G3" i="40"/>
  <c r="N10" i="40"/>
  <c r="V3" i="40" l="1"/>
  <c r="H10" i="40"/>
  <c r="L10" i="40"/>
  <c r="C7" i="1" s="1" a="1"/>
  <c r="C7" i="1" s="1"/>
  <c r="C8" i="1" s="1"/>
  <c r="C9" i="1" s="1"/>
  <c r="F10" i="40"/>
  <c r="C5" i="1" s="1" a="1"/>
  <c r="C5" i="1" s="1"/>
  <c r="E16" i="1" s="1"/>
  <c r="C20" i="1" l="1"/>
  <c r="E21" i="1"/>
  <c r="F20" i="1" l="1"/>
  <c r="E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3" authorId="0" shapeId="0" xr:uid="{EA5E86D3-F1C5-4D25-9492-BDF0FE70C8BF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Diárias de 30.03 a 06.04</t>
        </r>
      </text>
    </comment>
    <comment ref="E4" authorId="0" shapeId="0" xr:uid="{30D2FF0D-5D24-43DE-9F0E-F588F69AD5EB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Diárias de 30.03 a 06.04</t>
        </r>
      </text>
    </comment>
    <comment ref="E5" authorId="0" shapeId="0" xr:uid="{599CCBF5-3F24-4E32-841B-B5379A936035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Diárias de 30.03 a 06.04</t>
        </r>
      </text>
    </comment>
    <comment ref="E6" authorId="0" shapeId="0" xr:uid="{28EBA3E6-18AD-4E3B-9056-FB1F316906C9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Diárias de 30.03 a 06.04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8" authorId="0" shapeId="0" xr:uid="{114C324F-5F8E-440D-ABDB-2C50A6719606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30.03 a 10.04
</t>
        </r>
      </text>
    </comment>
    <comment ref="E9" authorId="0" shapeId="0" xr:uid="{3F7CFB31-9014-43BA-8330-9F6ABC7217BD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30.03 a 10.04</t>
        </r>
      </text>
    </comment>
    <comment ref="E10" authorId="0" shapeId="0" xr:uid="{B02C3E9E-AA6B-4E2D-8594-549830245652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30.03 a 10.04</t>
        </r>
      </text>
    </comment>
    <comment ref="E11" authorId="0" shapeId="0" xr:uid="{2BB8ACF7-62FC-4C38-9C38-B054401336C2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30.03 a 10.04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<sst xmlns="http://schemas.openxmlformats.org/spreadsheetml/2006/main" count="311" uniqueCount="134">
  <si>
    <t>TOTAL</t>
  </si>
  <si>
    <t>Tipo</t>
  </si>
  <si>
    <t>Descrição</t>
  </si>
  <si>
    <t>Mês</t>
  </si>
  <si>
    <t>Valor</t>
  </si>
  <si>
    <t>Rótulos de Linha</t>
  </si>
  <si>
    <t>Total Geral</t>
  </si>
  <si>
    <t>Soma de Valor</t>
  </si>
  <si>
    <t>(vazio)</t>
  </si>
  <si>
    <t>TIPO</t>
  </si>
  <si>
    <t>VALOR</t>
  </si>
  <si>
    <t>VALOR PREVISTO</t>
  </si>
  <si>
    <t>VALOR REALIZADO</t>
  </si>
  <si>
    <t>SALDO</t>
  </si>
  <si>
    <t>TOTAL PAGO</t>
  </si>
  <si>
    <t>FALTA PAGAR</t>
  </si>
  <si>
    <t>Material</t>
  </si>
  <si>
    <t>Mão de obra</t>
  </si>
  <si>
    <t>ITEM</t>
  </si>
  <si>
    <t>MARGEM 
Custo X Realizado</t>
  </si>
  <si>
    <t>MARGEM 
Venda X Realizado</t>
  </si>
  <si>
    <t>FATURAMENTO DIRETO</t>
  </si>
  <si>
    <t>FAT DIRETO</t>
  </si>
  <si>
    <t>RESUMO CUSTOS</t>
  </si>
  <si>
    <r>
      <t xml:space="preserve">VALOR ORÇADO </t>
    </r>
    <r>
      <rPr>
        <b/>
        <sz val="14"/>
        <color theme="9"/>
        <rFont val="Candara"/>
        <family val="2"/>
      </rPr>
      <t>VENDA</t>
    </r>
  </si>
  <si>
    <r>
      <t>VALOR ORÇADO</t>
    </r>
    <r>
      <rPr>
        <b/>
        <sz val="14"/>
        <color theme="5"/>
        <rFont val="Candara"/>
        <family val="2"/>
      </rPr>
      <t xml:space="preserve"> CUSTO</t>
    </r>
  </si>
  <si>
    <r>
      <t xml:space="preserve">MARGEM 
</t>
    </r>
    <r>
      <rPr>
        <b/>
        <sz val="12"/>
        <color theme="0"/>
        <rFont val="Candara"/>
        <family val="2"/>
      </rPr>
      <t xml:space="preserve"> Venda</t>
    </r>
    <r>
      <rPr>
        <b/>
        <sz val="12"/>
        <color theme="9"/>
        <rFont val="Candara"/>
        <family val="2"/>
      </rPr>
      <t xml:space="preserve"> </t>
    </r>
    <r>
      <rPr>
        <b/>
        <sz val="12"/>
        <color theme="2"/>
        <rFont val="Candara"/>
        <family val="2"/>
      </rPr>
      <t>X Custo</t>
    </r>
  </si>
  <si>
    <t>VALOR A REALIZAR</t>
  </si>
  <si>
    <t>TOTAL PROPOSTA ORÇ.</t>
  </si>
  <si>
    <t>VALOR CUSTO ORÇ.</t>
  </si>
  <si>
    <t>TOTAL REALIZADO</t>
  </si>
  <si>
    <t>TOTAL A REALIZAR</t>
  </si>
  <si>
    <t>CUSTO REAL DA OBRA</t>
  </si>
  <si>
    <t>VERBA DISPONIVEL</t>
  </si>
  <si>
    <t>VALOR RECEBIDO</t>
  </si>
  <si>
    <t>VALOR A RECEBER</t>
  </si>
  <si>
    <t>NF</t>
  </si>
  <si>
    <t>MARGEM PREVISTA</t>
  </si>
  <si>
    <t>LUCRO LIQUIDO</t>
  </si>
  <si>
    <t>ADMINISTRAÇÃO</t>
  </si>
  <si>
    <t>Frete</t>
  </si>
  <si>
    <t>Viagem ida</t>
  </si>
  <si>
    <t>Despesas da viagem para Roger</t>
  </si>
  <si>
    <t>Despesas da viagem para Abel</t>
  </si>
  <si>
    <t>Geral</t>
  </si>
  <si>
    <t>Abel organização casa</t>
  </si>
  <si>
    <t>Mestre da obra</t>
  </si>
  <si>
    <t>Locação</t>
  </si>
  <si>
    <t>Caminhão Muck (descarregamento)</t>
  </si>
  <si>
    <t>Refeição</t>
  </si>
  <si>
    <t>Restaurante Vila velha - Equipe geral</t>
  </si>
  <si>
    <t>Matheus (lider)</t>
  </si>
  <si>
    <t>Roger (montador)</t>
  </si>
  <si>
    <t>Vinicius (Ajudante)</t>
  </si>
  <si>
    <t>Leonardo (Ajudante)</t>
  </si>
  <si>
    <t>Café e Janta</t>
  </si>
  <si>
    <t>Aço LSF</t>
  </si>
  <si>
    <t>Mudança de material do terreno</t>
  </si>
  <si>
    <t>EQUIPE</t>
  </si>
  <si>
    <t>DIARIA</t>
  </si>
  <si>
    <t>SUBTOTAL</t>
  </si>
  <si>
    <t>TOTAL EQUIPE</t>
  </si>
  <si>
    <t>DIAS</t>
  </si>
  <si>
    <t>TOTAL ITEM</t>
  </si>
  <si>
    <t>Matheus</t>
  </si>
  <si>
    <t>Roger</t>
  </si>
  <si>
    <t>Leonardo</t>
  </si>
  <si>
    <t>JANTA E CAFÉ</t>
  </si>
  <si>
    <t>ALMOÇO</t>
  </si>
  <si>
    <r>
      <rPr>
        <b/>
        <sz val="11"/>
        <color theme="1"/>
        <rFont val="Candara"/>
        <family val="2"/>
      </rPr>
      <t>Execução completa de mão de obra especializada em sistema Light Steel Frame</t>
    </r>
    <r>
      <rPr>
        <sz val="11"/>
        <color theme="1"/>
        <rFont val="Candara"/>
        <family val="2"/>
      </rPr>
      <t>, incluindo a emissão de ART e marcação da obra conforme projeto executivo, montagem e fixação dos painéis estruturais, instalação de guias e montantes, aplicação de mantas de vedação, impermeabilização e isolamento, chumbamento e verticalização dos painéis, execução de estruturas de laje e cobertura, instalação de telhas, além dos sistemas de fechamento externo com placa cimentícia, aplicação de tela e basecoat nas fachadas, fechamento interno com chapas OSB, ST e RU, instalação de isolamentos termoacústicos e execução de forros, garantindo o desempenho estrutural, térmico e acústico da edificação.</t>
    </r>
  </si>
  <si>
    <t>Alojamento</t>
  </si>
  <si>
    <t>Aluguel da casa (1/2)</t>
  </si>
  <si>
    <t>Aluguel da casa (Calção - Será estornado ao final do contrato)</t>
  </si>
  <si>
    <t>Aluguel da casa (2/2)</t>
  </si>
  <si>
    <t>CUSTO EQUIPE</t>
  </si>
  <si>
    <t>Estadia Abel</t>
  </si>
  <si>
    <t>Hotel</t>
  </si>
  <si>
    <t>CUSTO TOTAL A REALIZAR</t>
  </si>
  <si>
    <t>BASECOAT</t>
  </si>
  <si>
    <t>Vinicius (Ajudante) 10/04 - 30/04</t>
  </si>
  <si>
    <t>-</t>
  </si>
  <si>
    <t>Roger (montador) 10/04 - 15/05</t>
  </si>
  <si>
    <t>Leonardo (Ajudante) 10/04 - 15/05</t>
  </si>
  <si>
    <t>Matheus (lider) 10/04 - 15/05</t>
  </si>
  <si>
    <t>Marcos (ajudanta) 10/04 - 30/04</t>
  </si>
  <si>
    <t>Equipe</t>
  </si>
  <si>
    <t xml:space="preserve">Abel </t>
  </si>
  <si>
    <t>Viagem volta Abel</t>
  </si>
  <si>
    <t>Movimentação de material kevily</t>
  </si>
  <si>
    <t>Descarga de mateial Jadisson</t>
  </si>
  <si>
    <t>Bonus 01</t>
  </si>
  <si>
    <t>Josué</t>
  </si>
  <si>
    <t>Josué (ajudante) 11/05 - 15/05</t>
  </si>
  <si>
    <t>Josue</t>
  </si>
  <si>
    <t>INTERNO</t>
  </si>
  <si>
    <t>Combustivel</t>
  </si>
  <si>
    <t>Uber</t>
  </si>
  <si>
    <t>Bonus 02</t>
  </si>
  <si>
    <t>Josué (Ajudante)</t>
  </si>
  <si>
    <t>A REALIZAR PARA INTERNO</t>
  </si>
  <si>
    <t>Custos equipe (alimentação + transporte + outros)</t>
  </si>
  <si>
    <t>Locação + fretes + ourtros</t>
  </si>
  <si>
    <t>Recebido</t>
  </si>
  <si>
    <t>Gasto</t>
  </si>
  <si>
    <t>Diferença</t>
  </si>
  <si>
    <t xml:space="preserve">Gasto previsto </t>
  </si>
  <si>
    <t>Medição</t>
  </si>
  <si>
    <t>Dia 29/05</t>
  </si>
  <si>
    <t>Mateus - Custos Viagem</t>
  </si>
  <si>
    <t>Viagem volta</t>
  </si>
  <si>
    <t>Matheus e Roger</t>
  </si>
  <si>
    <t>Matheus - Reembolso Ferramentas</t>
  </si>
  <si>
    <t>Ferramentas</t>
  </si>
  <si>
    <t>Eduardo - Basecoat</t>
  </si>
  <si>
    <t>Josue Dias de Andrade</t>
  </si>
  <si>
    <t>Leonardo Oliveira Santos</t>
  </si>
  <si>
    <t>Matheus Antonio Barbosa dos Santos</t>
  </si>
  <si>
    <t xml:space="preserve">Roger Rivas </t>
  </si>
  <si>
    <t>Gustavo - Ajudante Vila Velha</t>
  </si>
  <si>
    <t>Davi - Ajudante Vila Velha</t>
  </si>
  <si>
    <t>Abel - Reembolso Ferramentas</t>
  </si>
  <si>
    <t>Viagem Volta</t>
  </si>
  <si>
    <t>Abel - Passagem</t>
  </si>
  <si>
    <t>Alimentação equipe</t>
  </si>
  <si>
    <t>Abel - Despesas Viagem</t>
  </si>
  <si>
    <t>Roger (montador) 15.05 a 05.06</t>
  </si>
  <si>
    <t>Leonardo (Ajudante) 15.05 a 30.05</t>
  </si>
  <si>
    <t>Matheus (lider) 15.05 a 05.06</t>
  </si>
  <si>
    <t>Josué (ajudante) 15.05 a 30.05</t>
  </si>
  <si>
    <t>OUTROS</t>
  </si>
  <si>
    <t>Interno parede</t>
  </si>
  <si>
    <t>Forro interno</t>
  </si>
  <si>
    <t>MARGEM REAL</t>
  </si>
  <si>
    <t>TELHADO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</si>
</sst>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ndara"/>
      <family val="2"/>
    </font>
    <font>
      <i/>
      <sz val="10"/>
      <color theme="1"/>
      <name val="Candara"/>
      <family val="2"/>
    </font>
    <font>
      <sz val="11"/>
      <name val="Candara"/>
      <family val="2"/>
    </font>
    <font>
      <b/>
      <sz val="11"/>
      <color theme="1"/>
      <name val="Candara"/>
      <family val="2"/>
    </font>
    <font>
      <sz val="10"/>
      <color theme="1"/>
      <name val="Candara"/>
      <family val="2"/>
    </font>
    <font>
      <b/>
      <sz val="12"/>
      <color theme="2"/>
      <name val="Candara"/>
      <family val="2"/>
    </font>
    <font>
      <b/>
      <sz val="12"/>
      <color theme="0"/>
      <name val="Candara"/>
      <family val="2"/>
    </font>
    <font>
      <b/>
      <sz val="14"/>
      <color theme="2"/>
      <name val="Candara"/>
      <family val="2"/>
    </font>
    <font>
      <b/>
      <sz val="14"/>
      <color theme="9"/>
      <name val="Candara"/>
      <family val="2"/>
    </font>
    <font>
      <b/>
      <sz val="14"/>
      <color theme="5"/>
      <name val="Candara"/>
      <family val="2"/>
    </font>
    <font>
      <b/>
      <sz val="12"/>
      <color theme="1"/>
      <name val="Candara"/>
      <family val="2"/>
    </font>
    <font>
      <b/>
      <sz val="12"/>
      <color theme="9"/>
      <name val="Candara"/>
      <family val="2"/>
    </font>
    <font>
      <b/>
      <sz val="14"/>
      <color theme="1"/>
      <name val="Candara"/>
      <family val="2"/>
    </font>
    <font>
      <b/>
      <sz val="11"/>
      <color theme="1"/>
      <name val="Calibri"/>
      <family val="2"/>
      <scheme val="minor"/>
    </font>
    <font>
      <b/>
      <sz val="12"/>
      <color theme="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ajor"/>
    </font>
    <font>
      <b/>
      <sz val="12"/>
      <name val="Calibri"/>
      <family val="2"/>
      <scheme val="minor"/>
    </font>
    <font>
      <sz val="11"/>
      <color theme="0"/>
      <name val="Candara"/>
      <family val="2"/>
    </font>
    <font>
      <b/>
      <sz val="12"/>
      <color theme="1"/>
      <name val="Calibri"/>
      <family val="2"/>
      <scheme val="minor"/>
    </font>
    <font>
      <sz val="11"/>
      <color rgb="FFFF0000"/>
      <name val="Candara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1"/>
      <name val="Calibri"/>
      <family val="2"/>
      <scheme val="minor"/>
    </font>
    <font>
      <b/>
      <sz val="11"/>
      <color rgb="FF00B050"/>
      <name val="Candara"/>
      <family val="2"/>
    </font>
    <font>
      <b/>
      <sz val="11"/>
      <color rgb="FFFF0000"/>
      <name val="Candara"/>
      <family val="2"/>
    </font>
  </fonts>
  <fills count="22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8F8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28" fillId="0" borderId="0" applyFont="0" applyFill="0" applyBorder="0" applyAlignment="0" applyProtection="0"/>
  </cellStyleXfs>
  <cellXfs count="183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pivotButton="1" applyFont="1"/>
    <xf numFmtId="0" fontId="7" fillId="0" borderId="0" xfId="0" applyFont="1" applyAlignment="1">
      <alignment horizontal="center" vertical="center"/>
    </xf>
    <xf numFmtId="16" fontId="7" fillId="0" borderId="0" xfId="0" applyNumberFormat="1" applyFont="1" applyAlignment="1">
      <alignment horizontal="center" vertical="center"/>
    </xf>
    <xf numFmtId="4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/>
    </xf>
    <xf numFmtId="44" fontId="5" fillId="0" borderId="0" xfId="0" applyNumberFormat="1" applyFont="1"/>
    <xf numFmtId="14" fontId="7" fillId="0" borderId="0" xfId="0" applyNumberFormat="1" applyFont="1" applyAlignment="1">
      <alignment horizontal="center" vertical="center"/>
    </xf>
    <xf numFmtId="16" fontId="7" fillId="0" borderId="0" xfId="0" applyNumberFormat="1" applyFont="1"/>
    <xf numFmtId="44" fontId="7" fillId="0" borderId="0" xfId="0" applyNumberFormat="1" applyFont="1" applyAlignment="1">
      <alignment horizontal="center" vertical="center"/>
    </xf>
    <xf numFmtId="0" fontId="7" fillId="0" borderId="0" xfId="0" applyFont="1"/>
    <xf numFmtId="44" fontId="5" fillId="0" borderId="0" xfId="1" applyFont="1" applyFill="1" applyAlignment="1">
      <alignment horizontal="center" vertical="center"/>
    </xf>
    <xf numFmtId="44" fontId="7" fillId="0" borderId="0" xfId="1" applyFont="1" applyFill="1" applyAlignment="1">
      <alignment horizontal="center" vertical="center"/>
    </xf>
    <xf numFmtId="0" fontId="9" fillId="0" borderId="0" xfId="0" applyFont="1"/>
    <xf numFmtId="44" fontId="5" fillId="0" borderId="0" xfId="1" applyFont="1" applyAlignment="1">
      <alignment horizontal="center" vertic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44" fontId="5" fillId="0" borderId="0" xfId="1" applyFont="1" applyAlignment="1">
      <alignment vertical="center"/>
    </xf>
    <xf numFmtId="0" fontId="5" fillId="0" borderId="0" xfId="0" applyFont="1" applyAlignment="1">
      <alignment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44" fontId="10" fillId="8" borderId="2" xfId="1" applyFont="1" applyFill="1" applyBorder="1" applyAlignment="1">
      <alignment horizontal="center" vertical="center" wrapText="1"/>
    </xf>
    <xf numFmtId="44" fontId="10" fillId="5" borderId="2" xfId="1" applyFont="1" applyFill="1" applyBorder="1" applyAlignment="1">
      <alignment horizontal="center" vertical="center" wrapText="1"/>
    </xf>
    <xf numFmtId="44" fontId="10" fillId="12" borderId="2" xfId="1" applyFont="1" applyFill="1" applyBorder="1" applyAlignment="1">
      <alignment horizontal="center" vertical="center" wrapText="1"/>
    </xf>
    <xf numFmtId="44" fontId="10" fillId="6" borderId="2" xfId="1" applyFont="1" applyFill="1" applyBorder="1" applyAlignment="1">
      <alignment horizontal="center" vertical="center" wrapText="1"/>
    </xf>
    <xf numFmtId="44" fontId="5" fillId="3" borderId="10" xfId="1" applyFont="1" applyFill="1" applyBorder="1" applyAlignment="1">
      <alignment horizontal="center" vertical="center"/>
    </xf>
    <xf numFmtId="44" fontId="5" fillId="0" borderId="11" xfId="1" applyFont="1" applyBorder="1" applyAlignment="1">
      <alignment horizontal="center" vertical="center"/>
    </xf>
    <xf numFmtId="44" fontId="5" fillId="0" borderId="0" xfId="1" applyFont="1" applyBorder="1" applyAlignment="1">
      <alignment horizontal="center" vertical="center"/>
    </xf>
    <xf numFmtId="44" fontId="8" fillId="4" borderId="10" xfId="1" applyFont="1" applyFill="1" applyBorder="1" applyAlignment="1">
      <alignment horizontal="center" vertical="center"/>
    </xf>
    <xf numFmtId="44" fontId="8" fillId="13" borderId="10" xfId="1" applyFont="1" applyFill="1" applyBorder="1" applyAlignment="1">
      <alignment horizontal="center" vertical="center"/>
    </xf>
    <xf numFmtId="44" fontId="15" fillId="9" borderId="10" xfId="1" applyFont="1" applyFill="1" applyBorder="1" applyAlignment="1">
      <alignment horizontal="center" vertical="center"/>
    </xf>
    <xf numFmtId="44" fontId="5" fillId="0" borderId="0" xfId="0" applyNumberFormat="1" applyFont="1" applyAlignment="1">
      <alignment vertical="center"/>
    </xf>
    <xf numFmtId="44" fontId="5" fillId="3" borderId="14" xfId="1" applyFont="1" applyFill="1" applyBorder="1" applyAlignment="1">
      <alignment horizontal="center" vertical="center"/>
    </xf>
    <xf numFmtId="44" fontId="5" fillId="3" borderId="17" xfId="1" applyFont="1" applyFill="1" applyBorder="1" applyAlignment="1">
      <alignment horizontal="center" vertical="center"/>
    </xf>
    <xf numFmtId="44" fontId="8" fillId="0" borderId="17" xfId="1" applyFont="1" applyBorder="1" applyAlignment="1">
      <alignment horizontal="center" vertical="center"/>
    </xf>
    <xf numFmtId="44" fontId="5" fillId="0" borderId="17" xfId="1" applyFont="1" applyBorder="1" applyAlignment="1">
      <alignment horizontal="center" vertical="center"/>
    </xf>
    <xf numFmtId="44" fontId="5" fillId="0" borderId="6" xfId="1" applyFont="1" applyBorder="1" applyAlignment="1">
      <alignment horizontal="center" vertical="center"/>
    </xf>
    <xf numFmtId="44" fontId="8" fillId="0" borderId="6" xfId="1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44" fontId="17" fillId="0" borderId="17" xfId="1" applyFont="1" applyBorder="1" applyAlignment="1">
      <alignment horizontal="center" vertical="center"/>
    </xf>
    <xf numFmtId="44" fontId="17" fillId="0" borderId="0" xfId="1" applyFont="1" applyBorder="1" applyAlignment="1">
      <alignment horizontal="center" vertical="center"/>
    </xf>
    <xf numFmtId="44" fontId="12" fillId="8" borderId="17" xfId="1" applyFont="1" applyFill="1" applyBorder="1" applyAlignment="1">
      <alignment horizontal="center" vertical="center"/>
    </xf>
    <xf numFmtId="0" fontId="5" fillId="0" borderId="0" xfId="0" applyFont="1" applyAlignment="1">
      <alignment wrapText="1"/>
    </xf>
    <xf numFmtId="44" fontId="5" fillId="14" borderId="17" xfId="1" applyFont="1" applyFill="1" applyBorder="1" applyAlignment="1">
      <alignment horizontal="center" vertical="center"/>
    </xf>
    <xf numFmtId="0" fontId="7" fillId="10" borderId="0" xfId="0" applyFont="1" applyFill="1"/>
    <xf numFmtId="14" fontId="7" fillId="10" borderId="0" xfId="0" applyNumberFormat="1" applyFont="1" applyFill="1" applyAlignment="1">
      <alignment horizontal="center" vertical="center"/>
    </xf>
    <xf numFmtId="44" fontId="7" fillId="10" borderId="0" xfId="1" applyFont="1" applyFill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44" fontId="18" fillId="7" borderId="0" xfId="1" applyFont="1" applyFill="1" applyBorder="1" applyAlignment="1">
      <alignment horizontal="center" vertical="center"/>
    </xf>
    <xf numFmtId="0" fontId="20" fillId="2" borderId="0" xfId="0" applyFont="1" applyFill="1"/>
    <xf numFmtId="44" fontId="20" fillId="2" borderId="0" xfId="1" applyFont="1" applyFill="1" applyBorder="1"/>
    <xf numFmtId="0" fontId="21" fillId="16" borderId="0" xfId="0" applyFont="1" applyFill="1" applyAlignment="1">
      <alignment vertical="center"/>
    </xf>
    <xf numFmtId="44" fontId="21" fillId="16" borderId="0" xfId="1" applyFont="1" applyFill="1" applyBorder="1" applyAlignment="1">
      <alignment vertical="center"/>
    </xf>
    <xf numFmtId="0" fontId="22" fillId="11" borderId="0" xfId="0" applyFont="1" applyFill="1"/>
    <xf numFmtId="44" fontId="22" fillId="11" borderId="0" xfId="1" applyFont="1" applyFill="1" applyBorder="1"/>
    <xf numFmtId="0" fontId="22" fillId="17" borderId="0" xfId="0" applyFont="1" applyFill="1"/>
    <xf numFmtId="44" fontId="22" fillId="17" borderId="0" xfId="1" applyFont="1" applyFill="1" applyBorder="1"/>
    <xf numFmtId="0" fontId="22" fillId="18" borderId="0" xfId="0" applyFont="1" applyFill="1"/>
    <xf numFmtId="44" fontId="22" fillId="18" borderId="0" xfId="1" applyFont="1" applyFill="1" applyBorder="1"/>
    <xf numFmtId="0" fontId="23" fillId="0" borderId="0" xfId="0" applyFont="1" applyAlignment="1">
      <alignment vertical="center"/>
    </xf>
    <xf numFmtId="0" fontId="21" fillId="11" borderId="0" xfId="0" applyFont="1" applyFill="1" applyAlignment="1">
      <alignment vertical="center"/>
    </xf>
    <xf numFmtId="44" fontId="21" fillId="11" borderId="0" xfId="1" applyFont="1" applyFill="1" applyBorder="1" applyAlignment="1">
      <alignment vertical="center"/>
    </xf>
    <xf numFmtId="0" fontId="21" fillId="19" borderId="0" xfId="0" applyFont="1" applyFill="1" applyAlignment="1">
      <alignment vertical="center"/>
    </xf>
    <xf numFmtId="44" fontId="21" fillId="19" borderId="0" xfId="1" applyFont="1" applyFill="1" applyBorder="1" applyAlignment="1">
      <alignment vertical="center"/>
    </xf>
    <xf numFmtId="0" fontId="24" fillId="18" borderId="0" xfId="0" applyFont="1" applyFill="1"/>
    <xf numFmtId="44" fontId="24" fillId="18" borderId="0" xfId="1" applyFont="1" applyFill="1" applyBorder="1"/>
    <xf numFmtId="44" fontId="23" fillId="0" borderId="0" xfId="1" applyFont="1" applyAlignment="1">
      <alignment vertical="center"/>
    </xf>
    <xf numFmtId="44" fontId="5" fillId="10" borderId="0" xfId="1" applyFont="1" applyFill="1" applyAlignment="1">
      <alignment horizontal="center" vertical="center"/>
    </xf>
    <xf numFmtId="0" fontId="7" fillId="15" borderId="0" xfId="0" applyFont="1" applyFill="1"/>
    <xf numFmtId="44" fontId="25" fillId="0" borderId="0" xfId="1" applyFont="1" applyAlignment="1">
      <alignment vertical="center"/>
    </xf>
    <xf numFmtId="0" fontId="8" fillId="0" borderId="0" xfId="0" applyFont="1" applyAlignment="1">
      <alignment horizontal="center"/>
    </xf>
    <xf numFmtId="0" fontId="5" fillId="15" borderId="9" xfId="0" applyFont="1" applyFill="1" applyBorder="1" applyAlignment="1">
      <alignment horizontal="center" vertical="center"/>
    </xf>
    <xf numFmtId="44" fontId="5" fillId="15" borderId="10" xfId="1" applyFont="1" applyFill="1" applyBorder="1" applyAlignment="1">
      <alignment horizontal="center" vertical="center"/>
    </xf>
    <xf numFmtId="0" fontId="5" fillId="15" borderId="13" xfId="0" applyFont="1" applyFill="1" applyBorder="1" applyAlignment="1">
      <alignment horizontal="center" vertical="center"/>
    </xf>
    <xf numFmtId="44" fontId="5" fillId="15" borderId="14" xfId="1" applyFont="1" applyFill="1" applyBorder="1" applyAlignment="1">
      <alignment horizontal="center" vertical="center"/>
    </xf>
    <xf numFmtId="14" fontId="5" fillId="10" borderId="0" xfId="0" applyNumberFormat="1" applyFont="1" applyFill="1" applyAlignment="1">
      <alignment horizontal="center" vertical="center"/>
    </xf>
    <xf numFmtId="0" fontId="5" fillId="10" borderId="0" xfId="0" applyFont="1" applyFill="1"/>
    <xf numFmtId="0" fontId="5" fillId="15" borderId="0" xfId="0" applyFont="1" applyFill="1"/>
    <xf numFmtId="0" fontId="8" fillId="21" borderId="0" xfId="0" applyFont="1" applyFill="1" applyAlignment="1">
      <alignment vertical="center"/>
    </xf>
    <xf numFmtId="44" fontId="8" fillId="21" borderId="0" xfId="0" applyNumberFormat="1" applyFont="1" applyFill="1" applyAlignment="1">
      <alignment vertical="center"/>
    </xf>
    <xf numFmtId="14" fontId="5" fillId="15" borderId="0" xfId="0" applyNumberFormat="1" applyFont="1" applyFill="1" applyAlignment="1">
      <alignment horizontal="center" vertical="center"/>
    </xf>
    <xf numFmtId="44" fontId="5" fillId="15" borderId="0" xfId="1" applyFont="1" applyFill="1" applyAlignment="1">
      <alignment horizontal="center" vertical="center"/>
    </xf>
    <xf numFmtId="0" fontId="6" fillId="15" borderId="0" xfId="0" applyFont="1" applyFill="1"/>
    <xf numFmtId="16" fontId="7" fillId="0" borderId="0" xfId="0" applyNumberFormat="1" applyFont="1" applyFill="1"/>
    <xf numFmtId="16" fontId="7" fillId="0" borderId="0" xfId="0" applyNumberFormat="1" applyFont="1" applyFill="1" applyAlignment="1">
      <alignment horizontal="center" vertical="center"/>
    </xf>
    <xf numFmtId="44" fontId="7" fillId="0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Alignment="1"/>
    <xf numFmtId="0" fontId="5" fillId="0" borderId="0" xfId="0" applyFont="1" applyAlignment="1"/>
    <xf numFmtId="0" fontId="7" fillId="0" borderId="0" xfId="0" applyFont="1" applyFill="1" applyAlignment="1">
      <alignment horizontal="left" vertical="center"/>
    </xf>
    <xf numFmtId="44" fontId="7" fillId="15" borderId="0" xfId="1" applyFont="1" applyFill="1" applyBorder="1" applyAlignment="1">
      <alignment horizontal="center" vertical="center"/>
    </xf>
    <xf numFmtId="44" fontId="5" fillId="15" borderId="0" xfId="1" applyFont="1" applyFill="1" applyBorder="1"/>
    <xf numFmtId="44" fontId="5" fillId="15" borderId="18" xfId="0" applyNumberFormat="1" applyFont="1" applyFill="1" applyBorder="1"/>
    <xf numFmtId="44" fontId="5" fillId="15" borderId="0" xfId="0" applyNumberFormat="1" applyFont="1" applyFill="1" applyBorder="1" applyAlignment="1">
      <alignment vertical="center"/>
    </xf>
    <xf numFmtId="44" fontId="5" fillId="15" borderId="0" xfId="0" applyNumberFormat="1" applyFont="1" applyFill="1" applyBorder="1"/>
    <xf numFmtId="0" fontId="0" fillId="15" borderId="0" xfId="0" applyFill="1" applyBorder="1"/>
    <xf numFmtId="0" fontId="5" fillId="15" borderId="0" xfId="0" applyFont="1" applyFill="1" applyBorder="1"/>
    <xf numFmtId="0" fontId="5" fillId="15" borderId="0" xfId="0" applyFont="1" applyFill="1" applyBorder="1" applyAlignment="1">
      <alignment horizontal="center"/>
    </xf>
    <xf numFmtId="0" fontId="7" fillId="15" borderId="0" xfId="0" applyFont="1" applyFill="1" applyBorder="1" applyAlignment="1">
      <alignment horizontal="center" vertical="center"/>
    </xf>
    <xf numFmtId="0" fontId="8" fillId="15" borderId="0" xfId="0" applyFont="1" applyFill="1" applyBorder="1" applyAlignment="1">
      <alignment horizontal="center" vertical="center" wrapText="1"/>
    </xf>
    <xf numFmtId="0" fontId="5" fillId="15" borderId="0" xfId="0" applyFont="1" applyFill="1" applyBorder="1" applyAlignment="1">
      <alignment horizontal="center" vertical="center"/>
    </xf>
    <xf numFmtId="0" fontId="0" fillId="15" borderId="18" xfId="0" applyFill="1" applyBorder="1"/>
    <xf numFmtId="0" fontId="7" fillId="15" borderId="20" xfId="0" applyFont="1" applyFill="1" applyBorder="1" applyAlignment="1">
      <alignment horizontal="left" vertical="center"/>
    </xf>
    <xf numFmtId="44" fontId="7" fillId="15" borderId="27" xfId="1" applyFont="1" applyFill="1" applyBorder="1" applyAlignment="1">
      <alignment horizontal="center" vertical="center"/>
    </xf>
    <xf numFmtId="44" fontId="5" fillId="15" borderId="27" xfId="1" applyFont="1" applyFill="1" applyBorder="1"/>
    <xf numFmtId="44" fontId="5" fillId="15" borderId="27" xfId="0" applyNumberFormat="1" applyFont="1" applyFill="1" applyBorder="1" applyAlignment="1">
      <alignment vertical="center"/>
    </xf>
    <xf numFmtId="44" fontId="5" fillId="15" borderId="21" xfId="0" applyNumberFormat="1" applyFont="1" applyFill="1" applyBorder="1"/>
    <xf numFmtId="44" fontId="5" fillId="15" borderId="22" xfId="1" applyFont="1" applyFill="1" applyBorder="1"/>
    <xf numFmtId="44" fontId="5" fillId="15" borderId="22" xfId="0" applyNumberFormat="1" applyFont="1" applyFill="1" applyBorder="1" applyAlignment="1">
      <alignment vertical="center"/>
    </xf>
    <xf numFmtId="44" fontId="5" fillId="15" borderId="26" xfId="0" applyNumberFormat="1" applyFont="1" applyFill="1" applyBorder="1"/>
    <xf numFmtId="44" fontId="5" fillId="15" borderId="20" xfId="0" applyNumberFormat="1" applyFont="1" applyFill="1" applyBorder="1"/>
    <xf numFmtId="0" fontId="7" fillId="15" borderId="28" xfId="0" applyFont="1" applyFill="1" applyBorder="1" applyAlignment="1">
      <alignment horizontal="center" vertical="center"/>
    </xf>
    <xf numFmtId="44" fontId="7" fillId="15" borderId="29" xfId="1" applyFont="1" applyFill="1" applyBorder="1" applyAlignment="1">
      <alignment horizontal="center" vertical="center"/>
    </xf>
    <xf numFmtId="44" fontId="5" fillId="15" borderId="29" xfId="1" applyFont="1" applyFill="1" applyBorder="1"/>
    <xf numFmtId="44" fontId="5" fillId="15" borderId="29" xfId="0" applyNumberFormat="1" applyFont="1" applyFill="1" applyBorder="1" applyAlignment="1">
      <alignment vertical="center"/>
    </xf>
    <xf numFmtId="44" fontId="18" fillId="15" borderId="33" xfId="0" applyNumberFormat="1" applyFont="1" applyFill="1" applyBorder="1" applyAlignment="1">
      <alignment vertical="center"/>
    </xf>
    <xf numFmtId="0" fontId="18" fillId="11" borderId="3" xfId="0" applyFont="1" applyFill="1" applyBorder="1" applyAlignment="1">
      <alignment horizontal="center" wrapText="1"/>
    </xf>
    <xf numFmtId="9" fontId="5" fillId="0" borderId="0" xfId="2" applyFont="1" applyAlignment="1">
      <alignment vertical="center"/>
    </xf>
    <xf numFmtId="44" fontId="2" fillId="15" borderId="0" xfId="1" applyFont="1" applyFill="1" applyBorder="1" applyAlignment="1">
      <alignment vertical="center" wrapText="1"/>
    </xf>
    <xf numFmtId="44" fontId="0" fillId="15" borderId="0" xfId="1" applyFont="1" applyFill="1" applyBorder="1" applyAlignment="1">
      <alignment horizontal="center" vertical="center"/>
    </xf>
    <xf numFmtId="44" fontId="18" fillId="15" borderId="0" xfId="0" applyNumberFormat="1" applyFont="1" applyFill="1" applyBorder="1" applyAlignment="1">
      <alignment vertical="center"/>
    </xf>
    <xf numFmtId="0" fontId="18" fillId="15" borderId="0" xfId="0" applyFont="1" applyFill="1" applyBorder="1" applyAlignment="1">
      <alignment horizontal="center" vertical="center" wrapText="1"/>
    </xf>
    <xf numFmtId="0" fontId="5" fillId="0" borderId="0" xfId="0" applyFont="1" applyFill="1"/>
    <xf numFmtId="14" fontId="5" fillId="0" borderId="0" xfId="0" applyNumberFormat="1" applyFont="1" applyFill="1" applyAlignment="1">
      <alignment horizontal="center" vertical="center"/>
    </xf>
    <xf numFmtId="0" fontId="7" fillId="15" borderId="35" xfId="0" applyFont="1" applyFill="1" applyBorder="1" applyAlignment="1">
      <alignment horizontal="center" vertical="center"/>
    </xf>
    <xf numFmtId="44" fontId="7" fillId="15" borderId="35" xfId="1" applyFont="1" applyFill="1" applyBorder="1" applyAlignment="1">
      <alignment horizontal="center" vertical="center"/>
    </xf>
    <xf numFmtId="44" fontId="8" fillId="15" borderId="4" xfId="1" applyFont="1" applyFill="1" applyBorder="1"/>
    <xf numFmtId="0" fontId="0" fillId="15" borderId="0" xfId="0" applyFill="1" applyBorder="1" applyAlignment="1">
      <alignment horizontal="center"/>
    </xf>
    <xf numFmtId="0" fontId="8" fillId="11" borderId="25" xfId="0" applyFont="1" applyFill="1" applyBorder="1" applyAlignment="1">
      <alignment horizontal="center"/>
    </xf>
    <xf numFmtId="0" fontId="8" fillId="11" borderId="36" xfId="0" applyFont="1" applyFill="1" applyBorder="1" applyAlignment="1">
      <alignment horizontal="center"/>
    </xf>
    <xf numFmtId="0" fontId="8" fillId="11" borderId="37" xfId="0" applyFont="1" applyFill="1" applyBorder="1" applyAlignment="1">
      <alignment horizontal="center"/>
    </xf>
    <xf numFmtId="0" fontId="0" fillId="15" borderId="12" xfId="0" applyFill="1" applyBorder="1"/>
    <xf numFmtId="44" fontId="18" fillId="15" borderId="19" xfId="0" applyNumberFormat="1" applyFont="1" applyFill="1" applyBorder="1"/>
    <xf numFmtId="0" fontId="18" fillId="15" borderId="1" xfId="1" applyNumberFormat="1" applyFont="1" applyFill="1" applyBorder="1" applyAlignment="1">
      <alignment horizontal="center" vertical="center"/>
    </xf>
    <xf numFmtId="0" fontId="0" fillId="15" borderId="40" xfId="0" applyFill="1" applyBorder="1" applyAlignment="1">
      <alignment horizontal="center"/>
    </xf>
    <xf numFmtId="44" fontId="0" fillId="15" borderId="7" xfId="1" applyFont="1" applyFill="1" applyBorder="1"/>
    <xf numFmtId="0" fontId="18" fillId="15" borderId="5" xfId="1" applyNumberFormat="1" applyFont="1" applyFill="1" applyBorder="1" applyAlignment="1">
      <alignment horizontal="center" vertical="center"/>
    </xf>
    <xf numFmtId="44" fontId="0" fillId="15" borderId="41" xfId="1" applyFont="1" applyFill="1" applyBorder="1"/>
    <xf numFmtId="0" fontId="8" fillId="0" borderId="0" xfId="0" applyFont="1" applyAlignment="1">
      <alignment horizontal="center" vertical="center"/>
    </xf>
    <xf numFmtId="44" fontId="8" fillId="0" borderId="0" xfId="1" applyFont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44" fontId="17" fillId="0" borderId="3" xfId="1" applyFont="1" applyBorder="1" applyAlignment="1">
      <alignment horizontal="center" vertical="center"/>
    </xf>
    <xf numFmtId="44" fontId="17" fillId="0" borderId="4" xfId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44" fontId="8" fillId="15" borderId="2" xfId="1" applyFont="1" applyFill="1" applyBorder="1" applyAlignment="1">
      <alignment horizontal="center" vertical="center"/>
    </xf>
    <xf numFmtId="44" fontId="8" fillId="15" borderId="8" xfId="1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5" fillId="15" borderId="12" xfId="0" applyFont="1" applyFill="1" applyBorder="1" applyAlignment="1">
      <alignment horizontal="left" vertical="center" wrapText="1"/>
    </xf>
    <xf numFmtId="44" fontId="8" fillId="15" borderId="30" xfId="0" applyNumberFormat="1" applyFont="1" applyFill="1" applyBorder="1" applyAlignment="1">
      <alignment horizontal="center" vertical="center"/>
    </xf>
    <xf numFmtId="44" fontId="8" fillId="15" borderId="31" xfId="0" applyNumberFormat="1" applyFont="1" applyFill="1" applyBorder="1" applyAlignment="1">
      <alignment horizontal="center" vertical="center"/>
    </xf>
    <xf numFmtId="44" fontId="8" fillId="15" borderId="32" xfId="0" applyNumberFormat="1" applyFont="1" applyFill="1" applyBorder="1" applyAlignment="1">
      <alignment horizontal="center" vertical="center"/>
    </xf>
    <xf numFmtId="44" fontId="5" fillId="15" borderId="23" xfId="0" applyNumberFormat="1" applyFont="1" applyFill="1" applyBorder="1" applyAlignment="1">
      <alignment horizontal="center" vertical="center"/>
    </xf>
    <xf numFmtId="0" fontId="5" fillId="15" borderId="24" xfId="0" applyFont="1" applyFill="1" applyBorder="1" applyAlignment="1">
      <alignment horizontal="center" vertical="center"/>
    </xf>
    <xf numFmtId="0" fontId="5" fillId="15" borderId="28" xfId="0" applyFont="1" applyFill="1" applyBorder="1" applyAlignment="1">
      <alignment horizontal="center" vertical="center"/>
    </xf>
    <xf numFmtId="0" fontId="5" fillId="15" borderId="23" xfId="0" applyFont="1" applyFill="1" applyBorder="1" applyAlignment="1">
      <alignment horizontal="center" vertical="center"/>
    </xf>
    <xf numFmtId="0" fontId="8" fillId="11" borderId="5" xfId="0" applyFont="1" applyFill="1" applyBorder="1" applyAlignment="1">
      <alignment horizontal="center" vertical="center" wrapText="1"/>
    </xf>
    <xf numFmtId="0" fontId="8" fillId="11" borderId="12" xfId="0" applyFont="1" applyFill="1" applyBorder="1" applyAlignment="1">
      <alignment horizontal="center" vertical="center" wrapText="1"/>
    </xf>
    <xf numFmtId="0" fontId="8" fillId="11" borderId="38" xfId="0" applyFont="1" applyFill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9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44" fontId="1" fillId="15" borderId="0" xfId="1" applyFont="1" applyFill="1" applyBorder="1" applyAlignment="1">
      <alignment horizontal="right" vertical="center"/>
    </xf>
    <xf numFmtId="0" fontId="1" fillId="15" borderId="0" xfId="0" applyFont="1" applyFill="1" applyBorder="1" applyAlignment="1">
      <alignment horizontal="right"/>
    </xf>
    <xf numFmtId="0" fontId="29" fillId="20" borderId="0" xfId="0" applyFont="1" applyFill="1" applyAlignment="1">
      <alignment horizontal="center" vertical="center"/>
    </xf>
    <xf numFmtId="0" fontId="30" fillId="20" borderId="0" xfId="0" applyFont="1" applyFill="1" applyAlignment="1">
      <alignment horizontal="center" vertical="center"/>
    </xf>
    <xf numFmtId="44" fontId="0" fillId="15" borderId="0" xfId="1" applyFont="1" applyFill="1" applyBorder="1"/>
    <xf numFmtId="44" fontId="0" fillId="15" borderId="0" xfId="1" applyFont="1" applyFill="1" applyBorder="1" applyAlignment="1">
      <alignment horizontal="center"/>
    </xf>
    <xf numFmtId="44" fontId="18" fillId="15" borderId="0" xfId="1" applyFont="1" applyFill="1" applyBorder="1"/>
    <xf numFmtId="44" fontId="18" fillId="15" borderId="0" xfId="0" applyNumberFormat="1" applyFont="1" applyFill="1" applyBorder="1"/>
  </cellXfs>
  <cellStyles count="3">
    <cellStyle name="Moeda" xfId="1" builtinId="4"/>
    <cellStyle name="Normal" xfId="0" builtinId="0"/>
    <cellStyle name="Porcentagem" xfId="2" builtinId="5"/>
  </cellStyles>
  <dxfs count="113"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color rgb="FFFF0000"/>
      </font>
    </dxf>
    <dxf>
      <font>
        <b/>
        <i val="0"/>
        <color theme="5"/>
      </font>
    </dxf>
    <dxf>
      <font>
        <b/>
        <i val="0"/>
        <color theme="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ndar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ndara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ndara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ndara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ndara"/>
        <family val="2"/>
        <scheme val="none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ndara"/>
        <family val="2"/>
        <scheme val="none"/>
      </font>
      <alignment horizontal="center" vertical="center" textRotation="0" wrapText="0" indent="0" justifyLastLine="0" shrinkToFit="0" readingOrder="0"/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alignment horizontal="center" vertical="center" textRotation="0" wrapText="0" indent="0" justifyLastLine="0" shrinkToFit="0" readingOrder="0"/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fill>
        <patternFill patternType="none">
          <fgColor indexed="64"/>
          <bgColor auto="1"/>
        </patternFill>
      </fill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alignment horizontal="center" vertical="center" textRotation="0" wrapText="0" indent="0" justifyLastLine="0" shrinkToFit="0" readingOrder="0"/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alignment horizontal="center" vertical="center" textRotation="0" wrapText="0" indent="0" justifyLastLine="0" shrinkToFit="0" readingOrder="0"/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1"/>
        <color auto="1"/>
        <name val="Candara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ndara"/>
        <family val="2"/>
        <scheme val="none"/>
      </font>
      <alignment horizontal="center" vertical="center" textRotation="0" wrapText="0" indent="0" justifyLastLine="0" shrinkToFit="0" readingOrder="0"/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colors>
    <mruColors>
      <color rgb="FFFFBD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pivotCacheDefinition" Target="pivotCache/pivotCacheDefinition2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KS ENGENHARIA" refreshedDate="46162.61971770833" createdVersion="7" refreshedVersion="7" minRefreshableVersion="3" recordCount="29" xr:uid="{05FE4F55-6C4B-4880-A609-83E3DB1B0DF7}">
  <cacheSource type="worksheet">
    <worksheetSource name="Tabela153"/>
  </cacheSource>
  <cacheFields count="4">
    <cacheField name="Tipo" numFmtId="0">
      <sharedItems containsNonDate="0" containsBlank="1" count="14">
        <m/>
        <s v="Material Pintura" u="1"/>
        <s v="PAREDE DW" u="1"/>
        <s v="ESTRUTURA EM LSF" u="1"/>
        <s v="Hidraulica geral" u="1"/>
        <s v="Material Forro" u="1"/>
        <s v="Material Drywall" u="1"/>
        <s v="Piso" u="1"/>
        <s v="Material LSF" u="1"/>
        <s v="Elétrica" u="1"/>
        <s v="Canteiro" u="1"/>
        <s v="Forro" u="1"/>
        <s v="Pintura" u="1"/>
        <s v="Material Elétrico" u="1"/>
      </sharedItems>
    </cacheField>
    <cacheField name="Descrição" numFmtId="0">
      <sharedItems containsNonDate="0" containsString="0" containsBlank="1"/>
    </cacheField>
    <cacheField name="Mês" numFmtId="14">
      <sharedItems containsNonDate="0" containsString="0" containsBlank="1"/>
    </cacheField>
    <cacheField name="Valor" numFmtId="4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KS ENGENHARIA" refreshedDate="46162.619717939815" createdVersion="7" refreshedVersion="7" minRefreshableVersion="3" recordCount="53" xr:uid="{AB324C4B-39CE-436E-9E47-88E46A1D7CED}">
  <cacheSource type="worksheet">
    <worksheetSource name="Tabela15"/>
  </cacheSource>
  <cacheFields count="4">
    <cacheField name="Tipo" numFmtId="0">
      <sharedItems containsNonDate="0" containsBlank="1" count="23">
        <m/>
        <s v="Material Pintura" u="1"/>
        <s v="s" u="1"/>
        <s v="Nivelamento de piso" u="1"/>
        <s v="PAREDE DW" u="1"/>
        <s v="Material" u="1"/>
        <s v="ESTRUTURA EM LSF" u="1"/>
        <s v="Material " u="1"/>
        <s v="Hidraulica geral" u="1"/>
        <s v="outros" u="1"/>
        <s v="Material Forro" u="1"/>
        <s v="LSF" u="1"/>
        <s v="Material Drywall" u="1"/>
        <s v="Piso" u="1"/>
        <s v="Material LSF" u="1"/>
        <s v="Vidros" u="1"/>
        <s v="Elétrica" u="1"/>
        <s v="Canteiro" u="1"/>
        <s v="Hidraulica caixa" u="1"/>
        <s v="Forro" u="1"/>
        <s v="Fechamento" u="1"/>
        <s v="Pintura" u="1"/>
        <s v="Material Elétrico" u="1"/>
      </sharedItems>
    </cacheField>
    <cacheField name="Descrição" numFmtId="0">
      <sharedItems containsNonDate="0" containsString="0" containsBlank="1"/>
    </cacheField>
    <cacheField name="Mês" numFmtId="14">
      <sharedItems containsNonDate="0" containsString="0" containsBlank="1"/>
    </cacheField>
    <cacheField name="Valor" numFmtId="4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78.650851273145" createdVersion="8" refreshedVersion="7" minRefreshableVersion="3" recordCount="32" xr:uid="{00000000-000A-0000-FFFF-FFFF01000000}">
  <cacheSource type="worksheet">
    <worksheetSource name="Tabela1"/>
  </cacheSource>
  <cacheFields count="4">
    <cacheField name="Tipo" numFmtId="16">
      <sharedItems containsBlank="1" count="27">
        <s v="Aço LSF"/>
        <s v="OUTROS"/>
        <m/>
        <s v="Nivelamento de piso" u="1"/>
        <s v="Parede DW" u="1"/>
        <s v="Demolição Forro" u="1"/>
        <s v="Calha" u="1"/>
        <s v="Mão-de-Obra" u="1"/>
        <s v="Caixa d'água" u="1"/>
        <s v="Retirada Vinílico" u="1"/>
        <s v="Demolição calçada" u="1"/>
        <s v="Coordenação" u="1"/>
        <s v="Portas" u="1"/>
        <s v="Hidraulica" u="1"/>
        <s v="Elétrica" u="1"/>
        <s v="Retirada piso externo" u="1"/>
        <s v="Montagem LSF" u="1"/>
        <s v="Piso Interno" u="1"/>
        <s v="Calhas" u="1"/>
        <s v="Demolição" u="1"/>
        <s v="Forro" u="1"/>
        <s v="Fachada" u="1"/>
        <s v="Pintura" u="1"/>
        <s v="Telhado" u="1"/>
        <s v="Funcionários Veks" u="1"/>
        <s v="Demolição e descarte paredes" u="1"/>
        <s v="Eletrica" u="1"/>
      </sharedItems>
    </cacheField>
    <cacheField name="Descrição" numFmtId="0">
      <sharedItems containsBlank="1"/>
    </cacheField>
    <cacheField name="Mês" numFmtId="16">
      <sharedItems containsDate="1" containsBlank="1" containsMixedTypes="1" minDate="2026-04-06T00:00:00" maxDate="2026-06-06T00:00:00"/>
    </cacheField>
    <cacheField name="Valor" numFmtId="44">
      <sharedItems containsString="0" containsBlank="1" containsNumber="1" minValue="150" maxValue="6348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78.650898032407" createdVersion="7" refreshedVersion="7" minRefreshableVersion="3" recordCount="216" xr:uid="{45D43F50-BC84-47CA-BD2B-8B1E57831F8B}">
  <cacheSource type="worksheet">
    <worksheetSource name="Tabela7"/>
  </cacheSource>
  <cacheFields count="4">
    <cacheField name="Tipo" numFmtId="0">
      <sharedItems containsBlank="1" count="13">
        <s v="Viagem ida"/>
        <s v="Refeição"/>
        <s v="Café e Janta"/>
        <s v="Combustivel"/>
        <s v="Ferramentas"/>
        <s v="Viagem Volta"/>
        <s v="Uber"/>
        <m/>
        <s v="Bonus 01"/>
        <s v="Bonus 02"/>
        <s v="Transporte" u="1"/>
        <s v="Alimentação" u="1"/>
        <s v="s" u="1"/>
      </sharedItems>
    </cacheField>
    <cacheField name="Descrição" numFmtId="0">
      <sharedItems containsBlank="1"/>
    </cacheField>
    <cacheField name="Mês" numFmtId="0">
      <sharedItems containsDate="1" containsBlank="1" containsMixedTypes="1" minDate="2026-03-27T00:00:00" maxDate="2026-06-04T00:00:00"/>
    </cacheField>
    <cacheField name="Valor" numFmtId="44">
      <sharedItems containsString="0" containsBlank="1" containsNumber="1" minValue="55.67" maxValue="204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78.65092511574" createdVersion="7" refreshedVersion="7" minRefreshableVersion="3" recordCount="25" xr:uid="{7C439CA1-95AD-434F-972B-711A98AD684B}">
  <cacheSource type="worksheet">
    <worksheetSource name="Tabela154"/>
  </cacheSource>
  <cacheFields count="4">
    <cacheField name="Tipo" numFmtId="0">
      <sharedItems containsBlank="1" count="6">
        <s v="Frete"/>
        <s v="Locação"/>
        <s v="Alojamento"/>
        <s v="Estadia Abel"/>
        <m/>
        <s v="s" u="1"/>
      </sharedItems>
    </cacheField>
    <cacheField name="Descrição" numFmtId="0">
      <sharedItems containsBlank="1"/>
    </cacheField>
    <cacheField name="Mês" numFmtId="0">
      <sharedItems containsNonDate="0" containsDate="1" containsString="0" containsBlank="1" minDate="2026-04-01T00:00:00" maxDate="2026-05-30T00:00:00"/>
    </cacheField>
    <cacheField name="Valor" numFmtId="44">
      <sharedItems containsString="0" containsBlank="1" containsNumber="1" minValue="240" maxValue="3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s v="Matheus (lider)"/>
    <d v="2026-04-06T00:00:00"/>
    <n v="1250"/>
  </r>
  <r>
    <x v="0"/>
    <s v="Roger (montador)"/>
    <d v="2026-04-06T00:00:00"/>
    <n v="1000"/>
  </r>
  <r>
    <x v="0"/>
    <s v="Vinicius (Ajudante)"/>
    <d v="2026-04-06T00:00:00"/>
    <n v="750"/>
  </r>
  <r>
    <x v="0"/>
    <s v="Leonardo (Ajudante)"/>
    <d v="2026-04-06T00:00:00"/>
    <n v="750"/>
  </r>
  <r>
    <x v="0"/>
    <s v="Matheus (lider)"/>
    <d v="2026-04-07T00:00:00"/>
    <n v="250"/>
  </r>
  <r>
    <x v="0"/>
    <s v="Roger (montador)"/>
    <d v="2026-04-07T00:00:00"/>
    <n v="200"/>
  </r>
  <r>
    <x v="0"/>
    <s v="Vinicius (Ajudante)"/>
    <d v="2026-04-07T00:00:00"/>
    <n v="150"/>
  </r>
  <r>
    <x v="0"/>
    <s v="Leonardo (Ajudante)"/>
    <d v="2026-04-07T00:00:00"/>
    <n v="150"/>
  </r>
  <r>
    <x v="0"/>
    <s v="Matheus (lider)"/>
    <d v="2026-04-08T00:00:00"/>
    <n v="250"/>
  </r>
  <r>
    <x v="0"/>
    <s v="Roger (montador)"/>
    <d v="2026-04-08T00:00:00"/>
    <n v="200"/>
  </r>
  <r>
    <x v="0"/>
    <s v="Vinicius (Ajudante)"/>
    <d v="2026-04-08T00:00:00"/>
    <n v="150"/>
  </r>
  <r>
    <x v="0"/>
    <s v="Leonardo (Ajudante)"/>
    <d v="2026-04-08T00:00:00"/>
    <n v="150"/>
  </r>
  <r>
    <x v="0"/>
    <s v="Matheus (lider)"/>
    <d v="2026-04-09T00:00:00"/>
    <n v="250"/>
  </r>
  <r>
    <x v="0"/>
    <s v="Roger (montador)"/>
    <d v="2026-04-09T00:00:00"/>
    <n v="200"/>
  </r>
  <r>
    <x v="0"/>
    <s v="Vinicius (Ajudante)"/>
    <d v="2026-04-09T00:00:00"/>
    <n v="150"/>
  </r>
  <r>
    <x v="0"/>
    <s v="Leonardo (Ajudante)"/>
    <d v="2026-04-09T00:00:00"/>
    <n v="150"/>
  </r>
  <r>
    <x v="0"/>
    <s v="Vinicius (Ajudante) 10/04 - 30/04"/>
    <s v="-"/>
    <n v="2250"/>
  </r>
  <r>
    <x v="0"/>
    <s v="Roger (montador) 10/04 - 15/05"/>
    <s v="-"/>
    <n v="4200"/>
  </r>
  <r>
    <x v="0"/>
    <s v="Matheus (lider) 10/04 - 15/05"/>
    <s v="-"/>
    <n v="5250"/>
  </r>
  <r>
    <x v="0"/>
    <s v="Leonardo (Ajudante) 10/04 - 15/05"/>
    <s v="-"/>
    <n v="3150"/>
  </r>
  <r>
    <x v="0"/>
    <s v="Marcos (ajudanta) 10/04 - 30/04"/>
    <s v="-"/>
    <n v="1940"/>
  </r>
  <r>
    <x v="0"/>
    <s v="Josué (ajudante) 11/05 - 15/05"/>
    <s v="-"/>
    <n v="750"/>
  </r>
  <r>
    <x v="1"/>
    <s v="Eduardo - Basecoat"/>
    <d v="2026-05-29T00:00:00"/>
    <n v="6348.75"/>
  </r>
  <r>
    <x v="1"/>
    <s v="Gustavo - Ajudante Vila Velha"/>
    <d v="2026-05-20T00:00:00"/>
    <n v="780"/>
  </r>
  <r>
    <x v="1"/>
    <s v="Davi - Ajudante Vila Velha"/>
    <d v="2026-05-20T00:00:00"/>
    <n v="260"/>
  </r>
  <r>
    <x v="1"/>
    <s v="Roger (montador) 15.05 a 05.06"/>
    <d v="2026-06-05T00:00:00"/>
    <n v="3400"/>
  </r>
  <r>
    <x v="1"/>
    <s v="Leonardo (Ajudante) 15.05 a 30.05"/>
    <d v="2026-06-05T00:00:00"/>
    <n v="1650"/>
  </r>
  <r>
    <x v="1"/>
    <s v="Matheus (lider) 15.05 a 05.06"/>
    <d v="2026-06-05T00:00:00"/>
    <n v="4500"/>
  </r>
  <r>
    <x v="1"/>
    <s v="Josué (ajudante) 15.05 a 30.05"/>
    <d v="2026-06-05T00:00:00"/>
    <n v="1800"/>
  </r>
  <r>
    <x v="2"/>
    <m/>
    <m/>
    <m/>
  </r>
  <r>
    <x v="2"/>
    <m/>
    <m/>
    <m/>
  </r>
  <r>
    <x v="2"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">
  <r>
    <x v="0"/>
    <s v="Geral"/>
    <d v="2026-03-27T00:00:00"/>
    <n v="2046.4"/>
  </r>
  <r>
    <x v="0"/>
    <s v="Despesas da viagem para Roger"/>
    <d v="2026-03-29T00:00:00"/>
    <n v="400"/>
  </r>
  <r>
    <x v="0"/>
    <s v="Despesas da viagem para Abel"/>
    <d v="2026-03-29T00:00:00"/>
    <n v="800"/>
  </r>
  <r>
    <x v="0"/>
    <s v="Abel organização casa"/>
    <d v="2026-04-01T00:00:00"/>
    <n v="1000"/>
  </r>
  <r>
    <x v="1"/>
    <s v="Restaurante Vila velha - Equipe geral"/>
    <d v="2026-04-06T00:00:00"/>
    <n v="524"/>
  </r>
  <r>
    <x v="2"/>
    <s v="Matheus (lider)"/>
    <d v="2026-04-06T00:00:00"/>
    <n v="640"/>
  </r>
  <r>
    <x v="2"/>
    <s v="Roger (montador)"/>
    <d v="2026-04-06T00:00:00"/>
    <n v="640"/>
  </r>
  <r>
    <x v="2"/>
    <s v="Vinicius (Ajudante)"/>
    <d v="2026-04-06T00:00:00"/>
    <n v="640"/>
  </r>
  <r>
    <x v="2"/>
    <s v="Leonardo (Ajudante)"/>
    <d v="2026-04-06T00:00:00"/>
    <n v="640"/>
  </r>
  <r>
    <x v="2"/>
    <s v="Matheus (lider)"/>
    <d v="2026-04-13T00:00:00"/>
    <n v="340"/>
  </r>
  <r>
    <x v="2"/>
    <s v="Roger (montador)"/>
    <d v="2026-04-13T00:00:00"/>
    <n v="340"/>
  </r>
  <r>
    <x v="2"/>
    <s v="Vinicius (Ajudante)"/>
    <d v="2026-04-13T00:00:00"/>
    <n v="340"/>
  </r>
  <r>
    <x v="2"/>
    <s v="Leonardo (Ajudante)"/>
    <d v="2026-04-13T00:00:00"/>
    <n v="340"/>
  </r>
  <r>
    <x v="2"/>
    <s v="Equipe"/>
    <d v="2026-04-20T00:00:00"/>
    <n v="1700"/>
  </r>
  <r>
    <x v="1"/>
    <s v="Restaurante Vila velha - Equipe geral"/>
    <d v="2026-04-23T00:00:00"/>
    <n v="1501"/>
  </r>
  <r>
    <x v="2"/>
    <s v="Equipe"/>
    <d v="2026-04-27T00:00:00"/>
    <n v="1700"/>
  </r>
  <r>
    <x v="1"/>
    <s v="Restaurante Vila velha - Equipe geral"/>
    <d v="2026-05-05T00:00:00"/>
    <n v="773"/>
  </r>
  <r>
    <x v="3"/>
    <m/>
    <d v="2026-05-05T00:00:00"/>
    <n v="542.08000000000004"/>
  </r>
  <r>
    <x v="0"/>
    <s v="Abel "/>
    <d v="2026-05-10T00:00:00"/>
    <n v="1200"/>
  </r>
  <r>
    <x v="0"/>
    <s v="Matheus (lider)"/>
    <d v="2026-05-10T00:00:00"/>
    <n v="400"/>
  </r>
  <r>
    <x v="2"/>
    <s v="Equipe"/>
    <d v="2026-05-11T00:00:00"/>
    <n v="1360"/>
  </r>
  <r>
    <x v="2"/>
    <s v="Josue"/>
    <d v="2026-05-11T00:00:00"/>
    <n v="340"/>
  </r>
  <r>
    <x v="3"/>
    <m/>
    <d v="2026-05-13T00:00:00"/>
    <n v="840"/>
  </r>
  <r>
    <x v="4"/>
    <s v="Abel - Reembolso Ferramentas"/>
    <d v="2026-05-13T00:00:00"/>
    <n v="255"/>
  </r>
  <r>
    <x v="5"/>
    <s v="Abel - Passagem"/>
    <d v="2026-05-13T00:00:00"/>
    <n v="412.89"/>
  </r>
  <r>
    <x v="0"/>
    <s v="Viagem volta Abel"/>
    <d v="2026-05-14T00:00:00"/>
    <n v="412.89"/>
  </r>
  <r>
    <x v="2"/>
    <s v="Josue Dias de Andrade"/>
    <d v="2026-05-25T00:00:00"/>
    <n v="340"/>
  </r>
  <r>
    <x v="2"/>
    <s v="Leonardo Oliveira Santos"/>
    <d v="2026-05-25T00:00:00"/>
    <n v="340"/>
  </r>
  <r>
    <x v="2"/>
    <s v="Matheus Antonio Barbosa dos Santos"/>
    <d v="2026-05-25T00:00:00"/>
    <n v="340"/>
  </r>
  <r>
    <x v="2"/>
    <s v="Roger Rivas "/>
    <d v="2026-05-25T00:00:00"/>
    <n v="340"/>
  </r>
  <r>
    <x v="4"/>
    <s v="Matheus - Reembolso Ferramentas"/>
    <d v="2026-05-26T00:00:00"/>
    <n v="112"/>
  </r>
  <r>
    <x v="3"/>
    <s v="Matheus"/>
    <d v="2026-05-26T00:00:00"/>
    <n v="200"/>
  </r>
  <r>
    <x v="4"/>
    <s v="Matheus - Reembolso Ferramentas"/>
    <d v="2026-05-29T00:00:00"/>
    <n v="247"/>
  </r>
  <r>
    <x v="1"/>
    <s v="Restaurante Vila velha - Equipe geral"/>
    <d v="2026-05-29T00:00:00"/>
    <n v="1938"/>
  </r>
  <r>
    <x v="2"/>
    <s v="Matheus e Roger"/>
    <d v="2026-06-02T00:00:00"/>
    <n v="370"/>
  </r>
  <r>
    <x v="5"/>
    <s v="Mateus - Custos Viagem"/>
    <d v="2026-06-03T00:00:00"/>
    <n v="450"/>
  </r>
  <r>
    <x v="6"/>
    <m/>
    <s v="-"/>
    <n v="55.67"/>
  </r>
  <r>
    <x v="2"/>
    <s v="Alimentação equipe"/>
    <d v="2026-05-11T00:00:00"/>
    <n v="1760"/>
  </r>
  <r>
    <x v="0"/>
    <s v="Abel - Despesas Viagem"/>
    <d v="2026-05-11T00:00:00"/>
    <n v="1200"/>
  </r>
  <r>
    <x v="7"/>
    <s v="Mestre da obra"/>
    <m/>
    <n v="410"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8"/>
    <s v="Matheus (lider)"/>
    <m/>
    <n v="1650"/>
  </r>
  <r>
    <x v="8"/>
    <s v="Roger (montador)"/>
    <m/>
    <n v="1150"/>
  </r>
  <r>
    <x v="8"/>
    <s v="Leonardo (Ajudante)"/>
    <m/>
    <n v="800"/>
  </r>
  <r>
    <x v="8"/>
    <s v="Vinicius (Ajudante)"/>
    <m/>
    <n v="800"/>
  </r>
  <r>
    <x v="7"/>
    <m/>
    <m/>
    <m/>
  </r>
  <r>
    <x v="9"/>
    <s v="Matheus (lider)"/>
    <m/>
    <m/>
  </r>
  <r>
    <x v="9"/>
    <s v="Roger (montador)"/>
    <m/>
    <m/>
  </r>
  <r>
    <x v="9"/>
    <s v="Leonardo (Ajudante)"/>
    <m/>
    <m/>
  </r>
  <r>
    <x v="9"/>
    <s v="Josué (Ajudante)"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  <r>
    <x v="7"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s v="Caminhão Muck (descarregamento)"/>
    <d v="2026-04-01T00:00:00"/>
    <n v="1000"/>
  </r>
  <r>
    <x v="1"/>
    <s v="Mestre da obra"/>
    <d v="2026-04-01T00:00:00"/>
    <n v="410"/>
  </r>
  <r>
    <x v="0"/>
    <s v="Mudança de material do terreno"/>
    <d v="2026-04-08T00:00:00"/>
    <n v="750"/>
  </r>
  <r>
    <x v="2"/>
    <s v="Aluguel da casa (Calção - Será estornado ao final do contrato)"/>
    <d v="2026-04-03T00:00:00"/>
    <n v="3000"/>
  </r>
  <r>
    <x v="2"/>
    <s v="Aluguel da casa (1/2)"/>
    <d v="2026-04-07T00:00:00"/>
    <n v="3000"/>
  </r>
  <r>
    <x v="2"/>
    <s v="Aluguel da casa (2/2)"/>
    <d v="2026-05-05T00:00:00"/>
    <n v="3000"/>
  </r>
  <r>
    <x v="3"/>
    <s v="Hotel"/>
    <d v="2026-04-13T00:00:00"/>
    <n v="493.3"/>
  </r>
  <r>
    <x v="1"/>
    <s v="Mestre da obra"/>
    <d v="2026-04-15T00:00:00"/>
    <n v="864"/>
  </r>
  <r>
    <x v="1"/>
    <s v="Mestre da obra"/>
    <d v="2026-04-23T00:00:00"/>
    <n v="345"/>
  </r>
  <r>
    <x v="1"/>
    <s v="Mestre da obra"/>
    <d v="2026-04-29T00:00:00"/>
    <n v="240"/>
  </r>
  <r>
    <x v="1"/>
    <s v="Mestre da obra"/>
    <d v="2026-05-07T00:00:00"/>
    <n v="410"/>
  </r>
  <r>
    <x v="1"/>
    <s v="Mestre da obra"/>
    <d v="2026-05-20T00:00:00"/>
    <n v="642"/>
  </r>
  <r>
    <x v="1"/>
    <s v="Movimentação de material kevily"/>
    <d v="2026-05-07T00:00:00"/>
    <n v="900"/>
  </r>
  <r>
    <x v="1"/>
    <s v="Descarga de mateial Jadisson"/>
    <d v="2026-05-04T00:00:00"/>
    <n v="800"/>
  </r>
  <r>
    <x v="1"/>
    <s v="Mestre da obra"/>
    <d v="2026-05-29T00:00:00"/>
    <n v="804"/>
  </r>
  <r>
    <x v="1"/>
    <s v="Mestre da obra"/>
    <d v="2026-05-22T00:00:00"/>
    <n v="642"/>
  </r>
  <r>
    <x v="1"/>
    <s v="Mestre da obra"/>
    <d v="2026-05-07T00:00:00"/>
    <n v="410"/>
  </r>
  <r>
    <x v="4"/>
    <m/>
    <m/>
    <m/>
  </r>
  <r>
    <x v="4"/>
    <m/>
    <m/>
    <m/>
  </r>
  <r>
    <x v="4"/>
    <m/>
    <m/>
    <m/>
  </r>
  <r>
    <x v="4"/>
    <m/>
    <m/>
    <m/>
  </r>
  <r>
    <x v="4"/>
    <m/>
    <m/>
    <m/>
  </r>
  <r>
    <x v="4"/>
    <m/>
    <m/>
    <m/>
  </r>
  <r>
    <x v="4"/>
    <m/>
    <m/>
    <m/>
  </r>
  <r>
    <x v="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>
  <location ref="G2:H6" firstHeaderRow="1" firstDataRow="1" firstDataCol="1"/>
  <pivotFields count="4">
    <pivotField axis="axisRow" showAll="0">
      <items count="28">
        <item m="1" x="18"/>
        <item m="1" x="23"/>
        <item x="2"/>
        <item m="1" x="6"/>
        <item m="1" x="8"/>
        <item m="1" x="24"/>
        <item m="1" x="17"/>
        <item m="1" x="9"/>
        <item m="1" x="15"/>
        <item m="1" x="21"/>
        <item m="1" x="10"/>
        <item m="1" x="7"/>
        <item m="1" x="19"/>
        <item m="1" x="5"/>
        <item m="1" x="11"/>
        <item m="1" x="22"/>
        <item m="1" x="14"/>
        <item m="1" x="20"/>
        <item x="1"/>
        <item m="1" x="4"/>
        <item m="1" x="12"/>
        <item m="1" x="25"/>
        <item m="1" x="3"/>
        <item m="1" x="16"/>
        <item m="1" x="26"/>
        <item m="1" x="13"/>
        <item x="0"/>
        <item t="default"/>
      </items>
    </pivotField>
    <pivotField showAll="0"/>
    <pivotField showAll="0"/>
    <pivotField dataField="1" showAll="0"/>
  </pivotFields>
  <rowFields count="1">
    <field x="0"/>
  </rowFields>
  <rowItems count="4">
    <i>
      <x v="2"/>
    </i>
    <i>
      <x v="18"/>
    </i>
    <i>
      <x v="26"/>
    </i>
    <i t="grand">
      <x/>
    </i>
  </rowItems>
  <colItems count="1">
    <i/>
  </colItems>
  <dataFields count="1">
    <dataField name="Soma de Valor" fld="3" baseField="0" baseItem="0" numFmtId="44"/>
  </dataFields>
  <formats count="11">
    <format dxfId="112">
      <pivotArea outline="0" collapsedLevelsAreSubtotals="1" fieldPosition="0"/>
    </format>
    <format dxfId="111">
      <pivotArea collapsedLevelsAreSubtotals="1" fieldPosition="0">
        <references count="1">
          <reference field="0" count="3">
            <x v="6"/>
            <x v="7"/>
            <x v="8"/>
          </reference>
        </references>
      </pivotArea>
    </format>
    <format dxfId="110">
      <pivotArea dataOnly="0" labelOnly="1" fieldPosition="0">
        <references count="1">
          <reference field="0" count="3">
            <x v="6"/>
            <x v="7"/>
            <x v="8"/>
          </reference>
        </references>
      </pivotArea>
    </format>
    <format dxfId="109">
      <pivotArea collapsedLevelsAreSubtotals="1" fieldPosition="0">
        <references count="1">
          <reference field="0" count="1">
            <x v="10"/>
          </reference>
        </references>
      </pivotArea>
    </format>
    <format dxfId="108">
      <pivotArea dataOnly="0" labelOnly="1" fieldPosition="0">
        <references count="1">
          <reference field="0" count="1">
            <x v="10"/>
          </reference>
        </references>
      </pivotArea>
    </format>
    <format dxfId="107">
      <pivotArea type="all" dataOnly="0" outline="0" fieldPosition="0"/>
    </format>
    <format dxfId="106">
      <pivotArea outline="0" collapsedLevelsAreSubtotals="1" fieldPosition="0"/>
    </format>
    <format dxfId="105">
      <pivotArea field="0" type="button" dataOnly="0" labelOnly="1" outline="0" axis="axisRow" fieldPosition="0"/>
    </format>
    <format dxfId="104">
      <pivotArea dataOnly="0" labelOnly="1" fieldPosition="0">
        <references count="1">
          <reference field="0" count="0"/>
        </references>
      </pivotArea>
    </format>
    <format dxfId="103">
      <pivotArea dataOnly="0" labelOnly="1" grandRow="1" outline="0" fieldPosition="0"/>
    </format>
    <format dxfId="10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3D6C05-AB70-48E2-9404-2D5DC08E5BEA}" name="Tabela dinâ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>
  <location ref="G2:H4" firstHeaderRow="1" firstDataRow="1" firstDataCol="1"/>
  <pivotFields count="4">
    <pivotField axis="axisRow" showAll="0">
      <items count="24">
        <item x="0"/>
        <item m="1" x="2"/>
        <item m="1" x="5"/>
        <item m="1" x="22"/>
        <item m="1" x="10"/>
        <item m="1" x="12"/>
        <item m="1" x="14"/>
        <item m="1" x="1"/>
        <item m="1" x="7"/>
        <item m="1" x="15"/>
        <item m="1" x="17"/>
        <item m="1" x="3"/>
        <item m="1" x="6"/>
        <item m="1" x="18"/>
        <item m="1" x="8"/>
        <item m="1" x="4"/>
        <item m="1" x="16"/>
        <item m="1" x="19"/>
        <item m="1" x="21"/>
        <item m="1" x="9"/>
        <item m="1" x="13"/>
        <item m="1" x="20"/>
        <item m="1" x="11"/>
        <item t="default"/>
      </items>
    </pivotField>
    <pivotField showAll="0"/>
    <pivotField showAll="0"/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Soma de Valor" fld="3" baseField="0" baseItem="0" numFmtId="44"/>
  </dataFields>
  <formats count="7">
    <format dxfId="95">
      <pivotArea outline="0" collapsedLevelsAreSubtotals="1" fieldPosition="0"/>
    </format>
    <format dxfId="94">
      <pivotArea type="all" dataOnly="0" outline="0" fieldPosition="0"/>
    </format>
    <format dxfId="93">
      <pivotArea outline="0" collapsedLevelsAreSubtotals="1" fieldPosition="0"/>
    </format>
    <format dxfId="92">
      <pivotArea field="0" type="button" dataOnly="0" labelOnly="1" outline="0" axis="axisRow" fieldPosition="0"/>
    </format>
    <format dxfId="91">
      <pivotArea dataOnly="0" labelOnly="1" fieldPosition="0">
        <references count="1">
          <reference field="0" count="0"/>
        </references>
      </pivotArea>
    </format>
    <format dxfId="90">
      <pivotArea dataOnly="0" labelOnly="1" grandRow="1" outline="0" fieldPosition="0"/>
    </format>
    <format dxfId="8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F331F0-137C-4FAA-B3D6-38C35988F2B8}" name="Tabela dinâmica5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>
  <location ref="G2:H13" firstHeaderRow="1" firstDataRow="1" firstDataCol="1"/>
  <pivotFields count="4">
    <pivotField axis="axisRow" showAll="0">
      <items count="14">
        <item x="7"/>
        <item m="1" x="12"/>
        <item x="1"/>
        <item m="1" x="10"/>
        <item m="1" x="11"/>
        <item x="0"/>
        <item x="2"/>
        <item x="8"/>
        <item x="3"/>
        <item x="6"/>
        <item x="9"/>
        <item x="4"/>
        <item x="5"/>
        <item t="default"/>
      </items>
    </pivotField>
    <pivotField showAll="0"/>
    <pivotField showAll="0"/>
    <pivotField dataField="1" showAll="0"/>
  </pivotFields>
  <rowFields count="1">
    <field x="0"/>
  </rowFields>
  <rowItems count="11">
    <i>
      <x/>
    </i>
    <i>
      <x v="2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" fld="3" baseField="0" baseItem="0" numFmtId="44"/>
  </dataFields>
  <formats count="7">
    <format dxfId="82">
      <pivotArea outline="0" collapsedLevelsAreSubtotals="1" fieldPosition="0"/>
    </format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0" type="button" dataOnly="0" labelOnly="1" outline="0" axis="axisRow" fieldPosition="0"/>
    </format>
    <format dxfId="78">
      <pivotArea dataOnly="0" labelOnly="1" fieldPosition="0">
        <references count="1">
          <reference field="0" count="0"/>
        </references>
      </pivotArea>
    </format>
    <format dxfId="77">
      <pivotArea dataOnly="0" labelOnly="1" grandRow="1" outline="0" fieldPosition="0"/>
    </format>
    <format dxfId="7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D0CBDB-8BEF-4B44-8431-B231BBAA9A3E}" name="Tabela dinâ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>
  <location ref="G2:H8" firstHeaderRow="1" firstDataRow="1" firstDataCol="1"/>
  <pivotFields count="4">
    <pivotField axis="axisRow" showAll="0">
      <items count="7">
        <item x="4"/>
        <item m="1" x="5"/>
        <item x="1"/>
        <item x="0"/>
        <item x="2"/>
        <item x="3"/>
        <item t="default"/>
      </items>
    </pivotField>
    <pivotField showAll="0"/>
    <pivotField showAll="0"/>
    <pivotField dataField="1" showAll="0"/>
  </pivotFields>
  <rowFields count="1">
    <field x="0"/>
  </rowFields>
  <rowItems count="6">
    <i>
      <x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" fld="3" baseField="0" baseItem="0" numFmtId="44"/>
  </dataFields>
  <formats count="7">
    <format dxfId="69">
      <pivotArea outline="0" collapsedLevelsAreSubtotals="1" fieldPosition="0"/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0" type="button" dataOnly="0" labelOnly="1" outline="0" axis="axisRow" fieldPosition="0"/>
    </format>
    <format dxfId="65">
      <pivotArea dataOnly="0" labelOnly="1" fieldPosition="0">
        <references count="1">
          <reference field="0" count="0"/>
        </references>
      </pivotArea>
    </format>
    <format dxfId="64">
      <pivotArea dataOnly="0" labelOnly="1" grandRow="1" outline="0" fieldPosition="0"/>
    </format>
    <format dxfId="6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6096F0-99D6-4B72-95CD-BEB0ADB02AB4}" name="Tabela dinâ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>
  <location ref="G2:H4" firstHeaderRow="1" firstDataRow="1" firstDataCol="1"/>
  <pivotFields count="4">
    <pivotField axis="axisRow" showAll="0">
      <items count="15">
        <item x="0"/>
        <item m="1" x="13"/>
        <item m="1" x="5"/>
        <item m="1" x="6"/>
        <item m="1" x="8"/>
        <item m="1" x="1"/>
        <item m="1" x="10"/>
        <item m="1" x="3"/>
        <item m="1" x="4"/>
        <item m="1" x="2"/>
        <item m="1" x="9"/>
        <item m="1" x="11"/>
        <item m="1" x="12"/>
        <item m="1" x="7"/>
        <item t="default"/>
      </items>
    </pivotField>
    <pivotField showAll="0"/>
    <pivotField showAll="0"/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Soma de Valor" fld="3" baseField="0" baseItem="0" numFmtId="44"/>
  </dataFields>
  <formats count="7">
    <format dxfId="56">
      <pivotArea outline="0" collapsedLevelsAreSubtotals="1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0" type="button" dataOnly="0" labelOnly="1" outline="0" axis="axisRow" fieldPosition="0"/>
    </format>
    <format dxfId="52">
      <pivotArea dataOnly="0" labelOnly="1" fieldPosition="0">
        <references count="1">
          <reference field="0" count="0"/>
        </references>
      </pivotArea>
    </format>
    <format dxfId="51">
      <pivotArea dataOnly="0" labelOnly="1" grandRow="1" outline="0" fieldPosition="0"/>
    </format>
    <format dxfId="5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2:E34" totalsRowShown="0" headerRowDxfId="101" dataDxfId="100">
  <autoFilter ref="B2:E34" xr:uid="{00000000-0009-0000-0100-000001000000}">
    <filterColumn colId="1">
      <filters>
        <filter val="Abel Barge"/>
        <filter val="Cristiano"/>
        <filter val="Davi Ferreira"/>
        <filter val="Ednilson Bernardo"/>
        <filter val="Lucas Henrique"/>
        <filter val="Maicon"/>
        <filter val="Murilo Caique"/>
        <filter val="Pedro Ednei"/>
        <filter val="Roger Rivas"/>
        <filter val="Vinicius Romano"/>
      </filters>
    </filterColumn>
  </autoFilter>
  <sortState xmlns:xlrd2="http://schemas.microsoft.com/office/spreadsheetml/2017/richdata2" ref="B3:E176">
    <sortCondition ref="D2:D176"/>
  </sortState>
  <tableColumns count="4">
    <tableColumn id="1" xr3:uid="{00000000-0010-0000-0000-000001000000}" name="Tipo" dataDxfId="99"/>
    <tableColumn id="3" xr3:uid="{00000000-0010-0000-0000-000003000000}" name="Descrição" dataDxfId="98"/>
    <tableColumn id="4" xr3:uid="{00000000-0010-0000-0000-000004000000}" name="Mês" dataDxfId="97"/>
    <tableColumn id="5" xr3:uid="{00000000-0010-0000-0000-000005000000}" name="Valor" dataDxfId="9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ela15" displayName="Tabela15" ref="B2:E55" totalsRowShown="0" headerRowDxfId="88" dataDxfId="87">
  <autoFilter ref="B2:E55" xr:uid="{00000000-0009-0000-0100-000004000000}"/>
  <tableColumns count="4">
    <tableColumn id="1" xr3:uid="{00000000-0010-0000-0200-000001000000}" name="Tipo" dataDxfId="86"/>
    <tableColumn id="3" xr3:uid="{00000000-0010-0000-0200-000003000000}" name="Descrição" dataDxfId="85"/>
    <tableColumn id="4" xr3:uid="{00000000-0010-0000-0200-000004000000}" name="Mês" dataDxfId="84"/>
    <tableColumn id="5" xr3:uid="{00000000-0010-0000-0200-000005000000}" name="Valor" dataDxfId="83" dataCellStyle="Moed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ela7" displayName="Tabela7" ref="B2:E218" totalsRowShown="0" headerRowDxfId="75" dataDxfId="74">
  <autoFilter ref="B2:E218" xr:uid="{00000000-0009-0000-0100-000007000000}"/>
  <sortState xmlns:xlrd2="http://schemas.microsoft.com/office/spreadsheetml/2017/richdata2" ref="B3:E218">
    <sortCondition ref="D2:D218"/>
  </sortState>
  <tableColumns count="4">
    <tableColumn id="1" xr3:uid="{00000000-0010-0000-0600-000001000000}" name="Tipo" dataDxfId="73"/>
    <tableColumn id="2" xr3:uid="{00000000-0010-0000-0600-000002000000}" name="Descrição" dataDxfId="72"/>
    <tableColumn id="3" xr3:uid="{00000000-0010-0000-0600-000003000000}" name="Mês" dataDxfId="71"/>
    <tableColumn id="4" xr3:uid="{00000000-0010-0000-0600-000004000000}" name="Valor" dataDxfId="7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6F1041-75B1-4295-8ABB-1859CA081A01}" name="Tabela154" displayName="Tabela154" ref="B2:E27" totalsRowShown="0" headerRowDxfId="62" dataDxfId="61">
  <autoFilter ref="B2:E27" xr:uid="{00000000-0009-0000-0100-000004000000}"/>
  <tableColumns count="4">
    <tableColumn id="1" xr3:uid="{53076E7B-48EC-4776-A4E5-CA3E101AB6F7}" name="Tipo" dataDxfId="60"/>
    <tableColumn id="3" xr3:uid="{61B398DD-45EF-4B72-B598-741C5A2E5695}" name="Descrição" dataDxfId="59"/>
    <tableColumn id="4" xr3:uid="{9186BDDD-1FF2-435C-864A-350E45646BC1}" name="Mês" dataDxfId="58"/>
    <tableColumn id="5" xr3:uid="{8F5F0FC7-D443-4AED-A505-7A292EE84FB1}" name="Valor" dataDxfId="57" dataCellStyle="Moed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955F55-665F-4531-A748-EA8E995B5C65}" name="Tabela153" displayName="Tabela153" ref="B2:E31" totalsRowShown="0" headerRowDxfId="49" dataDxfId="48">
  <autoFilter ref="B2:E31" xr:uid="{00000000-0009-0000-0100-000004000000}"/>
  <tableColumns count="4">
    <tableColumn id="1" xr3:uid="{0E542E86-3F30-4521-9D51-07D1E7164D41}" name="Tipo" dataDxfId="47" totalsRowDxfId="46"/>
    <tableColumn id="3" xr3:uid="{798E53DF-37DA-4196-96D0-C43BAC4D97B3}" name="Descrição" dataDxfId="45" totalsRowDxfId="44"/>
    <tableColumn id="4" xr3:uid="{28C3CE4C-0F69-4851-A5EA-B7277A7DA700}" name="Mês" dataDxfId="43" totalsRowDxfId="42"/>
    <tableColumn id="5" xr3:uid="{6EF91009-F131-40A3-AE07-FC829A851DA0}" name="Valor" dataDxfId="41" totalsRowDxfId="4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pivotTable" Target="../pivotTables/pivotTable3.xml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7012D-0C6B-4950-A394-DA4769AE3680}">
  <sheetPr>
    <tabColor theme="5" tint="0.39997558519241921"/>
    <pageSetUpPr fitToPage="1"/>
  </sheetPr>
  <dimension ref="A1:X11"/>
  <sheetViews>
    <sheetView showGridLines="0" zoomScale="85" zoomScaleNormal="85" workbookViewId="0">
      <pane ySplit="2" topLeftCell="A3" activePane="bottomLeft" state="frozen"/>
      <selection pane="bottomLeft" activeCell="L6" sqref="L6"/>
    </sheetView>
  </sheetViews>
  <sheetFormatPr defaultRowHeight="15" x14ac:dyDescent="0.25"/>
  <cols>
    <col min="1" max="1" width="1.42578125" style="1" customWidth="1"/>
    <col min="2" max="2" width="57.5703125" style="48" customWidth="1"/>
    <col min="3" max="3" width="12.7109375" style="2" bestFit="1" customWidth="1"/>
    <col min="4" max="7" width="16.7109375" style="1" customWidth="1"/>
    <col min="8" max="9" width="17.85546875" style="1" hidden="1" customWidth="1"/>
    <col min="10" max="10" width="19.42578125" style="1" customWidth="1"/>
    <col min="11" max="11" width="17.85546875" style="1" customWidth="1"/>
    <col min="12" max="12" width="19.42578125" style="1" customWidth="1"/>
    <col min="13" max="13" width="17.85546875" style="1" customWidth="1"/>
    <col min="14" max="14" width="18.42578125" style="1" bestFit="1" customWidth="1"/>
    <col min="15" max="15" width="1.28515625" style="1" customWidth="1"/>
    <col min="16" max="16" width="19.85546875" style="1" bestFit="1" customWidth="1"/>
    <col min="17" max="18" width="19.28515625" style="1" bestFit="1" customWidth="1"/>
    <col min="19" max="19" width="1.42578125" style="1" customWidth="1"/>
    <col min="20" max="21" width="14.85546875" style="1" customWidth="1"/>
    <col min="22" max="22" width="16.42578125" style="1" bestFit="1" customWidth="1"/>
    <col min="23" max="23" width="1.28515625" style="1" customWidth="1"/>
    <col min="24" max="16384" width="9.140625" style="1"/>
  </cols>
  <sheetData>
    <row r="1" spans="1:24" ht="8.25" customHeight="1" thickBot="1" x14ac:dyDescent="0.3">
      <c r="A1" s="20"/>
      <c r="B1" s="22"/>
      <c r="C1" s="4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1"/>
      <c r="U1" s="21"/>
      <c r="V1" s="21"/>
      <c r="W1" s="20"/>
      <c r="X1" s="20"/>
    </row>
    <row r="2" spans="1:24" s="4" customFormat="1" ht="31.5" customHeight="1" thickBot="1" x14ac:dyDescent="0.3">
      <c r="B2" s="23" t="s">
        <v>18</v>
      </c>
      <c r="C2" s="24" t="s">
        <v>9</v>
      </c>
      <c r="D2" s="155" t="s">
        <v>24</v>
      </c>
      <c r="E2" s="156"/>
      <c r="F2" s="155" t="s">
        <v>25</v>
      </c>
      <c r="G2" s="156"/>
      <c r="H2" s="155" t="s">
        <v>11</v>
      </c>
      <c r="I2" s="156"/>
      <c r="J2" s="155" t="s">
        <v>12</v>
      </c>
      <c r="K2" s="156"/>
      <c r="L2" s="155" t="s">
        <v>27</v>
      </c>
      <c r="M2" s="156"/>
      <c r="N2" s="23" t="s">
        <v>13</v>
      </c>
      <c r="O2" s="25"/>
      <c r="P2" s="26" t="s">
        <v>26</v>
      </c>
      <c r="Q2" s="26" t="s">
        <v>19</v>
      </c>
      <c r="R2" s="26" t="s">
        <v>20</v>
      </c>
      <c r="S2" s="25"/>
      <c r="T2" s="27" t="s">
        <v>14</v>
      </c>
      <c r="U2" s="28" t="s">
        <v>22</v>
      </c>
      <c r="V2" s="29" t="s">
        <v>15</v>
      </c>
    </row>
    <row r="3" spans="1:24" ht="30" hidden="1" customHeight="1" thickBot="1" x14ac:dyDescent="0.3">
      <c r="A3" s="20"/>
      <c r="B3" s="157" t="s">
        <v>69</v>
      </c>
      <c r="C3" s="77" t="s">
        <v>16</v>
      </c>
      <c r="D3" s="78"/>
      <c r="E3" s="153">
        <f>SUM(D3:D4)</f>
        <v>137000</v>
      </c>
      <c r="F3" s="78"/>
      <c r="G3" s="153">
        <f>SUM(F3:F4)</f>
        <v>106065.4</v>
      </c>
      <c r="H3" s="78"/>
      <c r="I3" s="153">
        <f>SUM(H3:H4)</f>
        <v>0</v>
      </c>
      <c r="J3" s="78"/>
      <c r="K3" s="153">
        <f>SUM(J3:J4)</f>
        <v>42278.75</v>
      </c>
      <c r="L3" s="78"/>
      <c r="M3" s="153">
        <f>SUM(L3:L4)</f>
        <v>6581.25</v>
      </c>
      <c r="N3" s="31">
        <f>F3-(L3+H3)</f>
        <v>0</v>
      </c>
      <c r="O3" s="32"/>
      <c r="P3" s="30">
        <f>D3-F3</f>
        <v>0</v>
      </c>
      <c r="Q3" s="30">
        <f>F3-L3</f>
        <v>0</v>
      </c>
      <c r="R3" s="30">
        <f>D3-L3</f>
        <v>0</v>
      </c>
      <c r="S3" s="32"/>
      <c r="T3" s="33">
        <f>Resumo!C12</f>
        <v>97042.5</v>
      </c>
      <c r="U3" s="34">
        <f>Resumo!C11</f>
        <v>0</v>
      </c>
      <c r="V3" s="35">
        <f>D10-U3-T3</f>
        <v>39957.5</v>
      </c>
      <c r="W3" s="36"/>
      <c r="X3" s="20"/>
    </row>
    <row r="4" spans="1:24" ht="184.5" customHeight="1" thickBot="1" x14ac:dyDescent="0.3">
      <c r="A4" s="20"/>
      <c r="B4" s="158"/>
      <c r="C4" s="79" t="s">
        <v>17</v>
      </c>
      <c r="D4" s="80">
        <v>137000</v>
      </c>
      <c r="E4" s="154"/>
      <c r="F4" s="80">
        <v>106065.4</v>
      </c>
      <c r="G4" s="154"/>
      <c r="H4" s="80"/>
      <c r="I4" s="154"/>
      <c r="J4" s="80">
        <f>GETPIVOTDATA("Valor",'Mão de Obra'!$G$2)</f>
        <v>42278.75</v>
      </c>
      <c r="K4" s="154"/>
      <c r="L4" s="80">
        <f>'A Realizar'!C14</f>
        <v>6581.25</v>
      </c>
      <c r="M4" s="154"/>
      <c r="N4" s="31">
        <f>F4-(L4+J4)</f>
        <v>57205.399999999994</v>
      </c>
      <c r="O4" s="32"/>
      <c r="P4" s="37">
        <f>D4-F4</f>
        <v>30934.600000000006</v>
      </c>
      <c r="Q4" s="30">
        <f>F4-L4</f>
        <v>99484.15</v>
      </c>
      <c r="R4" s="30">
        <f t="shared" ref="R4:R9" si="0">D4-L4</f>
        <v>130418.75</v>
      </c>
      <c r="S4" s="32"/>
      <c r="T4" s="21"/>
      <c r="U4" s="21"/>
      <c r="V4" s="21"/>
      <c r="W4" s="36"/>
      <c r="X4" s="20"/>
    </row>
    <row r="5" spans="1:24" ht="22.5" customHeight="1" thickBot="1" x14ac:dyDescent="0.3">
      <c r="A5" s="20"/>
      <c r="B5" s="147" t="s">
        <v>99</v>
      </c>
      <c r="C5" s="148"/>
      <c r="D5" s="38"/>
      <c r="E5" s="39"/>
      <c r="F5" s="38"/>
      <c r="G5" s="39">
        <f>SUM(F5)</f>
        <v>0</v>
      </c>
      <c r="H5" s="38"/>
      <c r="I5" s="39">
        <f>SUM(H5)</f>
        <v>0</v>
      </c>
      <c r="J5" s="38"/>
      <c r="K5" s="39">
        <f>SUM(J5)</f>
        <v>0</v>
      </c>
      <c r="L5" s="38">
        <f>'A Realizar'!I21</f>
        <v>20000</v>
      </c>
      <c r="M5" s="39">
        <f>SUM(L5)</f>
        <v>20000</v>
      </c>
      <c r="N5" s="31">
        <f t="shared" ref="N5:N9" si="1">F5-(L5+J5)</f>
        <v>-20000</v>
      </c>
      <c r="O5" s="32"/>
      <c r="P5" s="30">
        <f t="shared" ref="P5:P9" si="2">D5-F5</f>
        <v>0</v>
      </c>
      <c r="Q5" s="30">
        <f t="shared" ref="Q5:Q9" si="3">F5-L5</f>
        <v>-20000</v>
      </c>
      <c r="R5" s="30">
        <f t="shared" si="0"/>
        <v>-20000</v>
      </c>
      <c r="S5" s="32"/>
      <c r="W5" s="20"/>
      <c r="X5" s="20"/>
    </row>
    <row r="6" spans="1:24" ht="22.5" customHeight="1" thickBot="1" x14ac:dyDescent="0.3">
      <c r="A6" s="20"/>
      <c r="B6" s="147"/>
      <c r="C6" s="148"/>
      <c r="D6" s="40"/>
      <c r="E6" s="39"/>
      <c r="F6" s="41"/>
      <c r="G6" s="42"/>
      <c r="H6" s="41"/>
      <c r="I6" s="42"/>
      <c r="J6" s="41"/>
      <c r="K6" s="39">
        <f t="shared" ref="K6:K9" si="4">SUM(J6)</f>
        <v>0</v>
      </c>
      <c r="L6" s="41"/>
      <c r="M6" s="39">
        <f t="shared" ref="M6:M9" si="5">SUM(L6)</f>
        <v>0</v>
      </c>
      <c r="N6" s="31">
        <f t="shared" si="1"/>
        <v>0</v>
      </c>
      <c r="O6" s="32"/>
      <c r="P6" s="37">
        <f t="shared" si="2"/>
        <v>0</v>
      </c>
      <c r="Q6" s="30">
        <f t="shared" si="3"/>
        <v>0</v>
      </c>
      <c r="R6" s="30">
        <f t="shared" si="0"/>
        <v>0</v>
      </c>
      <c r="S6" s="32"/>
      <c r="W6" s="20"/>
      <c r="X6" s="20"/>
    </row>
    <row r="7" spans="1:24" ht="22.5" customHeight="1" thickBot="1" x14ac:dyDescent="0.3">
      <c r="A7" s="20"/>
      <c r="B7" s="43" t="s">
        <v>100</v>
      </c>
      <c r="C7" s="44"/>
      <c r="D7" s="40"/>
      <c r="E7" s="39"/>
      <c r="F7" s="49"/>
      <c r="G7" s="39"/>
      <c r="H7" s="49"/>
      <c r="I7" s="39"/>
      <c r="J7" s="38">
        <f>GETPIVOTDATA("Valor",'Refeição + Transporte'!$G$2)</f>
        <v>32629.93</v>
      </c>
      <c r="K7" s="39">
        <f t="shared" si="4"/>
        <v>32629.93</v>
      </c>
      <c r="L7" s="38"/>
      <c r="M7" s="39">
        <f t="shared" si="5"/>
        <v>0</v>
      </c>
      <c r="N7" s="31">
        <f t="shared" si="1"/>
        <v>-32629.93</v>
      </c>
      <c r="O7" s="32"/>
      <c r="P7" s="37">
        <f t="shared" ref="P7" si="6">D7-F7</f>
        <v>0</v>
      </c>
      <c r="Q7" s="30">
        <f t="shared" ref="Q7" si="7">F7-L7</f>
        <v>0</v>
      </c>
      <c r="R7" s="30">
        <f t="shared" ref="R7" si="8">D7-L7</f>
        <v>0</v>
      </c>
      <c r="S7" s="32"/>
      <c r="W7" s="20"/>
      <c r="X7" s="20"/>
    </row>
    <row r="8" spans="1:24" ht="22.5" customHeight="1" thickBot="1" x14ac:dyDescent="0.3">
      <c r="A8" s="20"/>
      <c r="B8" s="43"/>
      <c r="C8" s="44"/>
      <c r="D8" s="40"/>
      <c r="E8" s="39"/>
      <c r="F8" s="40"/>
      <c r="G8" s="39"/>
      <c r="H8" s="40"/>
      <c r="I8" s="39"/>
      <c r="J8" s="40"/>
      <c r="K8" s="39">
        <f t="shared" si="4"/>
        <v>0</v>
      </c>
      <c r="L8" s="40"/>
      <c r="M8" s="39">
        <f t="shared" si="5"/>
        <v>0</v>
      </c>
      <c r="N8" s="31">
        <f t="shared" si="1"/>
        <v>0</v>
      </c>
      <c r="O8" s="32"/>
      <c r="P8" s="37">
        <f t="shared" ref="P8" si="9">D8-F8</f>
        <v>0</v>
      </c>
      <c r="Q8" s="30">
        <f t="shared" ref="Q8" si="10">F8-L8</f>
        <v>0</v>
      </c>
      <c r="R8" s="30">
        <f t="shared" ref="R8" si="11">D8-L8</f>
        <v>0</v>
      </c>
      <c r="S8" s="32"/>
      <c r="W8" s="20"/>
      <c r="X8" s="20"/>
    </row>
    <row r="9" spans="1:24" ht="22.5" customHeight="1" thickBot="1" x14ac:dyDescent="0.3">
      <c r="A9" s="20"/>
      <c r="B9" s="147" t="s">
        <v>101</v>
      </c>
      <c r="C9" s="148"/>
      <c r="D9" s="40"/>
      <c r="E9" s="39"/>
      <c r="F9" s="49"/>
      <c r="G9" s="39"/>
      <c r="H9" s="49"/>
      <c r="I9" s="39"/>
      <c r="J9" s="38">
        <f>GETPIVOTDATA("Valor",'Locação + Frete'!$G$2)</f>
        <v>17710.3</v>
      </c>
      <c r="K9" s="39">
        <f t="shared" si="4"/>
        <v>17710.3</v>
      </c>
      <c r="L9" s="38"/>
      <c r="M9" s="39">
        <f t="shared" si="5"/>
        <v>0</v>
      </c>
      <c r="N9" s="31">
        <f t="shared" si="1"/>
        <v>-17710.3</v>
      </c>
      <c r="O9" s="32"/>
      <c r="P9" s="30">
        <f t="shared" si="2"/>
        <v>0</v>
      </c>
      <c r="Q9" s="30">
        <f t="shared" si="3"/>
        <v>0</v>
      </c>
      <c r="R9" s="30">
        <f t="shared" si="0"/>
        <v>0</v>
      </c>
      <c r="S9" s="32"/>
      <c r="W9" s="20"/>
      <c r="X9" s="20"/>
    </row>
    <row r="10" spans="1:24" ht="19.5" thickBot="1" x14ac:dyDescent="0.3">
      <c r="A10" s="20"/>
      <c r="B10" s="151" t="s">
        <v>0</v>
      </c>
      <c r="C10" s="152"/>
      <c r="D10" s="149">
        <f>SUM(E3:E9)</f>
        <v>137000</v>
      </c>
      <c r="E10" s="150"/>
      <c r="F10" s="149">
        <f>SUM(G3:G9)</f>
        <v>106065.4</v>
      </c>
      <c r="G10" s="150"/>
      <c r="H10" s="149">
        <f>SUM(I3:I9)</f>
        <v>0</v>
      </c>
      <c r="I10" s="150"/>
      <c r="J10" s="149">
        <f>SUM(K3:K9)</f>
        <v>92618.98</v>
      </c>
      <c r="K10" s="150"/>
      <c r="L10" s="149">
        <f>SUM(M3:M9)</f>
        <v>26581.25</v>
      </c>
      <c r="M10" s="150"/>
      <c r="N10" s="45">
        <f>SUM(N3:N9)</f>
        <v>-13134.830000000005</v>
      </c>
      <c r="O10" s="46"/>
      <c r="P10" s="47">
        <f>SUM(P3:P9)</f>
        <v>30934.600000000006</v>
      </c>
      <c r="Q10" s="47">
        <f>SUM(Q3:Q9)</f>
        <v>79484.149999999994</v>
      </c>
      <c r="R10" s="47">
        <f>SUM(R3:R9)</f>
        <v>110418.75</v>
      </c>
      <c r="S10" s="46"/>
      <c r="W10" s="20"/>
      <c r="X10" s="20"/>
    </row>
    <row r="11" spans="1:24" x14ac:dyDescent="0.25">
      <c r="A11" s="20"/>
      <c r="B11" s="22"/>
      <c r="C11" s="4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W11" s="20"/>
      <c r="X11" s="20"/>
    </row>
  </sheetData>
  <mergeCells count="20">
    <mergeCell ref="F2:G2"/>
    <mergeCell ref="G3:G4"/>
    <mergeCell ref="D2:E2"/>
    <mergeCell ref="E3:E4"/>
    <mergeCell ref="B3:B4"/>
    <mergeCell ref="I3:I4"/>
    <mergeCell ref="K3:K4"/>
    <mergeCell ref="L2:M2"/>
    <mergeCell ref="H2:I2"/>
    <mergeCell ref="M3:M4"/>
    <mergeCell ref="J2:K2"/>
    <mergeCell ref="B5:C5"/>
    <mergeCell ref="H10:I10"/>
    <mergeCell ref="L10:M10"/>
    <mergeCell ref="F10:G10"/>
    <mergeCell ref="J10:K10"/>
    <mergeCell ref="B6:C6"/>
    <mergeCell ref="B9:C9"/>
    <mergeCell ref="B10:C10"/>
    <mergeCell ref="D10:E10"/>
  </mergeCells>
  <conditionalFormatting sqref="L5:L9 J3:J9">
    <cfRule type="expression" dxfId="39" priority="6">
      <formula>J3 &gt; $F3</formula>
    </cfRule>
  </conditionalFormatting>
  <conditionalFormatting sqref="L3:L4">
    <cfRule type="expression" dxfId="38" priority="19">
      <formula>L3 &gt; $F3</formula>
    </cfRule>
  </conditionalFormatting>
  <conditionalFormatting sqref="N3:N9">
    <cfRule type="cellIs" dxfId="37" priority="9" operator="greaterThan">
      <formula>0</formula>
    </cfRule>
    <cfRule type="cellIs" dxfId="36" priority="10" operator="lessThan">
      <formula>0</formula>
    </cfRule>
  </conditionalFormatting>
  <conditionalFormatting sqref="V4">
    <cfRule type="cellIs" dxfId="35" priority="20" operator="greaterThan">
      <formula>0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8" orientation="landscape" r:id="rId1"/>
  <colBreaks count="1" manualBreakCount="1">
    <brk id="13" max="1048575" man="1"/>
  </colBreaks>
  <ignoredErrors>
    <ignoredError sqref="G3:G4 E3:E4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9C4F2-C57E-4AD8-A900-59F7E61BCF6F}">
  <dimension ref="B2:J21"/>
  <sheetViews>
    <sheetView topLeftCell="A2" workbookViewId="0">
      <selection activeCell="G18" sqref="G18"/>
    </sheetView>
  </sheetViews>
  <sheetFormatPr defaultRowHeight="15" x14ac:dyDescent="0.25"/>
  <cols>
    <col min="1" max="1" width="4" style="102" customWidth="1"/>
    <col min="2" max="2" width="13.140625" style="102" customWidth="1"/>
    <col min="3" max="3" width="15.7109375" style="102" customWidth="1"/>
    <col min="4" max="4" width="19.42578125" style="102" bestFit="1" customWidth="1"/>
    <col min="5" max="5" width="14.140625" style="102" bestFit="1" customWidth="1"/>
    <col min="6" max="6" width="19.85546875" style="102" bestFit="1" customWidth="1"/>
    <col min="7" max="7" width="19.7109375" style="102" bestFit="1" customWidth="1"/>
    <col min="8" max="8" width="14.42578125" style="102" bestFit="1" customWidth="1"/>
    <col min="9" max="9" width="13.28515625" style="102" bestFit="1" customWidth="1"/>
    <col min="10" max="10" width="13.5703125" style="102" bestFit="1" customWidth="1"/>
    <col min="11" max="16384" width="9.140625" style="102"/>
  </cols>
  <sheetData>
    <row r="2" spans="2:10" ht="15.75" thickBot="1" x14ac:dyDescent="0.3"/>
    <row r="3" spans="2:10" x14ac:dyDescent="0.25">
      <c r="B3" s="168" t="s">
        <v>94</v>
      </c>
      <c r="C3" s="169"/>
      <c r="D3" s="169"/>
      <c r="E3" s="169"/>
      <c r="F3" s="169"/>
      <c r="G3" s="169"/>
      <c r="H3" s="169"/>
      <c r="I3" s="169"/>
      <c r="J3" s="170"/>
    </row>
    <row r="4" spans="2:10" s="104" customFormat="1" ht="15" customHeight="1" x14ac:dyDescent="0.25">
      <c r="B4" s="166" t="s">
        <v>74</v>
      </c>
      <c r="C4" s="135" t="s">
        <v>58</v>
      </c>
      <c r="D4" s="136" t="s">
        <v>59</v>
      </c>
      <c r="E4" s="136" t="s">
        <v>67</v>
      </c>
      <c r="F4" s="136" t="s">
        <v>68</v>
      </c>
      <c r="G4" s="135" t="s">
        <v>60</v>
      </c>
      <c r="H4" s="135" t="s">
        <v>61</v>
      </c>
      <c r="I4" s="135" t="s">
        <v>62</v>
      </c>
      <c r="J4" s="137" t="s">
        <v>63</v>
      </c>
    </row>
    <row r="5" spans="2:10" s="103" customFormat="1" x14ac:dyDescent="0.25">
      <c r="B5" s="166"/>
      <c r="C5" s="109" t="s">
        <v>64</v>
      </c>
      <c r="D5" s="110">
        <v>250</v>
      </c>
      <c r="E5" s="111">
        <f>340/7</f>
        <v>48.571428571428569</v>
      </c>
      <c r="F5" s="112">
        <v>30</v>
      </c>
      <c r="G5" s="113">
        <f>SUM(D5:F5)</f>
        <v>328.57142857142856</v>
      </c>
      <c r="H5" s="162">
        <f>SUM(G5:G9)</f>
        <v>1064.2857142857142</v>
      </c>
      <c r="I5" s="165">
        <v>0</v>
      </c>
      <c r="J5" s="159">
        <f>H5*I5</f>
        <v>0</v>
      </c>
    </row>
    <row r="6" spans="2:10" s="103" customFormat="1" x14ac:dyDescent="0.25">
      <c r="B6" s="166"/>
      <c r="C6" s="109" t="s">
        <v>65</v>
      </c>
      <c r="D6" s="110">
        <v>200</v>
      </c>
      <c r="E6" s="114">
        <f t="shared" ref="E6:E8" si="0">340/7</f>
        <v>48.571428571428569</v>
      </c>
      <c r="F6" s="115">
        <v>30</v>
      </c>
      <c r="G6" s="116">
        <f t="shared" ref="G6:G9" si="1">SUM(D6:F6)</f>
        <v>278.57142857142856</v>
      </c>
      <c r="H6" s="163"/>
      <c r="I6" s="163"/>
      <c r="J6" s="160"/>
    </row>
    <row r="7" spans="2:10" s="103" customFormat="1" x14ac:dyDescent="0.25">
      <c r="B7" s="166"/>
      <c r="C7" s="109" t="s">
        <v>91</v>
      </c>
      <c r="D7" s="110">
        <v>150</v>
      </c>
      <c r="E7" s="114">
        <f t="shared" si="0"/>
        <v>48.571428571428569</v>
      </c>
      <c r="F7" s="115">
        <v>30</v>
      </c>
      <c r="G7" s="101">
        <f t="shared" si="1"/>
        <v>228.57142857142856</v>
      </c>
      <c r="H7" s="163"/>
      <c r="I7" s="163"/>
      <c r="J7" s="160"/>
    </row>
    <row r="8" spans="2:10" s="103" customFormat="1" x14ac:dyDescent="0.25">
      <c r="B8" s="166"/>
      <c r="C8" s="109" t="s">
        <v>66</v>
      </c>
      <c r="D8" s="110">
        <v>150</v>
      </c>
      <c r="E8" s="114">
        <f t="shared" si="0"/>
        <v>48.571428571428569</v>
      </c>
      <c r="F8" s="115">
        <v>30</v>
      </c>
      <c r="G8" s="117">
        <f t="shared" si="1"/>
        <v>228.57142857142856</v>
      </c>
      <c r="H8" s="163"/>
      <c r="I8" s="163"/>
      <c r="J8" s="160"/>
    </row>
    <row r="9" spans="2:10" s="103" customFormat="1" ht="15.75" thickBot="1" x14ac:dyDescent="0.3">
      <c r="B9" s="167"/>
      <c r="C9" s="118"/>
      <c r="D9" s="119"/>
      <c r="E9" s="120"/>
      <c r="F9" s="121"/>
      <c r="G9" s="99">
        <f t="shared" si="1"/>
        <v>0</v>
      </c>
      <c r="H9" s="164"/>
      <c r="I9" s="164"/>
      <c r="J9" s="161"/>
    </row>
    <row r="10" spans="2:10" s="103" customFormat="1" x14ac:dyDescent="0.25">
      <c r="B10" s="106"/>
      <c r="C10" s="105"/>
      <c r="D10" s="97"/>
      <c r="E10" s="98"/>
      <c r="F10" s="100"/>
      <c r="G10" s="101"/>
      <c r="H10" s="107"/>
      <c r="I10" s="107"/>
    </row>
    <row r="11" spans="2:10" s="103" customFormat="1" ht="15.75" thickBot="1" x14ac:dyDescent="0.3">
      <c r="B11" s="106"/>
      <c r="C11" s="105"/>
      <c r="D11" s="97"/>
      <c r="E11" s="98"/>
      <c r="F11" s="100"/>
      <c r="G11" s="101"/>
      <c r="H11" s="107"/>
      <c r="I11" s="107"/>
    </row>
    <row r="12" spans="2:10" s="103" customFormat="1" ht="15.75" thickBot="1" x14ac:dyDescent="0.3">
      <c r="B12" s="123" t="s">
        <v>78</v>
      </c>
      <c r="C12" s="131">
        <v>260</v>
      </c>
      <c r="D12" s="132">
        <v>45</v>
      </c>
      <c r="E12" s="133">
        <f>(D12*C12)-5118.75</f>
        <v>6581.25</v>
      </c>
      <c r="F12" s="100"/>
      <c r="G12" s="101"/>
      <c r="H12" s="107"/>
      <c r="I12" s="107"/>
    </row>
    <row r="13" spans="2:10" ht="15.75" thickBot="1" x14ac:dyDescent="0.3">
      <c r="B13" s="128"/>
      <c r="C13" s="125"/>
      <c r="D13" s="126"/>
      <c r="E13" s="126"/>
      <c r="F13" s="175" t="s">
        <v>130</v>
      </c>
      <c r="G13" s="140">
        <f>180*0.6</f>
        <v>108</v>
      </c>
      <c r="H13" s="141">
        <v>35</v>
      </c>
      <c r="I13" s="142">
        <f>H13*G13</f>
        <v>3780</v>
      </c>
      <c r="J13" s="127"/>
    </row>
    <row r="14" spans="2:10" ht="15.75" customHeight="1" thickBot="1" x14ac:dyDescent="0.3">
      <c r="B14" s="123" t="s">
        <v>77</v>
      </c>
      <c r="C14" s="122">
        <f>J5+E12</f>
        <v>6581.25</v>
      </c>
      <c r="F14" s="176" t="s">
        <v>131</v>
      </c>
      <c r="G14" s="143">
        <v>273.10000000000002</v>
      </c>
      <c r="H14" s="134">
        <v>40</v>
      </c>
      <c r="I14" s="144">
        <f>H14*G14</f>
        <v>10924</v>
      </c>
    </row>
    <row r="15" spans="2:10" ht="15.75" thickBot="1" x14ac:dyDescent="0.3">
      <c r="G15" s="138"/>
      <c r="H15" s="108"/>
      <c r="I15" s="139">
        <f>I13+I14</f>
        <v>14704</v>
      </c>
    </row>
    <row r="17" spans="6:9" x14ac:dyDescent="0.25">
      <c r="F17" s="176" t="s">
        <v>133</v>
      </c>
      <c r="G17" s="180">
        <v>230</v>
      </c>
      <c r="H17" s="134">
        <v>35</v>
      </c>
      <c r="I17" s="181">
        <v>3500</v>
      </c>
    </row>
    <row r="19" spans="6:9" x14ac:dyDescent="0.25">
      <c r="I19" s="182">
        <f>I15+I17</f>
        <v>18204</v>
      </c>
    </row>
    <row r="21" spans="6:9" x14ac:dyDescent="0.25">
      <c r="I21" s="179">
        <v>20000</v>
      </c>
    </row>
  </sheetData>
  <mergeCells count="5">
    <mergeCell ref="J5:J9"/>
    <mergeCell ref="H5:H9"/>
    <mergeCell ref="I5:I9"/>
    <mergeCell ref="B4:B9"/>
    <mergeCell ref="B3:J3"/>
  </mergeCells>
  <conditionalFormatting sqref="C5:D12">
    <cfRule type="containsText" dxfId="34" priority="2" operator="containsText" text="Outros">
      <formula>NOT(ISERROR(SEARCH("Outros",C5)))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7" tint="0.39997558519241921"/>
  </sheetPr>
  <dimension ref="B1:L21"/>
  <sheetViews>
    <sheetView showGridLines="0" tabSelected="1" zoomScale="115" zoomScaleNormal="115" workbookViewId="0">
      <pane ySplit="3" topLeftCell="A10" activePane="bottomLeft" state="frozen"/>
      <selection pane="bottomLeft" activeCell="H20" sqref="H20"/>
    </sheetView>
  </sheetViews>
  <sheetFormatPr defaultColWidth="14.42578125" defaultRowHeight="15" customHeight="1" x14ac:dyDescent="0.25"/>
  <cols>
    <col min="1" max="1" width="7.85546875" style="20" customWidth="1"/>
    <col min="2" max="2" width="24.28515625" style="20" bestFit="1" customWidth="1"/>
    <col min="3" max="3" width="32.42578125" style="20" customWidth="1"/>
    <col min="4" max="4" width="0" style="72" hidden="1" customWidth="1"/>
    <col min="5" max="5" width="14.42578125" style="21"/>
    <col min="6" max="6" width="14.85546875" style="20" bestFit="1" customWidth="1"/>
    <col min="7" max="7" width="14.42578125" style="20"/>
    <col min="8" max="8" width="14.42578125" style="21"/>
    <col min="9" max="16384" width="14.42578125" style="20"/>
  </cols>
  <sheetData>
    <row r="1" spans="2:12" ht="6.75" customHeight="1" thickBot="1" x14ac:dyDescent="0.3"/>
    <row r="2" spans="2:12" ht="38.25" customHeight="1" x14ac:dyDescent="0.25">
      <c r="B2" s="171" t="s">
        <v>23</v>
      </c>
      <c r="C2" s="172"/>
      <c r="K2" s="173" t="s">
        <v>107</v>
      </c>
      <c r="L2" s="173"/>
    </row>
    <row r="3" spans="2:12" ht="15" customHeight="1" x14ac:dyDescent="0.25">
      <c r="B3" s="53" t="s">
        <v>9</v>
      </c>
      <c r="C3" s="54" t="s">
        <v>10</v>
      </c>
      <c r="G3" s="145" t="s">
        <v>102</v>
      </c>
      <c r="H3" s="146" t="s">
        <v>103</v>
      </c>
      <c r="I3" s="145" t="s">
        <v>104</v>
      </c>
      <c r="K3" s="4" t="s">
        <v>106</v>
      </c>
      <c r="L3" s="4" t="s">
        <v>105</v>
      </c>
    </row>
    <row r="4" spans="2:12" ht="15" customHeight="1" x14ac:dyDescent="0.25">
      <c r="B4" s="55" t="s">
        <v>28</v>
      </c>
      <c r="C4" s="56" cm="1">
        <f t="array" ref="C4:D4">'Gerenciamento Custo'!D10:E10</f>
        <v>137000</v>
      </c>
      <c r="D4" s="72">
        <v>0</v>
      </c>
      <c r="G4" s="8">
        <f>C12</f>
        <v>97042.5</v>
      </c>
      <c r="H4" s="18">
        <f>C6</f>
        <v>92618.98</v>
      </c>
      <c r="I4" s="8">
        <f>G4-H4</f>
        <v>4423.5200000000041</v>
      </c>
      <c r="K4" s="21">
        <v>37050</v>
      </c>
      <c r="L4" s="21"/>
    </row>
    <row r="5" spans="2:12" ht="15" customHeight="1" x14ac:dyDescent="0.25">
      <c r="B5" s="57" t="s">
        <v>29</v>
      </c>
      <c r="C5" s="58" cm="1">
        <f t="array" ref="C5:D5">'Gerenciamento Custo'!F10:G10</f>
        <v>106065.4</v>
      </c>
      <c r="D5" s="72">
        <v>0</v>
      </c>
    </row>
    <row r="6" spans="2:12" ht="15" customHeight="1" x14ac:dyDescent="0.25">
      <c r="B6" s="59" t="s">
        <v>30</v>
      </c>
      <c r="C6" s="60" cm="1">
        <f t="array" ref="C6:D6">'Gerenciamento Custo'!J10:K10</f>
        <v>92618.98</v>
      </c>
      <c r="D6" s="72">
        <v>0</v>
      </c>
    </row>
    <row r="7" spans="2:12" ht="15" customHeight="1" x14ac:dyDescent="0.25">
      <c r="B7" s="59" t="s">
        <v>31</v>
      </c>
      <c r="C7" s="60" cm="1">
        <f t="array" ref="C7:D7">'Gerenciamento Custo'!L10:M10</f>
        <v>26581.25</v>
      </c>
      <c r="D7" s="72">
        <v>0</v>
      </c>
    </row>
    <row r="8" spans="2:12" ht="15" customHeight="1" x14ac:dyDescent="0.25">
      <c r="B8" s="61" t="s">
        <v>32</v>
      </c>
      <c r="C8" s="62">
        <f>C6+C7</f>
        <v>119200.23</v>
      </c>
    </row>
    <row r="9" spans="2:12" ht="15" customHeight="1" x14ac:dyDescent="0.25">
      <c r="B9" s="63" t="s">
        <v>33</v>
      </c>
      <c r="C9" s="64">
        <f>C5-C8</f>
        <v>-13134.830000000002</v>
      </c>
      <c r="F9" s="36"/>
    </row>
    <row r="10" spans="2:12" ht="15" customHeight="1" x14ac:dyDescent="0.25">
      <c r="B10" s="65"/>
      <c r="C10" s="65"/>
    </row>
    <row r="11" spans="2:12" ht="15" customHeight="1" x14ac:dyDescent="0.25">
      <c r="B11" s="66" t="s">
        <v>21</v>
      </c>
      <c r="C11" s="67">
        <v>0</v>
      </c>
    </row>
    <row r="12" spans="2:12" ht="15" customHeight="1" x14ac:dyDescent="0.25">
      <c r="B12" s="68" t="s">
        <v>34</v>
      </c>
      <c r="C12" s="69">
        <f>3000+8000+23000+33750+9200+20092.5</f>
        <v>97042.5</v>
      </c>
    </row>
    <row r="13" spans="2:12" ht="15" customHeight="1" x14ac:dyDescent="0.25">
      <c r="B13" s="70" t="s">
        <v>35</v>
      </c>
      <c r="C13" s="71">
        <f>C4-C12</f>
        <v>39957.5</v>
      </c>
      <c r="D13" s="75"/>
    </row>
    <row r="15" spans="2:12" ht="15" customHeight="1" x14ac:dyDescent="0.25">
      <c r="B15" s="177" t="s">
        <v>37</v>
      </c>
      <c r="C15" s="177"/>
    </row>
    <row r="16" spans="2:12" ht="15" customHeight="1" x14ac:dyDescent="0.25">
      <c r="B16" s="84" t="s">
        <v>38</v>
      </c>
      <c r="C16" s="85">
        <f>C4-C5-C17</f>
        <v>30934.600000000006</v>
      </c>
      <c r="E16" s="124">
        <f>C16/C4</f>
        <v>0.22580000000000006</v>
      </c>
      <c r="F16" s="36">
        <f>C16/3</f>
        <v>10311.533333333335</v>
      </c>
    </row>
    <row r="17" spans="2:6" ht="15" customHeight="1" x14ac:dyDescent="0.25">
      <c r="B17" s="84" t="s">
        <v>39</v>
      </c>
      <c r="C17" s="85"/>
      <c r="E17" s="124">
        <f>C17/C4</f>
        <v>0</v>
      </c>
      <c r="F17" s="36">
        <f>C17/3</f>
        <v>0</v>
      </c>
    </row>
    <row r="19" spans="2:6" ht="15" customHeight="1" x14ac:dyDescent="0.25">
      <c r="B19" s="178" t="s">
        <v>132</v>
      </c>
      <c r="C19" s="178"/>
    </row>
    <row r="20" spans="2:6" ht="15" customHeight="1" x14ac:dyDescent="0.25">
      <c r="B20" s="84" t="s">
        <v>38</v>
      </c>
      <c r="C20" s="85">
        <f>C4-C8-C21</f>
        <v>17799.770000000004</v>
      </c>
      <c r="E20" s="124">
        <f>C20/C8</f>
        <v>0.14932664139993693</v>
      </c>
      <c r="F20" s="36">
        <f>C20/3</f>
        <v>5933.256666666668</v>
      </c>
    </row>
    <row r="21" spans="2:6" ht="15" customHeight="1" x14ac:dyDescent="0.25">
      <c r="B21" s="84" t="s">
        <v>39</v>
      </c>
      <c r="C21" s="85"/>
      <c r="E21" s="124">
        <f>C21/C8</f>
        <v>0</v>
      </c>
      <c r="F21" s="36">
        <f>C21/3</f>
        <v>0</v>
      </c>
    </row>
  </sheetData>
  <mergeCells count="4">
    <mergeCell ref="B2:C2"/>
    <mergeCell ref="B15:C15"/>
    <mergeCell ref="K2:L2"/>
    <mergeCell ref="B19:C19"/>
  </mergeCells>
  <phoneticPr fontId="4" type="noConversion"/>
  <conditionalFormatting sqref="C9">
    <cfRule type="cellIs" dxfId="32" priority="1" operator="lessThan">
      <formula>0</formula>
    </cfRule>
  </conditionalFormatting>
  <pageMargins left="0.511811024" right="0.511811024" top="0.78740157499999996" bottom="0.78740157499999996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B2:K180"/>
  <sheetViews>
    <sheetView showGridLines="0" workbookViewId="0">
      <pane ySplit="2" topLeftCell="A3" activePane="bottomLeft" state="frozen"/>
      <selection pane="bottomLeft" activeCell="C17" sqref="C17"/>
    </sheetView>
  </sheetViews>
  <sheetFormatPr defaultRowHeight="15" x14ac:dyDescent="0.25"/>
  <cols>
    <col min="1" max="1" width="2.7109375" style="1" customWidth="1"/>
    <col min="2" max="2" width="28.140625" style="1" bestFit="1" customWidth="1"/>
    <col min="3" max="3" width="35.7109375" style="4" customWidth="1"/>
    <col min="4" max="4" width="12" style="4" customWidth="1"/>
    <col min="5" max="5" width="13.28515625" style="4" bestFit="1" customWidth="1"/>
    <col min="6" max="6" width="2.140625" style="1" customWidth="1"/>
    <col min="7" max="7" width="18.28515625" style="1" bestFit="1" customWidth="1"/>
    <col min="8" max="8" width="14.140625" style="1" bestFit="1" customWidth="1"/>
    <col min="9" max="9" width="7" style="1" customWidth="1"/>
    <col min="10" max="10" width="9.140625" style="1"/>
    <col min="11" max="11" width="12.28515625" style="1" customWidth="1"/>
    <col min="12" max="16384" width="9.140625" style="1"/>
  </cols>
  <sheetData>
    <row r="2" spans="2:11" x14ac:dyDescent="0.25">
      <c r="B2" s="4" t="s">
        <v>1</v>
      </c>
      <c r="C2" s="4" t="s">
        <v>2</v>
      </c>
      <c r="D2" s="4" t="s">
        <v>3</v>
      </c>
      <c r="E2" s="4" t="s">
        <v>4</v>
      </c>
      <c r="G2" s="5" t="s">
        <v>5</v>
      </c>
      <c r="H2" s="1" t="s">
        <v>7</v>
      </c>
    </row>
    <row r="3" spans="2:11" x14ac:dyDescent="0.25">
      <c r="B3" s="12" t="s">
        <v>56</v>
      </c>
      <c r="C3" s="92" t="s">
        <v>51</v>
      </c>
      <c r="D3" s="7">
        <v>46118</v>
      </c>
      <c r="E3" s="13">
        <v>1250</v>
      </c>
      <c r="G3" s="9" t="s">
        <v>8</v>
      </c>
      <c r="H3" s="10"/>
    </row>
    <row r="4" spans="2:11" x14ac:dyDescent="0.25">
      <c r="B4" s="12" t="s">
        <v>56</v>
      </c>
      <c r="C4" s="92" t="s">
        <v>52</v>
      </c>
      <c r="D4" s="7">
        <v>46118</v>
      </c>
      <c r="E4" s="13">
        <v>1000</v>
      </c>
      <c r="G4" s="9" t="s">
        <v>129</v>
      </c>
      <c r="H4" s="10">
        <v>18738.75</v>
      </c>
    </row>
    <row r="5" spans="2:11" x14ac:dyDescent="0.25">
      <c r="B5" s="12" t="s">
        <v>56</v>
      </c>
      <c r="C5" s="92" t="s">
        <v>53</v>
      </c>
      <c r="D5" s="7">
        <v>46118</v>
      </c>
      <c r="E5" s="13">
        <v>750</v>
      </c>
      <c r="G5" s="9" t="s">
        <v>56</v>
      </c>
      <c r="H5" s="10">
        <v>23540</v>
      </c>
    </row>
    <row r="6" spans="2:11" x14ac:dyDescent="0.25">
      <c r="B6" s="12" t="s">
        <v>56</v>
      </c>
      <c r="C6" s="92" t="s">
        <v>54</v>
      </c>
      <c r="D6" s="7">
        <v>46118</v>
      </c>
      <c r="E6" s="13">
        <v>750</v>
      </c>
      <c r="G6" s="9" t="s">
        <v>6</v>
      </c>
      <c r="H6" s="10">
        <v>42278.75</v>
      </c>
    </row>
    <row r="7" spans="2:11" x14ac:dyDescent="0.25">
      <c r="B7" s="12" t="s">
        <v>56</v>
      </c>
      <c r="C7" s="92" t="s">
        <v>51</v>
      </c>
      <c r="D7" s="7">
        <v>46119</v>
      </c>
      <c r="E7" s="13">
        <v>250</v>
      </c>
      <c r="G7"/>
      <c r="H7"/>
      <c r="J7" s="174"/>
      <c r="K7" s="174"/>
    </row>
    <row r="8" spans="2:11" x14ac:dyDescent="0.25">
      <c r="B8" s="12" t="s">
        <v>56</v>
      </c>
      <c r="C8" s="92" t="s">
        <v>52</v>
      </c>
      <c r="D8" s="7">
        <v>46119</v>
      </c>
      <c r="E8" s="91">
        <v>200</v>
      </c>
      <c r="G8"/>
      <c r="H8"/>
      <c r="J8" s="174"/>
      <c r="K8" s="174"/>
    </row>
    <row r="9" spans="2:11" x14ac:dyDescent="0.25">
      <c r="B9" s="12" t="s">
        <v>56</v>
      </c>
      <c r="C9" s="92" t="s">
        <v>53</v>
      </c>
      <c r="D9" s="7">
        <v>46119</v>
      </c>
      <c r="E9" s="91">
        <v>150</v>
      </c>
      <c r="G9"/>
      <c r="H9"/>
    </row>
    <row r="10" spans="2:11" x14ac:dyDescent="0.25">
      <c r="B10" s="12" t="s">
        <v>56</v>
      </c>
      <c r="C10" s="92" t="s">
        <v>54</v>
      </c>
      <c r="D10" s="7">
        <v>46119</v>
      </c>
      <c r="E10" s="91">
        <v>150</v>
      </c>
      <c r="G10"/>
      <c r="H10"/>
    </row>
    <row r="11" spans="2:11" x14ac:dyDescent="0.25">
      <c r="B11" s="12" t="s">
        <v>56</v>
      </c>
      <c r="C11" s="92" t="s">
        <v>51</v>
      </c>
      <c r="D11" s="90">
        <v>46120</v>
      </c>
      <c r="E11" s="13">
        <v>250</v>
      </c>
      <c r="F11" s="10"/>
      <c r="G11"/>
      <c r="H11"/>
    </row>
    <row r="12" spans="2:11" x14ac:dyDescent="0.25">
      <c r="B12" s="12" t="s">
        <v>56</v>
      </c>
      <c r="C12" s="92" t="s">
        <v>52</v>
      </c>
      <c r="D12" s="90">
        <v>46120</v>
      </c>
      <c r="E12" s="91">
        <v>200</v>
      </c>
    </row>
    <row r="13" spans="2:11" x14ac:dyDescent="0.25">
      <c r="B13" s="12" t="s">
        <v>56</v>
      </c>
      <c r="C13" s="92" t="s">
        <v>53</v>
      </c>
      <c r="D13" s="90">
        <v>46120</v>
      </c>
      <c r="E13" s="91">
        <v>150</v>
      </c>
    </row>
    <row r="14" spans="2:11" x14ac:dyDescent="0.25">
      <c r="B14" s="12" t="s">
        <v>56</v>
      </c>
      <c r="C14" s="92" t="s">
        <v>54</v>
      </c>
      <c r="D14" s="90">
        <v>46120</v>
      </c>
      <c r="E14" s="91">
        <v>150</v>
      </c>
    </row>
    <row r="15" spans="2:11" x14ac:dyDescent="0.25">
      <c r="B15" s="12" t="s">
        <v>56</v>
      </c>
      <c r="C15" s="92" t="s">
        <v>51</v>
      </c>
      <c r="D15" s="90">
        <v>46121</v>
      </c>
      <c r="E15" s="13">
        <v>250</v>
      </c>
    </row>
    <row r="16" spans="2:11" x14ac:dyDescent="0.25">
      <c r="B16" s="12" t="s">
        <v>56</v>
      </c>
      <c r="C16" s="92" t="s">
        <v>52</v>
      </c>
      <c r="D16" s="90">
        <v>46121</v>
      </c>
      <c r="E16" s="91">
        <v>200</v>
      </c>
    </row>
    <row r="17" spans="2:5" x14ac:dyDescent="0.25">
      <c r="B17" s="12" t="s">
        <v>56</v>
      </c>
      <c r="C17" s="92" t="s">
        <v>53</v>
      </c>
      <c r="D17" s="90">
        <v>46121</v>
      </c>
      <c r="E17" s="91">
        <v>150</v>
      </c>
    </row>
    <row r="18" spans="2:5" x14ac:dyDescent="0.25">
      <c r="B18" s="12" t="s">
        <v>56</v>
      </c>
      <c r="C18" s="92" t="s">
        <v>54</v>
      </c>
      <c r="D18" s="90">
        <v>46121</v>
      </c>
      <c r="E18" s="91">
        <v>150</v>
      </c>
    </row>
    <row r="19" spans="2:5" x14ac:dyDescent="0.25">
      <c r="B19" s="12" t="s">
        <v>56</v>
      </c>
      <c r="C19" s="96" t="s">
        <v>79</v>
      </c>
      <c r="D19" s="90" t="s">
        <v>80</v>
      </c>
      <c r="E19" s="91">
        <v>2250</v>
      </c>
    </row>
    <row r="20" spans="2:5" x14ac:dyDescent="0.25">
      <c r="B20" s="12" t="s">
        <v>56</v>
      </c>
      <c r="C20" s="96" t="s">
        <v>81</v>
      </c>
      <c r="D20" s="90" t="s">
        <v>80</v>
      </c>
      <c r="E20" s="91">
        <v>4200</v>
      </c>
    </row>
    <row r="21" spans="2:5" x14ac:dyDescent="0.25">
      <c r="B21" s="12" t="s">
        <v>56</v>
      </c>
      <c r="C21" s="96" t="s">
        <v>83</v>
      </c>
      <c r="D21" s="90" t="s">
        <v>80</v>
      </c>
      <c r="E21" s="91">
        <v>5250</v>
      </c>
    </row>
    <row r="22" spans="2:5" x14ac:dyDescent="0.25">
      <c r="B22" s="12" t="s">
        <v>56</v>
      </c>
      <c r="C22" s="96" t="s">
        <v>82</v>
      </c>
      <c r="D22" s="90" t="s">
        <v>80</v>
      </c>
      <c r="E22" s="91">
        <v>3150</v>
      </c>
    </row>
    <row r="23" spans="2:5" x14ac:dyDescent="0.25">
      <c r="B23" s="12" t="s">
        <v>56</v>
      </c>
      <c r="C23" s="96" t="s">
        <v>84</v>
      </c>
      <c r="D23" s="90" t="s">
        <v>80</v>
      </c>
      <c r="E23" s="91">
        <v>1940</v>
      </c>
    </row>
    <row r="24" spans="2:5" x14ac:dyDescent="0.25">
      <c r="B24" s="12" t="s">
        <v>56</v>
      </c>
      <c r="C24" s="96" t="s">
        <v>92</v>
      </c>
      <c r="D24" s="90" t="s">
        <v>80</v>
      </c>
      <c r="E24" s="91">
        <v>750</v>
      </c>
    </row>
    <row r="25" spans="2:5" x14ac:dyDescent="0.25">
      <c r="B25" s="89" t="s">
        <v>129</v>
      </c>
      <c r="C25" s="96" t="s">
        <v>113</v>
      </c>
      <c r="D25" s="90">
        <v>46171</v>
      </c>
      <c r="E25" s="91">
        <v>6348.75</v>
      </c>
    </row>
    <row r="26" spans="2:5" x14ac:dyDescent="0.25">
      <c r="B26" s="89" t="s">
        <v>129</v>
      </c>
      <c r="C26" s="96" t="s">
        <v>118</v>
      </c>
      <c r="D26" s="90">
        <v>46162</v>
      </c>
      <c r="E26" s="91">
        <v>780</v>
      </c>
    </row>
    <row r="27" spans="2:5" x14ac:dyDescent="0.25">
      <c r="B27" s="89" t="s">
        <v>129</v>
      </c>
      <c r="C27" s="96" t="s">
        <v>119</v>
      </c>
      <c r="D27" s="90">
        <v>46162</v>
      </c>
      <c r="E27" s="91">
        <v>260</v>
      </c>
    </row>
    <row r="28" spans="2:5" x14ac:dyDescent="0.25">
      <c r="B28" s="89" t="s">
        <v>129</v>
      </c>
      <c r="C28" s="96" t="s">
        <v>125</v>
      </c>
      <c r="D28" s="90">
        <v>46178</v>
      </c>
      <c r="E28" s="91">
        <v>3400</v>
      </c>
    </row>
    <row r="29" spans="2:5" x14ac:dyDescent="0.25">
      <c r="B29" s="89" t="s">
        <v>129</v>
      </c>
      <c r="C29" s="96" t="s">
        <v>126</v>
      </c>
      <c r="D29" s="90">
        <v>46178</v>
      </c>
      <c r="E29" s="91">
        <v>1650</v>
      </c>
    </row>
    <row r="30" spans="2:5" x14ac:dyDescent="0.25">
      <c r="B30" s="89" t="s">
        <v>129</v>
      </c>
      <c r="C30" s="96" t="s">
        <v>127</v>
      </c>
      <c r="D30" s="90">
        <v>46178</v>
      </c>
      <c r="E30" s="91">
        <v>4500</v>
      </c>
    </row>
    <row r="31" spans="2:5" x14ac:dyDescent="0.25">
      <c r="B31" s="89" t="s">
        <v>129</v>
      </c>
      <c r="C31" s="96" t="s">
        <v>128</v>
      </c>
      <c r="D31" s="90">
        <v>46178</v>
      </c>
      <c r="E31" s="91">
        <v>1800</v>
      </c>
    </row>
    <row r="32" spans="2:5" x14ac:dyDescent="0.25">
      <c r="B32" s="89"/>
      <c r="C32" s="96"/>
      <c r="D32" s="90"/>
      <c r="E32" s="91"/>
    </row>
    <row r="33" spans="2:5" x14ac:dyDescent="0.25">
      <c r="B33" s="89"/>
      <c r="C33" s="96"/>
      <c r="D33" s="90"/>
      <c r="E33" s="91"/>
    </row>
    <row r="34" spans="2:5" x14ac:dyDescent="0.25">
      <c r="B34" s="89"/>
      <c r="C34" s="96"/>
      <c r="D34" s="90"/>
      <c r="E34" s="91"/>
    </row>
    <row r="35" spans="2:5" x14ac:dyDescent="0.25">
      <c r="B35" s="12"/>
      <c r="C35" s="6"/>
      <c r="D35" s="7"/>
      <c r="E35" s="13"/>
    </row>
    <row r="36" spans="2:5" x14ac:dyDescent="0.25">
      <c r="B36" s="12"/>
      <c r="C36" s="6"/>
      <c r="D36" s="7"/>
      <c r="E36" s="13"/>
    </row>
    <row r="37" spans="2:5" x14ac:dyDescent="0.25">
      <c r="B37" s="12"/>
      <c r="C37" s="6"/>
      <c r="D37" s="7"/>
      <c r="E37" s="13"/>
    </row>
    <row r="38" spans="2:5" x14ac:dyDescent="0.25">
      <c r="B38" s="12"/>
      <c r="C38" s="6"/>
      <c r="D38" s="7"/>
      <c r="E38" s="13"/>
    </row>
    <row r="39" spans="2:5" x14ac:dyDescent="0.25">
      <c r="B39" s="12"/>
      <c r="C39" s="6"/>
      <c r="D39" s="7"/>
      <c r="E39" s="13"/>
    </row>
    <row r="40" spans="2:5" x14ac:dyDescent="0.25">
      <c r="B40" s="12"/>
      <c r="C40" s="6"/>
      <c r="D40" s="7"/>
      <c r="E40" s="13"/>
    </row>
    <row r="41" spans="2:5" x14ac:dyDescent="0.25">
      <c r="B41" s="12"/>
      <c r="C41" s="6"/>
      <c r="D41" s="7"/>
      <c r="E41" s="13"/>
    </row>
    <row r="42" spans="2:5" x14ac:dyDescent="0.25">
      <c r="B42" s="12"/>
      <c r="C42" s="6"/>
      <c r="D42" s="7"/>
      <c r="E42" s="13"/>
    </row>
    <row r="43" spans="2:5" x14ac:dyDescent="0.25">
      <c r="B43" s="12"/>
      <c r="C43" s="6"/>
      <c r="D43" s="7"/>
      <c r="E43" s="13"/>
    </row>
    <row r="44" spans="2:5" x14ac:dyDescent="0.25">
      <c r="B44" s="12"/>
      <c r="C44" s="6"/>
      <c r="D44" s="7"/>
      <c r="E44" s="13"/>
    </row>
    <row r="45" spans="2:5" x14ac:dyDescent="0.25">
      <c r="B45" s="12"/>
      <c r="C45" s="6"/>
      <c r="D45" s="7"/>
      <c r="E45" s="13"/>
    </row>
    <row r="46" spans="2:5" x14ac:dyDescent="0.25">
      <c r="B46" s="12"/>
      <c r="C46" s="6"/>
      <c r="D46" s="7"/>
      <c r="E46" s="13"/>
    </row>
    <row r="47" spans="2:5" x14ac:dyDescent="0.25">
      <c r="B47" s="12"/>
      <c r="C47" s="6"/>
      <c r="D47" s="7"/>
      <c r="E47" s="13"/>
    </row>
    <row r="48" spans="2:5" x14ac:dyDescent="0.25">
      <c r="B48" s="12"/>
      <c r="C48" s="6"/>
      <c r="D48" s="7"/>
      <c r="E48" s="13"/>
    </row>
    <row r="49" spans="2:5" x14ac:dyDescent="0.25">
      <c r="B49" s="12"/>
      <c r="C49" s="6"/>
      <c r="D49" s="7"/>
      <c r="E49" s="13"/>
    </row>
    <row r="50" spans="2:5" x14ac:dyDescent="0.25">
      <c r="B50" s="12"/>
      <c r="C50" s="6"/>
      <c r="D50" s="7"/>
      <c r="E50" s="13"/>
    </row>
    <row r="51" spans="2:5" x14ac:dyDescent="0.25">
      <c r="B51" s="12"/>
      <c r="C51" s="6"/>
      <c r="D51" s="7"/>
      <c r="E51" s="13"/>
    </row>
    <row r="52" spans="2:5" x14ac:dyDescent="0.25">
      <c r="B52" s="12"/>
      <c r="C52" s="6"/>
      <c r="D52" s="7"/>
      <c r="E52" s="13"/>
    </row>
    <row r="53" spans="2:5" x14ac:dyDescent="0.25">
      <c r="B53" s="12"/>
      <c r="C53" s="6"/>
      <c r="D53" s="7"/>
      <c r="E53" s="13"/>
    </row>
    <row r="54" spans="2:5" x14ac:dyDescent="0.25">
      <c r="B54" s="12"/>
      <c r="C54" s="6"/>
      <c r="D54" s="7"/>
      <c r="E54" s="13"/>
    </row>
    <row r="55" spans="2:5" x14ac:dyDescent="0.25">
      <c r="B55" s="12"/>
      <c r="C55" s="6"/>
      <c r="D55" s="7"/>
      <c r="E55" s="13"/>
    </row>
    <row r="56" spans="2:5" x14ac:dyDescent="0.25">
      <c r="B56" s="14"/>
      <c r="C56" s="6"/>
      <c r="D56" s="7"/>
      <c r="E56" s="13"/>
    </row>
    <row r="57" spans="2:5" x14ac:dyDescent="0.25">
      <c r="B57" s="12"/>
      <c r="C57" s="6"/>
      <c r="D57" s="7"/>
      <c r="E57" s="13"/>
    </row>
    <row r="58" spans="2:5" x14ac:dyDescent="0.25">
      <c r="B58" s="12"/>
      <c r="C58" s="6"/>
      <c r="D58" s="7"/>
      <c r="E58" s="13"/>
    </row>
    <row r="59" spans="2:5" x14ac:dyDescent="0.25">
      <c r="B59" s="12"/>
      <c r="C59" s="6"/>
      <c r="D59" s="7"/>
      <c r="E59" s="13"/>
    </row>
    <row r="60" spans="2:5" x14ac:dyDescent="0.25">
      <c r="B60" s="12"/>
      <c r="C60" s="6"/>
      <c r="D60" s="7"/>
      <c r="E60" s="13"/>
    </row>
    <row r="61" spans="2:5" x14ac:dyDescent="0.25">
      <c r="B61" s="14"/>
      <c r="C61" s="6"/>
      <c r="D61" s="7"/>
      <c r="E61" s="13"/>
    </row>
    <row r="62" spans="2:5" x14ac:dyDescent="0.25">
      <c r="B62" s="12"/>
      <c r="C62" s="6"/>
      <c r="D62" s="7"/>
      <c r="E62" s="13"/>
    </row>
    <row r="63" spans="2:5" x14ac:dyDescent="0.25">
      <c r="B63" s="12"/>
      <c r="C63" s="6"/>
      <c r="D63" s="7"/>
      <c r="E63" s="13"/>
    </row>
    <row r="64" spans="2:5" x14ac:dyDescent="0.25">
      <c r="B64" s="12"/>
      <c r="C64" s="6"/>
      <c r="D64" s="7"/>
      <c r="E64" s="13"/>
    </row>
    <row r="65" spans="2:5" x14ac:dyDescent="0.25">
      <c r="B65" s="12"/>
      <c r="C65" s="6"/>
      <c r="D65" s="7"/>
      <c r="E65" s="13"/>
    </row>
    <row r="66" spans="2:5" x14ac:dyDescent="0.25">
      <c r="B66" s="12"/>
      <c r="C66" s="6"/>
      <c r="D66" s="7"/>
      <c r="E66" s="13"/>
    </row>
    <row r="67" spans="2:5" x14ac:dyDescent="0.25">
      <c r="B67" s="14"/>
      <c r="C67" s="6"/>
      <c r="D67" s="7"/>
      <c r="E67" s="13"/>
    </row>
    <row r="68" spans="2:5" x14ac:dyDescent="0.25">
      <c r="B68" s="12"/>
      <c r="C68" s="6"/>
      <c r="D68" s="7"/>
      <c r="E68" s="13"/>
    </row>
    <row r="69" spans="2:5" x14ac:dyDescent="0.25">
      <c r="B69" s="12"/>
      <c r="C69" s="6"/>
      <c r="D69" s="7"/>
      <c r="E69" s="13"/>
    </row>
    <row r="70" spans="2:5" x14ac:dyDescent="0.25">
      <c r="B70" s="12"/>
      <c r="C70" s="6"/>
      <c r="D70" s="7"/>
      <c r="E70" s="13"/>
    </row>
    <row r="71" spans="2:5" x14ac:dyDescent="0.25">
      <c r="B71" s="12"/>
      <c r="C71" s="6"/>
      <c r="D71" s="7"/>
      <c r="E71" s="13"/>
    </row>
    <row r="72" spans="2:5" x14ac:dyDescent="0.25">
      <c r="B72" s="14"/>
      <c r="C72" s="6"/>
      <c r="D72" s="7"/>
      <c r="E72" s="13"/>
    </row>
    <row r="73" spans="2:5" x14ac:dyDescent="0.25">
      <c r="B73" s="12"/>
      <c r="C73" s="6"/>
      <c r="D73" s="7"/>
      <c r="E73" s="13"/>
    </row>
    <row r="74" spans="2:5" x14ac:dyDescent="0.25">
      <c r="B74" s="12"/>
      <c r="C74" s="6"/>
      <c r="D74" s="7"/>
      <c r="E74" s="13"/>
    </row>
    <row r="75" spans="2:5" x14ac:dyDescent="0.25">
      <c r="B75" s="14"/>
      <c r="C75" s="6"/>
      <c r="D75" s="7"/>
      <c r="E75" s="13"/>
    </row>
    <row r="76" spans="2:5" x14ac:dyDescent="0.25">
      <c r="B76" s="12"/>
      <c r="C76" s="6"/>
      <c r="D76" s="7"/>
      <c r="E76" s="13"/>
    </row>
    <row r="77" spans="2:5" x14ac:dyDescent="0.25">
      <c r="B77" s="12"/>
      <c r="C77" s="6"/>
      <c r="D77" s="7"/>
      <c r="E77" s="13"/>
    </row>
    <row r="78" spans="2:5" x14ac:dyDescent="0.25">
      <c r="B78" s="14"/>
      <c r="C78" s="6"/>
      <c r="D78" s="7"/>
      <c r="E78" s="13"/>
    </row>
    <row r="79" spans="2:5" x14ac:dyDescent="0.25">
      <c r="B79" s="12"/>
      <c r="C79" s="6"/>
      <c r="D79" s="7"/>
      <c r="E79" s="13"/>
    </row>
    <row r="80" spans="2:5" x14ac:dyDescent="0.25">
      <c r="B80" s="12"/>
      <c r="C80" s="6"/>
      <c r="D80" s="7"/>
      <c r="E80" s="13"/>
    </row>
    <row r="81" spans="2:5" x14ac:dyDescent="0.25">
      <c r="B81" s="12"/>
      <c r="C81" s="6"/>
      <c r="D81" s="7"/>
      <c r="E81" s="13"/>
    </row>
    <row r="82" spans="2:5" x14ac:dyDescent="0.25">
      <c r="B82" s="12"/>
      <c r="C82" s="6"/>
      <c r="D82" s="7"/>
      <c r="E82" s="13"/>
    </row>
    <row r="83" spans="2:5" x14ac:dyDescent="0.25">
      <c r="B83" s="12"/>
      <c r="C83" s="6"/>
      <c r="D83" s="7"/>
      <c r="E83" s="13"/>
    </row>
    <row r="84" spans="2:5" x14ac:dyDescent="0.25">
      <c r="B84" s="14"/>
      <c r="C84" s="6"/>
      <c r="D84" s="7"/>
      <c r="E84" s="13"/>
    </row>
    <row r="85" spans="2:5" x14ac:dyDescent="0.25">
      <c r="B85" s="12"/>
      <c r="C85" s="6"/>
      <c r="D85" s="7"/>
      <c r="E85" s="13"/>
    </row>
    <row r="86" spans="2:5" x14ac:dyDescent="0.25">
      <c r="B86" s="12"/>
      <c r="C86" s="6"/>
      <c r="D86" s="7"/>
      <c r="E86" s="13"/>
    </row>
    <row r="87" spans="2:5" x14ac:dyDescent="0.25">
      <c r="B87" s="12"/>
      <c r="C87" s="6"/>
      <c r="D87" s="7"/>
      <c r="E87" s="13"/>
    </row>
    <row r="88" spans="2:5" x14ac:dyDescent="0.25">
      <c r="B88" s="12"/>
      <c r="C88" s="6"/>
      <c r="D88" s="7"/>
      <c r="E88" s="13"/>
    </row>
    <row r="89" spans="2:5" x14ac:dyDescent="0.25">
      <c r="B89" s="12"/>
      <c r="C89" s="6"/>
      <c r="D89" s="7"/>
      <c r="E89" s="13"/>
    </row>
    <row r="90" spans="2:5" x14ac:dyDescent="0.25">
      <c r="B90" s="14"/>
      <c r="C90" s="6"/>
      <c r="D90" s="7"/>
      <c r="E90" s="13"/>
    </row>
    <row r="91" spans="2:5" x14ac:dyDescent="0.25">
      <c r="B91" s="12"/>
      <c r="C91" s="6"/>
      <c r="D91" s="7"/>
      <c r="E91" s="13"/>
    </row>
    <row r="92" spans="2:5" x14ac:dyDescent="0.25">
      <c r="B92" s="12"/>
      <c r="C92" s="6"/>
      <c r="D92" s="7"/>
      <c r="E92" s="13"/>
    </row>
    <row r="93" spans="2:5" x14ac:dyDescent="0.25">
      <c r="B93" s="12"/>
      <c r="C93" s="6"/>
      <c r="D93" s="7"/>
      <c r="E93" s="13"/>
    </row>
    <row r="94" spans="2:5" x14ac:dyDescent="0.25">
      <c r="B94" s="12"/>
      <c r="C94" s="6"/>
      <c r="D94" s="7"/>
      <c r="E94" s="13"/>
    </row>
    <row r="95" spans="2:5" x14ac:dyDescent="0.25">
      <c r="B95" s="12"/>
      <c r="C95" s="6"/>
      <c r="D95" s="7"/>
      <c r="E95" s="13"/>
    </row>
    <row r="96" spans="2:5" x14ac:dyDescent="0.25">
      <c r="B96" s="12"/>
      <c r="C96" s="6"/>
      <c r="D96" s="7"/>
      <c r="E96" s="13"/>
    </row>
    <row r="97" spans="2:5" x14ac:dyDescent="0.25">
      <c r="B97" s="12"/>
      <c r="C97" s="6"/>
      <c r="D97" s="7"/>
      <c r="E97" s="13"/>
    </row>
    <row r="98" spans="2:5" x14ac:dyDescent="0.25">
      <c r="B98" s="12"/>
      <c r="C98" s="6"/>
      <c r="D98" s="7"/>
      <c r="E98" s="13"/>
    </row>
    <row r="99" spans="2:5" x14ac:dyDescent="0.25">
      <c r="B99" s="12"/>
      <c r="C99" s="6"/>
      <c r="D99" s="7"/>
      <c r="E99" s="13"/>
    </row>
    <row r="100" spans="2:5" x14ac:dyDescent="0.25">
      <c r="B100" s="12"/>
      <c r="C100" s="6"/>
      <c r="D100" s="7"/>
      <c r="E100" s="13"/>
    </row>
    <row r="101" spans="2:5" x14ac:dyDescent="0.25">
      <c r="B101" s="12"/>
      <c r="C101" s="6"/>
      <c r="D101" s="7"/>
      <c r="E101" s="13"/>
    </row>
    <row r="102" spans="2:5" x14ac:dyDescent="0.25">
      <c r="B102" s="12"/>
      <c r="C102" s="6"/>
      <c r="D102" s="7"/>
      <c r="E102" s="13"/>
    </row>
    <row r="103" spans="2:5" x14ac:dyDescent="0.25">
      <c r="B103" s="12"/>
      <c r="C103" s="6"/>
      <c r="D103" s="7"/>
      <c r="E103" s="13"/>
    </row>
    <row r="104" spans="2:5" x14ac:dyDescent="0.25">
      <c r="B104" s="12"/>
      <c r="C104" s="6"/>
      <c r="D104" s="7"/>
      <c r="E104" s="13"/>
    </row>
    <row r="105" spans="2:5" x14ac:dyDescent="0.25">
      <c r="B105" s="12"/>
      <c r="C105" s="6"/>
      <c r="D105" s="7"/>
      <c r="E105" s="13"/>
    </row>
    <row r="106" spans="2:5" x14ac:dyDescent="0.25">
      <c r="B106" s="12"/>
      <c r="C106" s="6"/>
      <c r="D106" s="7"/>
      <c r="E106" s="13"/>
    </row>
    <row r="107" spans="2:5" x14ac:dyDescent="0.25">
      <c r="B107" s="12"/>
      <c r="C107" s="6"/>
      <c r="D107" s="7"/>
      <c r="E107" s="13"/>
    </row>
    <row r="108" spans="2:5" x14ac:dyDescent="0.25">
      <c r="B108" s="12"/>
      <c r="C108" s="6"/>
      <c r="D108" s="7"/>
      <c r="E108" s="13"/>
    </row>
    <row r="109" spans="2:5" x14ac:dyDescent="0.25">
      <c r="B109" s="12"/>
      <c r="C109" s="6"/>
      <c r="D109" s="7"/>
      <c r="E109" s="13"/>
    </row>
    <row r="110" spans="2:5" x14ac:dyDescent="0.25">
      <c r="B110" s="12"/>
      <c r="C110" s="6"/>
      <c r="D110" s="7"/>
      <c r="E110" s="13"/>
    </row>
    <row r="111" spans="2:5" x14ac:dyDescent="0.25">
      <c r="B111" s="12"/>
      <c r="C111" s="6"/>
      <c r="D111" s="7"/>
      <c r="E111" s="13"/>
    </row>
    <row r="112" spans="2:5" x14ac:dyDescent="0.25">
      <c r="B112" s="12"/>
      <c r="C112" s="6"/>
      <c r="D112" s="7"/>
      <c r="E112" s="13"/>
    </row>
    <row r="113" spans="2:5" x14ac:dyDescent="0.25">
      <c r="B113" s="12"/>
      <c r="C113" s="6"/>
      <c r="D113" s="7"/>
      <c r="E113" s="13"/>
    </row>
    <row r="114" spans="2:5" x14ac:dyDescent="0.25">
      <c r="B114" s="12"/>
      <c r="C114" s="6"/>
      <c r="D114" s="7"/>
      <c r="E114" s="13"/>
    </row>
    <row r="115" spans="2:5" x14ac:dyDescent="0.25">
      <c r="B115" s="12"/>
      <c r="C115" s="6"/>
      <c r="D115" s="7"/>
      <c r="E115" s="13"/>
    </row>
    <row r="116" spans="2:5" x14ac:dyDescent="0.25">
      <c r="B116" s="12"/>
      <c r="C116" s="6"/>
      <c r="D116" s="7"/>
      <c r="E116" s="13"/>
    </row>
    <row r="117" spans="2:5" x14ac:dyDescent="0.25">
      <c r="B117" s="12"/>
      <c r="C117" s="6"/>
      <c r="D117" s="7"/>
      <c r="E117" s="13"/>
    </row>
    <row r="118" spans="2:5" x14ac:dyDescent="0.25">
      <c r="B118" s="12"/>
      <c r="C118" s="6"/>
      <c r="D118" s="7"/>
      <c r="E118" s="13"/>
    </row>
    <row r="119" spans="2:5" x14ac:dyDescent="0.25">
      <c r="B119" s="12"/>
      <c r="C119" s="6"/>
      <c r="D119" s="7"/>
      <c r="E119" s="13"/>
    </row>
    <row r="120" spans="2:5" x14ac:dyDescent="0.25">
      <c r="B120" s="12"/>
      <c r="C120" s="6"/>
      <c r="D120" s="7"/>
      <c r="E120" s="13"/>
    </row>
    <row r="121" spans="2:5" x14ac:dyDescent="0.25">
      <c r="B121" s="12"/>
      <c r="C121" s="6"/>
      <c r="D121" s="7"/>
      <c r="E121" s="13"/>
    </row>
    <row r="122" spans="2:5" x14ac:dyDescent="0.25">
      <c r="B122" s="12"/>
      <c r="C122" s="6"/>
      <c r="D122" s="7"/>
      <c r="E122" s="13"/>
    </row>
    <row r="123" spans="2:5" x14ac:dyDescent="0.25">
      <c r="B123" s="12"/>
      <c r="C123" s="6"/>
      <c r="D123" s="7"/>
      <c r="E123" s="13"/>
    </row>
    <row r="124" spans="2:5" x14ac:dyDescent="0.25">
      <c r="B124" s="12"/>
      <c r="C124" s="6"/>
      <c r="D124" s="7"/>
      <c r="E124" s="13"/>
    </row>
    <row r="125" spans="2:5" x14ac:dyDescent="0.25">
      <c r="B125" s="12"/>
      <c r="C125" s="6"/>
      <c r="D125" s="7"/>
      <c r="E125" s="13"/>
    </row>
    <row r="126" spans="2:5" x14ac:dyDescent="0.25">
      <c r="B126" s="12"/>
      <c r="C126" s="6"/>
      <c r="D126" s="7"/>
      <c r="E126" s="13"/>
    </row>
    <row r="127" spans="2:5" x14ac:dyDescent="0.25">
      <c r="B127" s="12"/>
      <c r="C127" s="6"/>
      <c r="D127" s="7"/>
      <c r="E127" s="13"/>
    </row>
    <row r="128" spans="2:5" x14ac:dyDescent="0.25">
      <c r="B128" s="12"/>
      <c r="C128" s="6"/>
      <c r="D128" s="7"/>
      <c r="E128" s="13"/>
    </row>
    <row r="129" spans="2:5" x14ac:dyDescent="0.25">
      <c r="B129" s="12"/>
      <c r="C129" s="6"/>
      <c r="D129" s="7"/>
      <c r="E129" s="13"/>
    </row>
    <row r="130" spans="2:5" x14ac:dyDescent="0.25">
      <c r="B130" s="12"/>
      <c r="C130" s="6"/>
      <c r="D130" s="7"/>
      <c r="E130" s="13"/>
    </row>
    <row r="131" spans="2:5" x14ac:dyDescent="0.25">
      <c r="B131" s="12"/>
      <c r="C131" s="6"/>
      <c r="D131" s="7"/>
      <c r="E131" s="13"/>
    </row>
    <row r="132" spans="2:5" x14ac:dyDescent="0.25">
      <c r="B132" s="12"/>
      <c r="C132" s="6"/>
      <c r="D132" s="7"/>
      <c r="E132" s="13"/>
    </row>
    <row r="133" spans="2:5" x14ac:dyDescent="0.25">
      <c r="B133" s="12"/>
      <c r="C133" s="6"/>
      <c r="D133" s="7"/>
      <c r="E133" s="13"/>
    </row>
    <row r="134" spans="2:5" x14ac:dyDescent="0.25">
      <c r="B134" s="12"/>
      <c r="C134" s="6"/>
      <c r="D134" s="7"/>
      <c r="E134" s="13"/>
    </row>
    <row r="135" spans="2:5" x14ac:dyDescent="0.25">
      <c r="B135" s="12"/>
      <c r="C135" s="6"/>
      <c r="D135" s="7"/>
      <c r="E135" s="13"/>
    </row>
    <row r="136" spans="2:5" x14ac:dyDescent="0.25">
      <c r="B136" s="12"/>
      <c r="C136" s="6"/>
      <c r="D136" s="7"/>
      <c r="E136" s="13"/>
    </row>
    <row r="137" spans="2:5" x14ac:dyDescent="0.25">
      <c r="B137" s="12"/>
      <c r="C137" s="6"/>
      <c r="D137" s="7"/>
      <c r="E137" s="13"/>
    </row>
    <row r="138" spans="2:5" x14ac:dyDescent="0.25">
      <c r="B138" s="12"/>
      <c r="C138" s="6"/>
      <c r="D138" s="7"/>
      <c r="E138" s="13"/>
    </row>
    <row r="139" spans="2:5" x14ac:dyDescent="0.25">
      <c r="B139" s="12"/>
      <c r="C139" s="6"/>
      <c r="D139" s="7"/>
      <c r="E139" s="13"/>
    </row>
    <row r="140" spans="2:5" x14ac:dyDescent="0.25">
      <c r="B140" s="12"/>
      <c r="C140" s="6"/>
      <c r="D140" s="7"/>
      <c r="E140" s="13"/>
    </row>
    <row r="141" spans="2:5" x14ac:dyDescent="0.25">
      <c r="B141" s="12"/>
      <c r="C141" s="6"/>
      <c r="D141" s="7"/>
      <c r="E141" s="13"/>
    </row>
    <row r="142" spans="2:5" x14ac:dyDescent="0.25">
      <c r="B142" s="12"/>
      <c r="C142" s="6"/>
      <c r="D142" s="7"/>
      <c r="E142" s="13"/>
    </row>
    <row r="143" spans="2:5" x14ac:dyDescent="0.25">
      <c r="B143" s="12"/>
      <c r="C143" s="6"/>
      <c r="D143" s="7"/>
      <c r="E143" s="13"/>
    </row>
    <row r="144" spans="2:5" x14ac:dyDescent="0.25">
      <c r="B144" s="12"/>
      <c r="C144" s="6"/>
      <c r="D144" s="7"/>
      <c r="E144" s="13"/>
    </row>
    <row r="145" spans="2:5" x14ac:dyDescent="0.25">
      <c r="B145" s="12"/>
      <c r="C145" s="6"/>
      <c r="D145" s="7"/>
      <c r="E145" s="13"/>
    </row>
    <row r="146" spans="2:5" x14ac:dyDescent="0.25">
      <c r="B146" s="12"/>
      <c r="C146" s="6"/>
      <c r="D146" s="7"/>
      <c r="E146" s="13"/>
    </row>
    <row r="147" spans="2:5" x14ac:dyDescent="0.25">
      <c r="B147" s="12"/>
      <c r="C147" s="6"/>
      <c r="D147" s="7"/>
      <c r="E147" s="13"/>
    </row>
    <row r="148" spans="2:5" x14ac:dyDescent="0.25">
      <c r="B148" s="12"/>
      <c r="C148" s="6"/>
      <c r="D148" s="7"/>
      <c r="E148" s="13"/>
    </row>
    <row r="149" spans="2:5" x14ac:dyDescent="0.25">
      <c r="B149" s="12"/>
      <c r="C149" s="6"/>
      <c r="D149" s="7"/>
      <c r="E149" s="13"/>
    </row>
    <row r="150" spans="2:5" x14ac:dyDescent="0.25">
      <c r="B150" s="12"/>
      <c r="C150" s="6"/>
      <c r="D150" s="7"/>
      <c r="E150" s="13"/>
    </row>
    <row r="151" spans="2:5" x14ac:dyDescent="0.25">
      <c r="B151" s="12"/>
      <c r="C151" s="6"/>
      <c r="D151" s="7"/>
      <c r="E151" s="13"/>
    </row>
    <row r="152" spans="2:5" x14ac:dyDescent="0.25">
      <c r="B152" s="12"/>
      <c r="C152" s="6"/>
      <c r="D152" s="7"/>
      <c r="E152" s="13"/>
    </row>
    <row r="153" spans="2:5" x14ac:dyDescent="0.25">
      <c r="B153" s="12"/>
      <c r="C153" s="6"/>
      <c r="D153" s="7"/>
      <c r="E153" s="13"/>
    </row>
    <row r="154" spans="2:5" x14ac:dyDescent="0.25">
      <c r="B154" s="12"/>
      <c r="C154" s="6"/>
      <c r="D154" s="7"/>
      <c r="E154" s="13"/>
    </row>
    <row r="155" spans="2:5" x14ac:dyDescent="0.25">
      <c r="B155" s="12"/>
      <c r="C155" s="6"/>
      <c r="D155" s="7"/>
      <c r="E155" s="13"/>
    </row>
    <row r="156" spans="2:5" x14ac:dyDescent="0.25">
      <c r="B156" s="12"/>
      <c r="C156" s="6"/>
      <c r="D156" s="7"/>
      <c r="E156" s="13"/>
    </row>
    <row r="157" spans="2:5" x14ac:dyDescent="0.25">
      <c r="B157" s="12"/>
      <c r="C157" s="6"/>
      <c r="D157" s="7"/>
      <c r="E157" s="13"/>
    </row>
    <row r="158" spans="2:5" x14ac:dyDescent="0.25">
      <c r="B158" s="12"/>
      <c r="C158" s="6"/>
      <c r="D158" s="7"/>
      <c r="E158" s="13"/>
    </row>
    <row r="159" spans="2:5" x14ac:dyDescent="0.25">
      <c r="B159" s="12"/>
      <c r="C159" s="6"/>
      <c r="D159" s="7"/>
      <c r="E159" s="13"/>
    </row>
    <row r="160" spans="2:5" x14ac:dyDescent="0.25">
      <c r="B160" s="12"/>
      <c r="C160" s="6"/>
      <c r="D160" s="7"/>
      <c r="E160" s="13"/>
    </row>
    <row r="161" spans="2:5" x14ac:dyDescent="0.25">
      <c r="B161" s="12"/>
      <c r="C161" s="6"/>
      <c r="D161" s="7"/>
      <c r="E161" s="13"/>
    </row>
    <row r="162" spans="2:5" x14ac:dyDescent="0.25">
      <c r="B162" s="12"/>
      <c r="C162" s="6"/>
      <c r="D162" s="7"/>
      <c r="E162" s="13"/>
    </row>
    <row r="163" spans="2:5" x14ac:dyDescent="0.25">
      <c r="B163" s="12"/>
      <c r="C163" s="6"/>
      <c r="D163" s="7"/>
      <c r="E163" s="13"/>
    </row>
    <row r="164" spans="2:5" x14ac:dyDescent="0.25">
      <c r="B164" s="12"/>
      <c r="C164" s="6"/>
      <c r="D164" s="7"/>
      <c r="E164" s="13"/>
    </row>
    <row r="165" spans="2:5" x14ac:dyDescent="0.25">
      <c r="B165" s="12"/>
      <c r="C165" s="6"/>
      <c r="D165" s="7"/>
      <c r="E165" s="13"/>
    </row>
    <row r="166" spans="2:5" x14ac:dyDescent="0.25">
      <c r="B166" s="12"/>
      <c r="C166" s="6"/>
      <c r="D166" s="7"/>
      <c r="E166" s="13"/>
    </row>
    <row r="167" spans="2:5" x14ac:dyDescent="0.25">
      <c r="B167" s="12"/>
      <c r="C167" s="6"/>
      <c r="D167" s="7"/>
      <c r="E167" s="13"/>
    </row>
    <row r="168" spans="2:5" x14ac:dyDescent="0.25">
      <c r="B168" s="12"/>
      <c r="C168" s="6"/>
      <c r="D168" s="7"/>
      <c r="E168" s="13"/>
    </row>
    <row r="169" spans="2:5" x14ac:dyDescent="0.25">
      <c r="B169" s="12"/>
      <c r="C169" s="6"/>
      <c r="D169" s="7"/>
      <c r="E169" s="13"/>
    </row>
    <row r="170" spans="2:5" x14ac:dyDescent="0.25">
      <c r="B170" s="12"/>
      <c r="C170" s="6"/>
      <c r="D170" s="7"/>
      <c r="E170" s="13"/>
    </row>
    <row r="171" spans="2:5" x14ac:dyDescent="0.25">
      <c r="B171" s="12"/>
      <c r="C171" s="6"/>
      <c r="D171" s="7"/>
      <c r="E171" s="13"/>
    </row>
    <row r="172" spans="2:5" x14ac:dyDescent="0.25">
      <c r="B172" s="12"/>
      <c r="C172" s="6"/>
      <c r="D172" s="7"/>
      <c r="E172" s="13"/>
    </row>
    <row r="173" spans="2:5" x14ac:dyDescent="0.25">
      <c r="B173" s="12"/>
      <c r="C173" s="6"/>
      <c r="D173" s="7"/>
      <c r="E173" s="13"/>
    </row>
    <row r="174" spans="2:5" x14ac:dyDescent="0.25">
      <c r="B174" s="12"/>
      <c r="C174" s="6"/>
      <c r="D174" s="7"/>
      <c r="E174" s="13"/>
    </row>
    <row r="175" spans="2:5" x14ac:dyDescent="0.25">
      <c r="B175" s="12"/>
      <c r="C175" s="6"/>
      <c r="D175" s="7"/>
      <c r="E175" s="13"/>
    </row>
    <row r="176" spans="2:5" x14ac:dyDescent="0.25">
      <c r="B176" s="12"/>
      <c r="C176" s="6"/>
      <c r="D176" s="7"/>
      <c r="E176" s="13"/>
    </row>
    <row r="177" spans="2:5" x14ac:dyDescent="0.25">
      <c r="B177" s="14"/>
      <c r="C177" s="6"/>
      <c r="D177" s="6"/>
      <c r="E177" s="13"/>
    </row>
    <row r="178" spans="2:5" x14ac:dyDescent="0.25">
      <c r="B178" s="14"/>
      <c r="C178" s="6"/>
      <c r="D178" s="6"/>
      <c r="E178" s="13"/>
    </row>
    <row r="179" spans="2:5" x14ac:dyDescent="0.25">
      <c r="B179" s="14"/>
      <c r="C179" s="6"/>
      <c r="D179" s="6"/>
      <c r="E179" s="13"/>
    </row>
    <row r="180" spans="2:5" x14ac:dyDescent="0.25">
      <c r="B180" s="14"/>
      <c r="C180" s="6"/>
      <c r="D180" s="6"/>
      <c r="E180" s="13"/>
    </row>
  </sheetData>
  <mergeCells count="1">
    <mergeCell ref="J7:K8"/>
  </mergeCells>
  <conditionalFormatting sqref="A1:XFD2 I3:XFD12 D11 A3:G6 F11:G12 A7:A12 C7:G10">
    <cfRule type="containsText" dxfId="31" priority="153" operator="containsText" text="Outros">
      <formula>NOT(ISERROR(SEARCH("Outros",A1)))</formula>
    </cfRule>
  </conditionalFormatting>
  <conditionalFormatting sqref="D15:D18 F13:XFD18 A13:A24 C19:XFD24 A25:XFD25 D28:XFD28 A32:XFD1048576 C29:XFD31 A26:A31 C26:XFD27">
    <cfRule type="containsText" dxfId="30" priority="10" operator="containsText" text="Outros">
      <formula>NOT(ISERROR(SEARCH("Outros",A13)))</formula>
    </cfRule>
  </conditionalFormatting>
  <conditionalFormatting sqref="C11:C14">
    <cfRule type="containsText" dxfId="29" priority="9" operator="containsText" text="Outros">
      <formula>NOT(ISERROR(SEARCH("Outros",C11)))</formula>
    </cfRule>
  </conditionalFormatting>
  <conditionalFormatting sqref="C15:C18">
    <cfRule type="containsText" dxfId="28" priority="8" operator="containsText" text="Outros">
      <formula>NOT(ISERROR(SEARCH("Outros",C15)))</formula>
    </cfRule>
  </conditionalFormatting>
  <conditionalFormatting sqref="D12:D14">
    <cfRule type="containsText" dxfId="27" priority="7" operator="containsText" text="Outros">
      <formula>NOT(ISERROR(SEARCH("Outros",D12)))</formula>
    </cfRule>
  </conditionalFormatting>
  <conditionalFormatting sqref="E11:E14">
    <cfRule type="containsText" dxfId="26" priority="6" operator="containsText" text="Outros">
      <formula>NOT(ISERROR(SEARCH("Outros",E11)))</formula>
    </cfRule>
  </conditionalFormatting>
  <conditionalFormatting sqref="E15:E18">
    <cfRule type="containsText" dxfId="25" priority="5" operator="containsText" text="Outros">
      <formula>NOT(ISERROR(SEARCH("Outros",E15)))</formula>
    </cfRule>
  </conditionalFormatting>
  <conditionalFormatting sqref="B7:B24">
    <cfRule type="containsText" dxfId="24" priority="4" operator="containsText" text="Outros">
      <formula>NOT(ISERROR(SEARCH("Outros",B7)))</formula>
    </cfRule>
  </conditionalFormatting>
  <conditionalFormatting sqref="C28">
    <cfRule type="containsText" dxfId="23" priority="2" operator="containsText" text="Outros">
      <formula>NOT(ISERROR(SEARCH("Outros",C28)))</formula>
    </cfRule>
  </conditionalFormatting>
  <conditionalFormatting sqref="B26:B31">
    <cfRule type="containsText" dxfId="22" priority="1" operator="containsText" text="Outros">
      <formula>NOT(ISERROR(SEARCH("Outros",B26)))</formula>
    </cfRule>
  </conditionalFormatting>
  <pageMargins left="0.511811024" right="0.511811024" top="0.78740157499999996" bottom="0.78740157499999996" header="0.31496062000000002" footer="0.31496062000000002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2"/>
  </sheetPr>
  <dimension ref="B2:I63"/>
  <sheetViews>
    <sheetView showGridLines="0" workbookViewId="0">
      <selection activeCell="E10" sqref="B3:E10"/>
    </sheetView>
  </sheetViews>
  <sheetFormatPr defaultRowHeight="15" x14ac:dyDescent="0.25"/>
  <cols>
    <col min="1" max="1" width="2.7109375" style="1" customWidth="1"/>
    <col min="2" max="2" width="21.28515625" style="1" customWidth="1"/>
    <col min="3" max="3" width="48.42578125" style="1" customWidth="1"/>
    <col min="4" max="4" width="13" style="3" customWidth="1"/>
    <col min="5" max="5" width="14.28515625" style="18" bestFit="1" customWidth="1"/>
    <col min="6" max="6" width="2.7109375" style="1" customWidth="1"/>
    <col min="7" max="7" width="18.28515625" style="1" bestFit="1" customWidth="1"/>
    <col min="8" max="8" width="14.140625" style="1" bestFit="1" customWidth="1"/>
    <col min="9" max="16384" width="9.140625" style="1"/>
  </cols>
  <sheetData>
    <row r="2" spans="2:9" x14ac:dyDescent="0.25">
      <c r="B2" s="4" t="s">
        <v>1</v>
      </c>
      <c r="C2" s="4" t="s">
        <v>2</v>
      </c>
      <c r="D2" s="3" t="s">
        <v>3</v>
      </c>
      <c r="E2" s="15" t="s">
        <v>4</v>
      </c>
      <c r="G2" s="5" t="s">
        <v>5</v>
      </c>
      <c r="H2" s="1" t="s">
        <v>7</v>
      </c>
    </row>
    <row r="3" spans="2:9" x14ac:dyDescent="0.25">
      <c r="B3" s="14"/>
      <c r="C3" s="14"/>
      <c r="D3" s="11"/>
      <c r="E3" s="16"/>
      <c r="G3" s="9" t="s">
        <v>8</v>
      </c>
      <c r="H3" s="10"/>
    </row>
    <row r="4" spans="2:9" x14ac:dyDescent="0.25">
      <c r="B4" s="14"/>
      <c r="C4" s="14"/>
      <c r="D4" s="11"/>
      <c r="E4" s="16"/>
      <c r="G4" s="9" t="s">
        <v>6</v>
      </c>
      <c r="H4" s="10"/>
    </row>
    <row r="5" spans="2:9" x14ac:dyDescent="0.25">
      <c r="B5" s="14"/>
      <c r="C5" s="14"/>
      <c r="D5" s="11"/>
      <c r="E5" s="16"/>
      <c r="G5"/>
      <c r="H5"/>
    </row>
    <row r="6" spans="2:9" x14ac:dyDescent="0.25">
      <c r="B6" s="14"/>
      <c r="C6" s="14"/>
      <c r="D6" s="11"/>
      <c r="E6" s="16"/>
      <c r="F6" s="10"/>
      <c r="G6"/>
      <c r="H6"/>
    </row>
    <row r="7" spans="2:9" x14ac:dyDescent="0.25">
      <c r="B7" s="14"/>
      <c r="E7" s="16"/>
      <c r="G7"/>
      <c r="H7"/>
    </row>
    <row r="8" spans="2:9" x14ac:dyDescent="0.25">
      <c r="B8" s="14"/>
      <c r="E8" s="16"/>
      <c r="G8"/>
      <c r="H8"/>
      <c r="I8" s="17"/>
    </row>
    <row r="9" spans="2:9" x14ac:dyDescent="0.25">
      <c r="B9" s="14"/>
      <c r="D9" s="11"/>
      <c r="E9" s="16"/>
      <c r="G9"/>
      <c r="H9"/>
    </row>
    <row r="10" spans="2:9" x14ac:dyDescent="0.25">
      <c r="B10" s="14"/>
      <c r="C10" s="14"/>
      <c r="D10" s="11"/>
      <c r="E10" s="16"/>
      <c r="G10"/>
      <c r="H10"/>
    </row>
    <row r="11" spans="2:9" x14ac:dyDescent="0.25">
      <c r="B11" s="14"/>
      <c r="C11" s="14"/>
      <c r="D11" s="11"/>
      <c r="E11" s="16"/>
      <c r="G11"/>
      <c r="H11"/>
    </row>
    <row r="12" spans="2:9" x14ac:dyDescent="0.25">
      <c r="B12" s="14"/>
      <c r="C12" s="14"/>
      <c r="D12" s="11"/>
      <c r="E12" s="16"/>
      <c r="G12"/>
      <c r="H12"/>
    </row>
    <row r="13" spans="2:9" x14ac:dyDescent="0.25">
      <c r="E13" s="15"/>
      <c r="G13"/>
      <c r="H13"/>
    </row>
    <row r="14" spans="2:9" x14ac:dyDescent="0.25">
      <c r="B14" s="14"/>
      <c r="C14" s="14"/>
      <c r="D14" s="11"/>
      <c r="E14" s="16"/>
      <c r="G14"/>
      <c r="H14"/>
    </row>
    <row r="15" spans="2:9" x14ac:dyDescent="0.25">
      <c r="B15" s="14"/>
      <c r="C15" s="14"/>
      <c r="D15" s="11"/>
      <c r="E15" s="15"/>
      <c r="G15"/>
      <c r="H15"/>
    </row>
    <row r="16" spans="2:9" x14ac:dyDescent="0.25">
      <c r="B16" s="14"/>
      <c r="C16" s="14"/>
      <c r="E16" s="15"/>
      <c r="G16" s="88"/>
    </row>
    <row r="17" spans="2:5" x14ac:dyDescent="0.25">
      <c r="B17" s="14"/>
      <c r="C17" s="14"/>
      <c r="D17" s="11"/>
      <c r="E17" s="15"/>
    </row>
    <row r="18" spans="2:5" x14ac:dyDescent="0.25">
      <c r="B18" s="14"/>
      <c r="E18" s="15"/>
    </row>
    <row r="19" spans="2:5" x14ac:dyDescent="0.25">
      <c r="E19" s="15"/>
    </row>
    <row r="20" spans="2:5" x14ac:dyDescent="0.25">
      <c r="B20" s="14"/>
      <c r="C20" s="14"/>
      <c r="D20" s="11"/>
      <c r="E20" s="15"/>
    </row>
    <row r="21" spans="2:5" x14ac:dyDescent="0.25">
      <c r="B21" s="14"/>
      <c r="C21" s="14"/>
      <c r="D21" s="11"/>
      <c r="E21" s="15"/>
    </row>
    <row r="22" spans="2:5" x14ac:dyDescent="0.25">
      <c r="E22" s="15"/>
    </row>
    <row r="23" spans="2:5" x14ac:dyDescent="0.25">
      <c r="D23" s="11"/>
      <c r="E23" s="16"/>
    </row>
    <row r="24" spans="2:5" x14ac:dyDescent="0.25">
      <c r="B24" s="14"/>
      <c r="C24" s="14"/>
      <c r="D24" s="11"/>
      <c r="E24" s="15"/>
    </row>
    <row r="25" spans="2:5" x14ac:dyDescent="0.25">
      <c r="B25" s="14"/>
      <c r="C25" s="14"/>
      <c r="D25" s="11"/>
      <c r="E25" s="15"/>
    </row>
    <row r="26" spans="2:5" x14ac:dyDescent="0.25">
      <c r="B26" s="14"/>
      <c r="C26" s="14"/>
      <c r="D26" s="11"/>
      <c r="E26" s="15"/>
    </row>
    <row r="27" spans="2:5" x14ac:dyDescent="0.25">
      <c r="B27" s="14"/>
      <c r="E27" s="15"/>
    </row>
    <row r="28" spans="2:5" x14ac:dyDescent="0.25">
      <c r="B28" s="14"/>
      <c r="E28" s="15"/>
    </row>
    <row r="29" spans="2:5" x14ac:dyDescent="0.25">
      <c r="B29" s="14"/>
      <c r="E29" s="15"/>
    </row>
    <row r="30" spans="2:5" x14ac:dyDescent="0.25">
      <c r="B30" s="14"/>
      <c r="E30" s="15"/>
    </row>
    <row r="31" spans="2:5" x14ac:dyDescent="0.25">
      <c r="B31" s="14"/>
      <c r="C31" s="14"/>
      <c r="D31" s="11"/>
      <c r="E31" s="15"/>
    </row>
    <row r="32" spans="2:5" x14ac:dyDescent="0.25">
      <c r="B32" s="14"/>
      <c r="C32" s="14"/>
      <c r="D32" s="11"/>
      <c r="E32" s="15"/>
    </row>
    <row r="33" spans="2:5" x14ac:dyDescent="0.25">
      <c r="B33" s="14"/>
      <c r="C33" s="14"/>
      <c r="D33" s="11"/>
      <c r="E33" s="15"/>
    </row>
    <row r="34" spans="2:5" x14ac:dyDescent="0.25">
      <c r="B34" s="14"/>
      <c r="C34" s="14"/>
      <c r="D34" s="11"/>
      <c r="E34" s="15"/>
    </row>
    <row r="35" spans="2:5" x14ac:dyDescent="0.25">
      <c r="B35" s="14"/>
      <c r="C35" s="14"/>
      <c r="D35" s="11"/>
      <c r="E35" s="15"/>
    </row>
    <row r="36" spans="2:5" x14ac:dyDescent="0.25">
      <c r="B36" s="14"/>
      <c r="E36" s="15"/>
    </row>
    <row r="37" spans="2:5" x14ac:dyDescent="0.25">
      <c r="B37" s="14"/>
      <c r="E37" s="15"/>
    </row>
    <row r="38" spans="2:5" x14ac:dyDescent="0.25">
      <c r="E38" s="15"/>
    </row>
    <row r="39" spans="2:5" x14ac:dyDescent="0.25">
      <c r="B39" s="14"/>
      <c r="E39" s="15"/>
    </row>
    <row r="40" spans="2:5" x14ac:dyDescent="0.25">
      <c r="B40" s="14"/>
      <c r="C40" s="14"/>
      <c r="D40" s="11"/>
      <c r="E40" s="15"/>
    </row>
    <row r="41" spans="2:5" x14ac:dyDescent="0.25">
      <c r="E41" s="15"/>
    </row>
    <row r="42" spans="2:5" x14ac:dyDescent="0.25">
      <c r="B42" s="14"/>
      <c r="C42" s="14"/>
      <c r="D42" s="11"/>
      <c r="E42" s="15"/>
    </row>
    <row r="43" spans="2:5" x14ac:dyDescent="0.25">
      <c r="B43" s="14"/>
      <c r="E43" s="15"/>
    </row>
    <row r="44" spans="2:5" x14ac:dyDescent="0.25">
      <c r="B44" s="14"/>
      <c r="C44" s="14"/>
      <c r="E44" s="15"/>
    </row>
    <row r="45" spans="2:5" x14ac:dyDescent="0.25">
      <c r="B45" s="14"/>
      <c r="C45" s="14"/>
      <c r="E45" s="15"/>
    </row>
    <row r="46" spans="2:5" x14ac:dyDescent="0.25">
      <c r="E46" s="15"/>
    </row>
    <row r="47" spans="2:5" x14ac:dyDescent="0.25">
      <c r="E47" s="15"/>
    </row>
    <row r="48" spans="2:5" x14ac:dyDescent="0.25">
      <c r="E48" s="15"/>
    </row>
    <row r="49" spans="2:5" x14ac:dyDescent="0.25">
      <c r="B49" s="14"/>
      <c r="E49" s="15"/>
    </row>
    <row r="50" spans="2:5" x14ac:dyDescent="0.25">
      <c r="B50" s="14"/>
      <c r="E50" s="15"/>
    </row>
    <row r="51" spans="2:5" x14ac:dyDescent="0.25">
      <c r="B51" s="14"/>
      <c r="E51" s="15"/>
    </row>
    <row r="52" spans="2:5" x14ac:dyDescent="0.25">
      <c r="B52" s="14"/>
      <c r="E52" s="15"/>
    </row>
    <row r="53" spans="2:5" x14ac:dyDescent="0.25">
      <c r="B53" s="14"/>
      <c r="E53" s="15"/>
    </row>
    <row r="54" spans="2:5" x14ac:dyDescent="0.25">
      <c r="B54" s="14"/>
      <c r="E54" s="15"/>
    </row>
    <row r="55" spans="2:5" x14ac:dyDescent="0.25">
      <c r="E55" s="15"/>
    </row>
    <row r="56" spans="2:5" x14ac:dyDescent="0.25">
      <c r="B56" s="74"/>
      <c r="C56" s="83"/>
      <c r="D56" s="86"/>
      <c r="E56" s="87"/>
    </row>
    <row r="57" spans="2:5" x14ac:dyDescent="0.25">
      <c r="B57" s="83"/>
      <c r="C57" s="83"/>
      <c r="D57" s="86"/>
      <c r="E57" s="87"/>
    </row>
    <row r="58" spans="2:5" x14ac:dyDescent="0.25">
      <c r="B58" s="83"/>
      <c r="C58" s="83"/>
      <c r="D58" s="86"/>
      <c r="E58" s="87"/>
    </row>
    <row r="59" spans="2:5" x14ac:dyDescent="0.25">
      <c r="E59" s="15"/>
    </row>
    <row r="60" spans="2:5" x14ac:dyDescent="0.25">
      <c r="E60" s="15"/>
    </row>
    <row r="61" spans="2:5" x14ac:dyDescent="0.25">
      <c r="E61" s="15"/>
    </row>
    <row r="62" spans="2:5" x14ac:dyDescent="0.25">
      <c r="E62" s="15"/>
    </row>
    <row r="63" spans="2:5" x14ac:dyDescent="0.25">
      <c r="E63" s="15"/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2"/>
  </sheetPr>
  <dimension ref="B2:H218"/>
  <sheetViews>
    <sheetView showGridLines="0" workbookViewId="0">
      <pane ySplit="2" topLeftCell="A21" activePane="bottomLeft" state="frozen"/>
      <selection pane="bottomLeft" activeCell="E30" sqref="E30"/>
    </sheetView>
  </sheetViews>
  <sheetFormatPr defaultRowHeight="15" x14ac:dyDescent="0.25"/>
  <cols>
    <col min="1" max="1" width="2.7109375" style="1" customWidth="1"/>
    <col min="2" max="2" width="19.140625" style="1" customWidth="1"/>
    <col min="3" max="3" width="48.42578125" style="2" customWidth="1"/>
    <col min="4" max="4" width="13.28515625" style="3" customWidth="1"/>
    <col min="5" max="5" width="14.28515625" style="4" bestFit="1" customWidth="1"/>
    <col min="6" max="6" width="2.42578125" style="1" customWidth="1"/>
    <col min="7" max="7" width="18.28515625" style="1" bestFit="1" customWidth="1"/>
    <col min="8" max="8" width="14.140625" style="1" bestFit="1" customWidth="1"/>
    <col min="9" max="16384" width="9.140625" style="1"/>
  </cols>
  <sheetData>
    <row r="2" spans="2:8" x14ac:dyDescent="0.25">
      <c r="B2" s="4" t="s">
        <v>1</v>
      </c>
      <c r="C2" s="4" t="s">
        <v>2</v>
      </c>
      <c r="D2" s="3" t="s">
        <v>3</v>
      </c>
      <c r="E2" s="4" t="s">
        <v>4</v>
      </c>
      <c r="G2" s="5" t="s">
        <v>5</v>
      </c>
      <c r="H2" s="1" t="s">
        <v>7</v>
      </c>
    </row>
    <row r="3" spans="2:8" x14ac:dyDescent="0.25">
      <c r="B3" s="1" t="s">
        <v>41</v>
      </c>
      <c r="C3" s="94" t="s">
        <v>44</v>
      </c>
      <c r="D3" s="7">
        <v>46108</v>
      </c>
      <c r="E3" s="8">
        <v>2046.4</v>
      </c>
      <c r="G3" s="9" t="s">
        <v>8</v>
      </c>
      <c r="H3" s="10">
        <v>410</v>
      </c>
    </row>
    <row r="4" spans="2:8" x14ac:dyDescent="0.25">
      <c r="B4" s="1" t="s">
        <v>41</v>
      </c>
      <c r="C4" s="93" t="s">
        <v>42</v>
      </c>
      <c r="D4" s="7">
        <v>46110</v>
      </c>
      <c r="E4" s="8">
        <v>400</v>
      </c>
      <c r="G4" s="9" t="s">
        <v>49</v>
      </c>
      <c r="H4" s="10">
        <v>4736</v>
      </c>
    </row>
    <row r="5" spans="2:8" x14ac:dyDescent="0.25">
      <c r="B5" s="1" t="s">
        <v>41</v>
      </c>
      <c r="C5" s="93" t="s">
        <v>43</v>
      </c>
      <c r="D5" s="7">
        <v>46110</v>
      </c>
      <c r="E5" s="8">
        <v>800</v>
      </c>
      <c r="G5" s="9" t="s">
        <v>41</v>
      </c>
      <c r="H5" s="10">
        <v>7459.29</v>
      </c>
    </row>
    <row r="6" spans="2:8" x14ac:dyDescent="0.25">
      <c r="B6" s="1" t="s">
        <v>41</v>
      </c>
      <c r="C6" s="93" t="s">
        <v>45</v>
      </c>
      <c r="D6" s="7">
        <v>46113</v>
      </c>
      <c r="E6" s="8">
        <v>1000</v>
      </c>
      <c r="G6" s="9" t="s">
        <v>55</v>
      </c>
      <c r="H6" s="10">
        <v>12510</v>
      </c>
    </row>
    <row r="7" spans="2:8" x14ac:dyDescent="0.25">
      <c r="B7" s="1" t="s">
        <v>49</v>
      </c>
      <c r="C7" s="93" t="s">
        <v>50</v>
      </c>
      <c r="D7" s="7">
        <v>46118</v>
      </c>
      <c r="E7" s="8">
        <v>524</v>
      </c>
      <c r="G7" s="9" t="s">
        <v>90</v>
      </c>
      <c r="H7" s="10">
        <v>4400</v>
      </c>
    </row>
    <row r="8" spans="2:8" x14ac:dyDescent="0.25">
      <c r="B8" s="1" t="s">
        <v>55</v>
      </c>
      <c r="C8" s="92" t="s">
        <v>51</v>
      </c>
      <c r="D8" s="7">
        <v>46118</v>
      </c>
      <c r="E8" s="8">
        <v>640</v>
      </c>
      <c r="G8" s="9" t="s">
        <v>95</v>
      </c>
      <c r="H8" s="10">
        <v>1582.08</v>
      </c>
    </row>
    <row r="9" spans="2:8" x14ac:dyDescent="0.25">
      <c r="B9" s="1" t="s">
        <v>55</v>
      </c>
      <c r="C9" s="92" t="s">
        <v>52</v>
      </c>
      <c r="D9" s="7">
        <v>46118</v>
      </c>
      <c r="E9" s="8">
        <v>640</v>
      </c>
      <c r="G9" s="9" t="s">
        <v>96</v>
      </c>
      <c r="H9" s="10">
        <v>55.67</v>
      </c>
    </row>
    <row r="10" spans="2:8" x14ac:dyDescent="0.25">
      <c r="B10" s="1" t="s">
        <v>55</v>
      </c>
      <c r="C10" s="92" t="s">
        <v>53</v>
      </c>
      <c r="D10" s="7">
        <v>46118</v>
      </c>
      <c r="E10" s="8">
        <v>640</v>
      </c>
      <c r="G10" s="9" t="s">
        <v>97</v>
      </c>
      <c r="H10" s="10"/>
    </row>
    <row r="11" spans="2:8" x14ac:dyDescent="0.25">
      <c r="B11" s="1" t="s">
        <v>55</v>
      </c>
      <c r="C11" s="92" t="s">
        <v>54</v>
      </c>
      <c r="D11" s="7">
        <v>46118</v>
      </c>
      <c r="E11" s="8">
        <v>640</v>
      </c>
      <c r="G11" s="9" t="s">
        <v>112</v>
      </c>
      <c r="H11" s="10">
        <v>614</v>
      </c>
    </row>
    <row r="12" spans="2:8" x14ac:dyDescent="0.25">
      <c r="B12" s="1" t="s">
        <v>55</v>
      </c>
      <c r="C12" s="92" t="s">
        <v>51</v>
      </c>
      <c r="D12" s="7">
        <v>46125</v>
      </c>
      <c r="E12" s="8">
        <v>340</v>
      </c>
      <c r="G12" s="9" t="s">
        <v>121</v>
      </c>
      <c r="H12" s="10">
        <v>862.89</v>
      </c>
    </row>
    <row r="13" spans="2:8" x14ac:dyDescent="0.25">
      <c r="B13" s="1" t="s">
        <v>55</v>
      </c>
      <c r="C13" s="92" t="s">
        <v>52</v>
      </c>
      <c r="D13" s="7">
        <v>46125</v>
      </c>
      <c r="E13" s="8">
        <v>340</v>
      </c>
      <c r="G13" s="9" t="s">
        <v>6</v>
      </c>
      <c r="H13" s="10">
        <v>32629.93</v>
      </c>
    </row>
    <row r="14" spans="2:8" x14ac:dyDescent="0.25">
      <c r="B14" s="1" t="s">
        <v>55</v>
      </c>
      <c r="C14" s="92" t="s">
        <v>53</v>
      </c>
      <c r="D14" s="7">
        <v>46125</v>
      </c>
      <c r="E14" s="8">
        <v>340</v>
      </c>
    </row>
    <row r="15" spans="2:8" x14ac:dyDescent="0.25">
      <c r="B15" s="1" t="s">
        <v>55</v>
      </c>
      <c r="C15" s="92" t="s">
        <v>54</v>
      </c>
      <c r="D15" s="7">
        <v>46125</v>
      </c>
      <c r="E15" s="8">
        <v>340</v>
      </c>
    </row>
    <row r="16" spans="2:8" x14ac:dyDescent="0.25">
      <c r="B16" s="1" t="s">
        <v>55</v>
      </c>
      <c r="C16" s="94" t="s">
        <v>85</v>
      </c>
      <c r="D16" s="7">
        <v>46132</v>
      </c>
      <c r="E16" s="8">
        <v>1700</v>
      </c>
    </row>
    <row r="17" spans="2:5" x14ac:dyDescent="0.25">
      <c r="B17" s="1" t="s">
        <v>49</v>
      </c>
      <c r="C17" s="93" t="s">
        <v>50</v>
      </c>
      <c r="D17" s="7">
        <v>46135</v>
      </c>
      <c r="E17" s="8">
        <v>1501</v>
      </c>
    </row>
    <row r="18" spans="2:5" x14ac:dyDescent="0.25">
      <c r="B18" s="1" t="s">
        <v>55</v>
      </c>
      <c r="C18" s="94" t="s">
        <v>85</v>
      </c>
      <c r="D18" s="7">
        <v>46139</v>
      </c>
      <c r="E18" s="8">
        <v>1700</v>
      </c>
    </row>
    <row r="19" spans="2:5" x14ac:dyDescent="0.25">
      <c r="B19" s="1" t="s">
        <v>49</v>
      </c>
      <c r="C19" s="93" t="s">
        <v>50</v>
      </c>
      <c r="D19" s="7">
        <v>46147</v>
      </c>
      <c r="E19" s="8">
        <v>773</v>
      </c>
    </row>
    <row r="20" spans="2:5" x14ac:dyDescent="0.25">
      <c r="B20" s="1" t="s">
        <v>95</v>
      </c>
      <c r="C20" s="93"/>
      <c r="D20" s="7">
        <v>46147</v>
      </c>
      <c r="E20" s="8">
        <v>542.08000000000004</v>
      </c>
    </row>
    <row r="21" spans="2:5" x14ac:dyDescent="0.25">
      <c r="B21" s="1" t="s">
        <v>41</v>
      </c>
      <c r="C21" s="93" t="s">
        <v>86</v>
      </c>
      <c r="D21" s="7">
        <v>46152</v>
      </c>
      <c r="E21" s="8">
        <v>1200</v>
      </c>
    </row>
    <row r="22" spans="2:5" x14ac:dyDescent="0.25">
      <c r="B22" s="1" t="s">
        <v>41</v>
      </c>
      <c r="C22" s="93" t="s">
        <v>51</v>
      </c>
      <c r="D22" s="7">
        <v>46152</v>
      </c>
      <c r="E22" s="8">
        <v>400</v>
      </c>
    </row>
    <row r="23" spans="2:5" x14ac:dyDescent="0.25">
      <c r="B23" s="1" t="s">
        <v>55</v>
      </c>
      <c r="C23" s="94" t="s">
        <v>85</v>
      </c>
      <c r="D23" s="7">
        <v>46153</v>
      </c>
      <c r="E23" s="8">
        <v>1360</v>
      </c>
    </row>
    <row r="24" spans="2:5" x14ac:dyDescent="0.25">
      <c r="B24" s="1" t="s">
        <v>55</v>
      </c>
      <c r="C24" s="93" t="s">
        <v>93</v>
      </c>
      <c r="D24" s="7">
        <v>46153</v>
      </c>
      <c r="E24" s="8">
        <v>340</v>
      </c>
    </row>
    <row r="25" spans="2:5" x14ac:dyDescent="0.25">
      <c r="B25" s="1" t="s">
        <v>95</v>
      </c>
      <c r="C25" s="93"/>
      <c r="D25" s="7">
        <v>46155</v>
      </c>
      <c r="E25" s="8">
        <v>840</v>
      </c>
    </row>
    <row r="26" spans="2:5" x14ac:dyDescent="0.25">
      <c r="B26" s="1" t="s">
        <v>112</v>
      </c>
      <c r="C26" s="95" t="s">
        <v>120</v>
      </c>
      <c r="D26" s="7">
        <v>46155</v>
      </c>
      <c r="E26" s="8">
        <v>255</v>
      </c>
    </row>
    <row r="27" spans="2:5" x14ac:dyDescent="0.25">
      <c r="B27" s="1" t="s">
        <v>121</v>
      </c>
      <c r="C27" s="93" t="s">
        <v>122</v>
      </c>
      <c r="D27" s="7">
        <v>46155</v>
      </c>
      <c r="E27" s="8">
        <v>412.89</v>
      </c>
    </row>
    <row r="28" spans="2:5" x14ac:dyDescent="0.25">
      <c r="B28" s="1" t="s">
        <v>41</v>
      </c>
      <c r="C28" s="93" t="s">
        <v>87</v>
      </c>
      <c r="D28" s="7">
        <v>46156</v>
      </c>
      <c r="E28" s="8">
        <v>412.89</v>
      </c>
    </row>
    <row r="29" spans="2:5" x14ac:dyDescent="0.25">
      <c r="B29" s="1" t="s">
        <v>55</v>
      </c>
      <c r="C29" s="93" t="s">
        <v>114</v>
      </c>
      <c r="D29" s="7">
        <v>46167</v>
      </c>
      <c r="E29" s="8">
        <v>340</v>
      </c>
    </row>
    <row r="30" spans="2:5" x14ac:dyDescent="0.25">
      <c r="B30" s="1" t="s">
        <v>55</v>
      </c>
      <c r="C30" s="93" t="s">
        <v>115</v>
      </c>
      <c r="D30" s="7">
        <v>46167</v>
      </c>
      <c r="E30" s="8">
        <v>340</v>
      </c>
    </row>
    <row r="31" spans="2:5" x14ac:dyDescent="0.25">
      <c r="B31" s="1" t="s">
        <v>55</v>
      </c>
      <c r="C31" s="93" t="s">
        <v>116</v>
      </c>
      <c r="D31" s="7">
        <v>46167</v>
      </c>
      <c r="E31" s="8">
        <v>340</v>
      </c>
    </row>
    <row r="32" spans="2:5" x14ac:dyDescent="0.25">
      <c r="B32" s="1" t="s">
        <v>55</v>
      </c>
      <c r="C32" s="93" t="s">
        <v>117</v>
      </c>
      <c r="D32" s="7">
        <v>46167</v>
      </c>
      <c r="E32" s="8">
        <v>340</v>
      </c>
    </row>
    <row r="33" spans="2:5" x14ac:dyDescent="0.25">
      <c r="B33" s="1" t="s">
        <v>112</v>
      </c>
      <c r="C33" s="93" t="s">
        <v>111</v>
      </c>
      <c r="D33" s="7">
        <v>46168</v>
      </c>
      <c r="E33" s="8">
        <v>112</v>
      </c>
    </row>
    <row r="34" spans="2:5" x14ac:dyDescent="0.25">
      <c r="B34" s="1" t="s">
        <v>95</v>
      </c>
      <c r="C34" s="93" t="s">
        <v>64</v>
      </c>
      <c r="D34" s="7">
        <v>46168</v>
      </c>
      <c r="E34" s="8">
        <v>200</v>
      </c>
    </row>
    <row r="35" spans="2:5" x14ac:dyDescent="0.25">
      <c r="B35" s="1" t="s">
        <v>112</v>
      </c>
      <c r="C35" s="93" t="s">
        <v>111</v>
      </c>
      <c r="D35" s="7">
        <v>46171</v>
      </c>
      <c r="E35" s="15">
        <v>247</v>
      </c>
    </row>
    <row r="36" spans="2:5" x14ac:dyDescent="0.25">
      <c r="B36" s="1" t="s">
        <v>49</v>
      </c>
      <c r="C36" s="93" t="s">
        <v>50</v>
      </c>
      <c r="D36" s="7">
        <v>46171</v>
      </c>
      <c r="E36" s="8">
        <v>1938</v>
      </c>
    </row>
    <row r="37" spans="2:5" x14ac:dyDescent="0.25">
      <c r="B37" s="1" t="s">
        <v>55</v>
      </c>
      <c r="C37" s="93" t="s">
        <v>110</v>
      </c>
      <c r="D37" s="7">
        <v>46175</v>
      </c>
      <c r="E37" s="8">
        <v>370</v>
      </c>
    </row>
    <row r="38" spans="2:5" x14ac:dyDescent="0.25">
      <c r="B38" s="1" t="s">
        <v>109</v>
      </c>
      <c r="C38" s="93" t="s">
        <v>108</v>
      </c>
      <c r="D38" s="7">
        <v>46176</v>
      </c>
      <c r="E38" s="8">
        <v>450</v>
      </c>
    </row>
    <row r="39" spans="2:5" x14ac:dyDescent="0.25">
      <c r="B39" s="1" t="s">
        <v>96</v>
      </c>
      <c r="C39" s="93"/>
      <c r="D39" s="7" t="s">
        <v>80</v>
      </c>
      <c r="E39" s="8">
        <v>55.67</v>
      </c>
    </row>
    <row r="40" spans="2:5" x14ac:dyDescent="0.25">
      <c r="B40" s="1" t="s">
        <v>55</v>
      </c>
      <c r="C40" s="93" t="s">
        <v>123</v>
      </c>
      <c r="D40" s="7">
        <v>46153</v>
      </c>
      <c r="E40" s="8">
        <v>1760</v>
      </c>
    </row>
    <row r="41" spans="2:5" x14ac:dyDescent="0.25">
      <c r="B41" s="1" t="s">
        <v>41</v>
      </c>
      <c r="C41" s="95" t="s">
        <v>124</v>
      </c>
      <c r="D41" s="7">
        <v>46153</v>
      </c>
      <c r="E41" s="8">
        <v>1200</v>
      </c>
    </row>
    <row r="42" spans="2:5" x14ac:dyDescent="0.25">
      <c r="C42" s="95" t="s">
        <v>46</v>
      </c>
      <c r="D42" s="7"/>
      <c r="E42" s="8">
        <v>410</v>
      </c>
    </row>
    <row r="43" spans="2:5" x14ac:dyDescent="0.25">
      <c r="C43" s="95"/>
      <c r="D43" s="7"/>
      <c r="E43" s="8"/>
    </row>
    <row r="44" spans="2:5" x14ac:dyDescent="0.25">
      <c r="C44" s="95"/>
      <c r="D44" s="7"/>
      <c r="E44" s="8"/>
    </row>
    <row r="45" spans="2:5" x14ac:dyDescent="0.25">
      <c r="C45" s="95"/>
      <c r="D45" s="7"/>
      <c r="E45" s="8"/>
    </row>
    <row r="46" spans="2:5" x14ac:dyDescent="0.25">
      <c r="C46" s="95"/>
      <c r="D46" s="7"/>
      <c r="E46" s="8"/>
    </row>
    <row r="47" spans="2:5" x14ac:dyDescent="0.25">
      <c r="C47" s="93"/>
      <c r="D47" s="7"/>
      <c r="E47" s="8"/>
    </row>
    <row r="48" spans="2:5" x14ac:dyDescent="0.25">
      <c r="B48" s="1" t="s">
        <v>90</v>
      </c>
      <c r="C48" s="94" t="s">
        <v>51</v>
      </c>
      <c r="D48" s="7"/>
      <c r="E48" s="8">
        <v>1650</v>
      </c>
    </row>
    <row r="49" spans="2:5" x14ac:dyDescent="0.25">
      <c r="B49" s="1" t="s">
        <v>90</v>
      </c>
      <c r="C49" s="93" t="s">
        <v>52</v>
      </c>
      <c r="D49" s="7"/>
      <c r="E49" s="8">
        <v>1150</v>
      </c>
    </row>
    <row r="50" spans="2:5" x14ac:dyDescent="0.25">
      <c r="B50" s="1" t="s">
        <v>90</v>
      </c>
      <c r="C50" s="93" t="s">
        <v>54</v>
      </c>
      <c r="D50" s="7"/>
      <c r="E50" s="8">
        <v>800</v>
      </c>
    </row>
    <row r="51" spans="2:5" x14ac:dyDescent="0.25">
      <c r="B51" s="1" t="s">
        <v>90</v>
      </c>
      <c r="C51" s="93" t="s">
        <v>53</v>
      </c>
      <c r="D51" s="7"/>
      <c r="E51" s="8">
        <v>800</v>
      </c>
    </row>
    <row r="52" spans="2:5" x14ac:dyDescent="0.25">
      <c r="C52" s="93"/>
      <c r="D52" s="7"/>
      <c r="E52" s="8"/>
    </row>
    <row r="53" spans="2:5" x14ac:dyDescent="0.25">
      <c r="B53" s="1" t="s">
        <v>97</v>
      </c>
      <c r="C53" s="94" t="s">
        <v>51</v>
      </c>
      <c r="D53" s="7"/>
      <c r="E53" s="8"/>
    </row>
    <row r="54" spans="2:5" x14ac:dyDescent="0.25">
      <c r="B54" s="1" t="s">
        <v>97</v>
      </c>
      <c r="C54" s="93" t="s">
        <v>52</v>
      </c>
      <c r="D54" s="7"/>
      <c r="E54" s="8"/>
    </row>
    <row r="55" spans="2:5" x14ac:dyDescent="0.25">
      <c r="B55" s="1" t="s">
        <v>97</v>
      </c>
      <c r="C55" s="93" t="s">
        <v>54</v>
      </c>
      <c r="D55" s="7"/>
      <c r="E55" s="8"/>
    </row>
    <row r="56" spans="2:5" x14ac:dyDescent="0.25">
      <c r="B56" s="1" t="s">
        <v>97</v>
      </c>
      <c r="C56" s="93" t="s">
        <v>98</v>
      </c>
      <c r="D56" s="7"/>
      <c r="E56" s="8"/>
    </row>
    <row r="57" spans="2:5" x14ac:dyDescent="0.25">
      <c r="C57" s="93"/>
      <c r="D57" s="7"/>
      <c r="E57" s="8"/>
    </row>
    <row r="58" spans="2:5" x14ac:dyDescent="0.25">
      <c r="C58" s="93"/>
      <c r="D58" s="7"/>
      <c r="E58" s="8"/>
    </row>
    <row r="59" spans="2:5" x14ac:dyDescent="0.25">
      <c r="C59" s="93"/>
      <c r="D59" s="7"/>
      <c r="E59" s="8"/>
    </row>
    <row r="60" spans="2:5" x14ac:dyDescent="0.25">
      <c r="C60" s="95"/>
      <c r="D60" s="7"/>
      <c r="E60" s="8"/>
    </row>
    <row r="61" spans="2:5" x14ac:dyDescent="0.25">
      <c r="C61" s="93"/>
      <c r="D61" s="7"/>
      <c r="E61" s="8"/>
    </row>
    <row r="62" spans="2:5" x14ac:dyDescent="0.25">
      <c r="C62" s="93"/>
      <c r="D62" s="7"/>
      <c r="E62" s="8"/>
    </row>
    <row r="63" spans="2:5" x14ac:dyDescent="0.25">
      <c r="C63" s="93"/>
      <c r="D63" s="7"/>
      <c r="E63" s="8"/>
    </row>
    <row r="64" spans="2:5" x14ac:dyDescent="0.25">
      <c r="C64" s="93"/>
      <c r="D64" s="7"/>
      <c r="E64" s="8"/>
    </row>
    <row r="65" spans="3:5" x14ac:dyDescent="0.25">
      <c r="C65" s="93"/>
      <c r="D65" s="7"/>
      <c r="E65" s="8"/>
    </row>
    <row r="66" spans="3:5" x14ac:dyDescent="0.25">
      <c r="C66" s="93"/>
      <c r="D66" s="7"/>
      <c r="E66" s="8"/>
    </row>
    <row r="67" spans="3:5" x14ac:dyDescent="0.25">
      <c r="C67" s="93"/>
      <c r="D67" s="7"/>
      <c r="E67" s="8"/>
    </row>
    <row r="68" spans="3:5" x14ac:dyDescent="0.25">
      <c r="C68" s="93"/>
      <c r="D68" s="7"/>
      <c r="E68" s="8"/>
    </row>
    <row r="69" spans="3:5" x14ac:dyDescent="0.25">
      <c r="C69" s="93"/>
      <c r="D69" s="7"/>
      <c r="E69" s="8"/>
    </row>
    <row r="70" spans="3:5" x14ac:dyDescent="0.25">
      <c r="C70" s="93"/>
      <c r="D70" s="7"/>
      <c r="E70" s="8"/>
    </row>
    <row r="71" spans="3:5" x14ac:dyDescent="0.25">
      <c r="C71" s="93"/>
      <c r="D71" s="7"/>
      <c r="E71" s="8"/>
    </row>
    <row r="72" spans="3:5" x14ac:dyDescent="0.25">
      <c r="C72" s="93"/>
      <c r="D72" s="7"/>
      <c r="E72" s="8"/>
    </row>
    <row r="73" spans="3:5" x14ac:dyDescent="0.25">
      <c r="C73" s="93"/>
      <c r="D73" s="7"/>
      <c r="E73" s="8"/>
    </row>
    <row r="74" spans="3:5" x14ac:dyDescent="0.25">
      <c r="C74" s="93"/>
      <c r="D74" s="7"/>
      <c r="E74" s="8"/>
    </row>
    <row r="75" spans="3:5" x14ac:dyDescent="0.25">
      <c r="C75" s="93"/>
      <c r="D75" s="7"/>
      <c r="E75" s="8"/>
    </row>
    <row r="76" spans="3:5" x14ac:dyDescent="0.25">
      <c r="C76" s="93"/>
      <c r="D76" s="7"/>
      <c r="E76" s="8"/>
    </row>
    <row r="77" spans="3:5" x14ac:dyDescent="0.25">
      <c r="C77" s="93"/>
      <c r="D77" s="7"/>
      <c r="E77" s="8"/>
    </row>
    <row r="78" spans="3:5" x14ac:dyDescent="0.25">
      <c r="C78" s="93"/>
      <c r="D78" s="7"/>
      <c r="E78" s="8"/>
    </row>
    <row r="79" spans="3:5" x14ac:dyDescent="0.25">
      <c r="C79" s="93"/>
      <c r="D79" s="7"/>
      <c r="E79" s="8"/>
    </row>
    <row r="80" spans="3:5" x14ac:dyDescent="0.25">
      <c r="C80" s="93"/>
      <c r="D80" s="7"/>
      <c r="E80" s="8"/>
    </row>
    <row r="81" spans="3:5" x14ac:dyDescent="0.25">
      <c r="C81" s="93"/>
      <c r="D81" s="7"/>
      <c r="E81" s="8"/>
    </row>
    <row r="82" spans="3:5" x14ac:dyDescent="0.25">
      <c r="C82" s="93"/>
      <c r="D82" s="7"/>
      <c r="E82" s="8"/>
    </row>
    <row r="83" spans="3:5" x14ac:dyDescent="0.25">
      <c r="C83" s="93"/>
      <c r="D83" s="7"/>
      <c r="E83" s="8"/>
    </row>
    <row r="84" spans="3:5" x14ac:dyDescent="0.25">
      <c r="C84" s="93"/>
      <c r="D84" s="7"/>
      <c r="E84" s="8"/>
    </row>
    <row r="85" spans="3:5" x14ac:dyDescent="0.25">
      <c r="C85" s="93"/>
      <c r="D85" s="7"/>
      <c r="E85" s="8"/>
    </row>
    <row r="86" spans="3:5" x14ac:dyDescent="0.25">
      <c r="C86" s="95"/>
      <c r="D86" s="7"/>
      <c r="E86" s="8"/>
    </row>
    <row r="87" spans="3:5" x14ac:dyDescent="0.25">
      <c r="C87" s="93"/>
      <c r="D87" s="7"/>
      <c r="E87" s="8"/>
    </row>
    <row r="88" spans="3:5" x14ac:dyDescent="0.25">
      <c r="C88" s="93"/>
      <c r="D88" s="7"/>
      <c r="E88" s="8"/>
    </row>
    <row r="89" spans="3:5" x14ac:dyDescent="0.25">
      <c r="C89" s="93"/>
      <c r="D89" s="7"/>
      <c r="E89" s="8"/>
    </row>
    <row r="90" spans="3:5" x14ac:dyDescent="0.25">
      <c r="C90" s="93"/>
      <c r="D90" s="7"/>
      <c r="E90" s="8"/>
    </row>
    <row r="91" spans="3:5" x14ac:dyDescent="0.25">
      <c r="C91" s="93"/>
      <c r="D91" s="7"/>
      <c r="E91" s="8"/>
    </row>
    <row r="92" spans="3:5" x14ac:dyDescent="0.25">
      <c r="C92" s="93"/>
      <c r="D92" s="7"/>
      <c r="E92" s="8"/>
    </row>
    <row r="93" spans="3:5" x14ac:dyDescent="0.25">
      <c r="C93" s="93"/>
      <c r="D93" s="7"/>
      <c r="E93" s="8"/>
    </row>
    <row r="94" spans="3:5" x14ac:dyDescent="0.25">
      <c r="C94" s="93"/>
      <c r="D94" s="7"/>
      <c r="E94" s="8"/>
    </row>
    <row r="95" spans="3:5" x14ac:dyDescent="0.25">
      <c r="C95" s="93"/>
      <c r="D95" s="7"/>
      <c r="E95" s="8"/>
    </row>
    <row r="96" spans="3:5" x14ac:dyDescent="0.25">
      <c r="C96" s="93"/>
      <c r="D96" s="11"/>
      <c r="E96" s="8"/>
    </row>
    <row r="97" spans="3:5" x14ac:dyDescent="0.25">
      <c r="C97" s="93"/>
      <c r="D97" s="11"/>
      <c r="E97" s="8"/>
    </row>
    <row r="98" spans="3:5" x14ac:dyDescent="0.25">
      <c r="C98" s="93"/>
      <c r="D98" s="11"/>
      <c r="E98" s="8"/>
    </row>
    <row r="99" spans="3:5" x14ac:dyDescent="0.25">
      <c r="C99" s="93"/>
      <c r="D99" s="11"/>
      <c r="E99" s="8"/>
    </row>
    <row r="100" spans="3:5" x14ac:dyDescent="0.25">
      <c r="C100" s="93"/>
      <c r="D100" s="11"/>
      <c r="E100" s="8"/>
    </row>
    <row r="101" spans="3:5" x14ac:dyDescent="0.25">
      <c r="C101" s="93"/>
      <c r="D101" s="11"/>
      <c r="E101" s="8"/>
    </row>
    <row r="102" spans="3:5" x14ac:dyDescent="0.25">
      <c r="C102" s="93"/>
      <c r="D102" s="11"/>
      <c r="E102" s="8"/>
    </row>
    <row r="103" spans="3:5" x14ac:dyDescent="0.25">
      <c r="C103" s="93"/>
      <c r="D103" s="11"/>
      <c r="E103" s="8"/>
    </row>
    <row r="104" spans="3:5" x14ac:dyDescent="0.25">
      <c r="C104" s="93"/>
      <c r="D104" s="11"/>
      <c r="E104" s="8"/>
    </row>
    <row r="105" spans="3:5" x14ac:dyDescent="0.25">
      <c r="C105" s="93"/>
      <c r="D105" s="11"/>
      <c r="E105" s="8"/>
    </row>
    <row r="106" spans="3:5" x14ac:dyDescent="0.25">
      <c r="C106" s="93"/>
      <c r="D106" s="11"/>
      <c r="E106" s="8"/>
    </row>
    <row r="107" spans="3:5" x14ac:dyDescent="0.25">
      <c r="C107" s="93"/>
      <c r="D107" s="11"/>
      <c r="E107" s="8"/>
    </row>
    <row r="108" spans="3:5" x14ac:dyDescent="0.25">
      <c r="C108" s="93"/>
      <c r="D108" s="11"/>
      <c r="E108" s="8"/>
    </row>
    <row r="109" spans="3:5" x14ac:dyDescent="0.25">
      <c r="C109" s="93"/>
      <c r="D109" s="11"/>
      <c r="E109" s="8"/>
    </row>
    <row r="110" spans="3:5" x14ac:dyDescent="0.25">
      <c r="C110" s="93"/>
      <c r="D110" s="11"/>
      <c r="E110" s="8"/>
    </row>
    <row r="111" spans="3:5" x14ac:dyDescent="0.25">
      <c r="C111" s="93"/>
      <c r="D111" s="11"/>
      <c r="E111" s="8"/>
    </row>
    <row r="112" spans="3:5" x14ac:dyDescent="0.25">
      <c r="C112" s="93"/>
      <c r="D112" s="11"/>
      <c r="E112" s="8"/>
    </row>
    <row r="113" spans="3:5" x14ac:dyDescent="0.25">
      <c r="C113" s="93"/>
      <c r="D113" s="11"/>
      <c r="E113" s="8"/>
    </row>
    <row r="114" spans="3:5" x14ac:dyDescent="0.25">
      <c r="C114" s="93"/>
      <c r="D114" s="11"/>
      <c r="E114" s="8"/>
    </row>
    <row r="115" spans="3:5" x14ac:dyDescent="0.25">
      <c r="C115" s="93"/>
      <c r="D115" s="11"/>
      <c r="E115" s="8"/>
    </row>
    <row r="116" spans="3:5" x14ac:dyDescent="0.25">
      <c r="C116" s="93"/>
      <c r="D116" s="11"/>
      <c r="E116" s="8"/>
    </row>
    <row r="117" spans="3:5" x14ac:dyDescent="0.25">
      <c r="C117" s="93"/>
      <c r="D117" s="11"/>
      <c r="E117" s="8"/>
    </row>
    <row r="118" spans="3:5" x14ac:dyDescent="0.25">
      <c r="C118" s="93"/>
      <c r="D118" s="11"/>
      <c r="E118" s="8"/>
    </row>
    <row r="119" spans="3:5" x14ac:dyDescent="0.25">
      <c r="C119" s="93"/>
      <c r="D119" s="11"/>
      <c r="E119" s="8"/>
    </row>
    <row r="120" spans="3:5" x14ac:dyDescent="0.25">
      <c r="C120" s="93"/>
      <c r="D120" s="11"/>
      <c r="E120" s="8"/>
    </row>
    <row r="121" spans="3:5" x14ac:dyDescent="0.25">
      <c r="C121" s="93"/>
      <c r="D121" s="11"/>
      <c r="E121" s="8"/>
    </row>
    <row r="122" spans="3:5" x14ac:dyDescent="0.25">
      <c r="C122" s="93"/>
      <c r="D122" s="11"/>
      <c r="E122" s="8"/>
    </row>
    <row r="123" spans="3:5" x14ac:dyDescent="0.25">
      <c r="C123" s="93"/>
      <c r="D123" s="7"/>
      <c r="E123" s="8"/>
    </row>
    <row r="124" spans="3:5" x14ac:dyDescent="0.25">
      <c r="C124" s="93"/>
      <c r="D124" s="7"/>
      <c r="E124" s="8"/>
    </row>
    <row r="125" spans="3:5" x14ac:dyDescent="0.25">
      <c r="C125" s="93"/>
      <c r="D125" s="7"/>
      <c r="E125" s="8"/>
    </row>
    <row r="126" spans="3:5" x14ac:dyDescent="0.25">
      <c r="C126" s="93"/>
      <c r="D126" s="7"/>
      <c r="E126" s="8"/>
    </row>
    <row r="127" spans="3:5" x14ac:dyDescent="0.25">
      <c r="C127" s="93"/>
      <c r="D127" s="7"/>
      <c r="E127" s="8"/>
    </row>
    <row r="128" spans="3:5" x14ac:dyDescent="0.25">
      <c r="C128" s="93"/>
      <c r="D128" s="7"/>
      <c r="E128" s="8"/>
    </row>
    <row r="129" spans="3:5" x14ac:dyDescent="0.25">
      <c r="C129" s="93"/>
      <c r="D129" s="11"/>
      <c r="E129" s="8"/>
    </row>
    <row r="130" spans="3:5" x14ac:dyDescent="0.25">
      <c r="C130" s="93"/>
      <c r="D130" s="7"/>
      <c r="E130" s="8"/>
    </row>
    <row r="131" spans="3:5" x14ac:dyDescent="0.25">
      <c r="C131" s="93"/>
      <c r="D131" s="7"/>
      <c r="E131" s="8"/>
    </row>
    <row r="132" spans="3:5" x14ac:dyDescent="0.25">
      <c r="C132" s="93"/>
      <c r="D132" s="7"/>
      <c r="E132" s="8"/>
    </row>
    <row r="133" spans="3:5" x14ac:dyDescent="0.25">
      <c r="C133" s="93"/>
      <c r="D133" s="7"/>
      <c r="E133" s="8"/>
    </row>
    <row r="134" spans="3:5" x14ac:dyDescent="0.25">
      <c r="C134" s="93"/>
      <c r="D134" s="7"/>
      <c r="E134" s="8"/>
    </row>
    <row r="135" spans="3:5" x14ac:dyDescent="0.25">
      <c r="C135" s="93"/>
      <c r="D135" s="7"/>
      <c r="E135" s="8"/>
    </row>
    <row r="136" spans="3:5" x14ac:dyDescent="0.25">
      <c r="C136" s="93"/>
      <c r="D136" s="11"/>
      <c r="E136" s="8"/>
    </row>
    <row r="137" spans="3:5" x14ac:dyDescent="0.25">
      <c r="C137" s="93"/>
      <c r="D137" s="7"/>
      <c r="E137" s="8"/>
    </row>
    <row r="138" spans="3:5" x14ac:dyDescent="0.25">
      <c r="C138" s="93"/>
      <c r="D138" s="7"/>
      <c r="E138" s="8"/>
    </row>
    <row r="139" spans="3:5" x14ac:dyDescent="0.25">
      <c r="C139" s="93"/>
      <c r="D139" s="7"/>
      <c r="E139" s="8"/>
    </row>
    <row r="140" spans="3:5" x14ac:dyDescent="0.25">
      <c r="C140" s="93"/>
      <c r="D140" s="7"/>
      <c r="E140" s="8"/>
    </row>
    <row r="141" spans="3:5" x14ac:dyDescent="0.25">
      <c r="C141" s="93"/>
      <c r="D141" s="7"/>
      <c r="E141" s="8"/>
    </row>
    <row r="142" spans="3:5" x14ac:dyDescent="0.25">
      <c r="C142" s="93"/>
      <c r="D142" s="7"/>
      <c r="E142" s="8"/>
    </row>
    <row r="143" spans="3:5" x14ac:dyDescent="0.25">
      <c r="C143" s="93"/>
      <c r="D143" s="11"/>
      <c r="E143" s="8"/>
    </row>
    <row r="144" spans="3:5" x14ac:dyDescent="0.25">
      <c r="C144" s="93"/>
      <c r="D144" s="7"/>
      <c r="E144" s="8"/>
    </row>
    <row r="145" spans="3:5" x14ac:dyDescent="0.25">
      <c r="C145" s="93"/>
      <c r="D145" s="7"/>
      <c r="E145" s="8"/>
    </row>
    <row r="146" spans="3:5" x14ac:dyDescent="0.25">
      <c r="C146" s="93"/>
      <c r="D146" s="7"/>
      <c r="E146" s="8"/>
    </row>
    <row r="147" spans="3:5" x14ac:dyDescent="0.25">
      <c r="C147" s="93"/>
      <c r="D147" s="7"/>
      <c r="E147" s="8"/>
    </row>
    <row r="148" spans="3:5" x14ac:dyDescent="0.25">
      <c r="C148" s="93"/>
      <c r="D148" s="11"/>
      <c r="E148" s="8"/>
    </row>
    <row r="149" spans="3:5" x14ac:dyDescent="0.25">
      <c r="C149" s="93"/>
      <c r="D149" s="7"/>
      <c r="E149" s="8"/>
    </row>
    <row r="150" spans="3:5" x14ac:dyDescent="0.25">
      <c r="C150" s="93"/>
      <c r="D150" s="7"/>
      <c r="E150" s="8"/>
    </row>
    <row r="151" spans="3:5" x14ac:dyDescent="0.25">
      <c r="C151" s="93"/>
      <c r="D151" s="7"/>
      <c r="E151" s="8"/>
    </row>
    <row r="152" spans="3:5" x14ac:dyDescent="0.25">
      <c r="C152" s="93"/>
      <c r="D152" s="7"/>
      <c r="E152" s="8"/>
    </row>
    <row r="153" spans="3:5" x14ac:dyDescent="0.25">
      <c r="C153" s="93"/>
      <c r="D153" s="7"/>
      <c r="E153" s="8"/>
    </row>
    <row r="154" spans="3:5" x14ac:dyDescent="0.25">
      <c r="C154" s="93"/>
      <c r="D154" s="11"/>
      <c r="E154" s="8"/>
    </row>
    <row r="155" spans="3:5" x14ac:dyDescent="0.25">
      <c r="C155" s="93"/>
      <c r="D155" s="7"/>
      <c r="E155" s="8"/>
    </row>
    <row r="156" spans="3:5" x14ac:dyDescent="0.25">
      <c r="C156" s="93"/>
      <c r="D156" s="7"/>
      <c r="E156" s="8"/>
    </row>
    <row r="157" spans="3:5" x14ac:dyDescent="0.25">
      <c r="C157" s="93"/>
      <c r="D157" s="7"/>
      <c r="E157" s="8"/>
    </row>
    <row r="158" spans="3:5" x14ac:dyDescent="0.25">
      <c r="C158" s="93"/>
      <c r="D158" s="7"/>
      <c r="E158" s="8"/>
    </row>
    <row r="159" spans="3:5" x14ac:dyDescent="0.25">
      <c r="C159" s="93"/>
      <c r="D159" s="7"/>
      <c r="E159" s="8"/>
    </row>
    <row r="160" spans="3:5" x14ac:dyDescent="0.25">
      <c r="C160" s="93"/>
      <c r="D160" s="7"/>
      <c r="E160" s="8"/>
    </row>
    <row r="161" spans="3:5" x14ac:dyDescent="0.25">
      <c r="C161" s="93"/>
      <c r="D161" s="11"/>
      <c r="E161" s="8"/>
    </row>
    <row r="162" spans="3:5" x14ac:dyDescent="0.25">
      <c r="C162" s="93"/>
      <c r="D162" s="7"/>
      <c r="E162" s="8"/>
    </row>
    <row r="163" spans="3:5" x14ac:dyDescent="0.25">
      <c r="C163" s="93"/>
      <c r="D163" s="7"/>
      <c r="E163" s="8"/>
    </row>
    <row r="164" spans="3:5" x14ac:dyDescent="0.25">
      <c r="C164" s="93"/>
      <c r="D164" s="7"/>
      <c r="E164" s="8"/>
    </row>
    <row r="165" spans="3:5" x14ac:dyDescent="0.25">
      <c r="C165" s="93"/>
      <c r="D165" s="7"/>
      <c r="E165" s="8"/>
    </row>
    <row r="166" spans="3:5" x14ac:dyDescent="0.25">
      <c r="C166" s="93"/>
      <c r="D166" s="7"/>
      <c r="E166" s="8"/>
    </row>
    <row r="167" spans="3:5" x14ac:dyDescent="0.25">
      <c r="C167" s="93"/>
      <c r="D167" s="11"/>
      <c r="E167" s="8"/>
    </row>
    <row r="168" spans="3:5" x14ac:dyDescent="0.25">
      <c r="C168" s="93"/>
      <c r="D168" s="7"/>
      <c r="E168" s="8"/>
    </row>
    <row r="169" spans="3:5" x14ac:dyDescent="0.25">
      <c r="C169" s="93"/>
      <c r="D169" s="7"/>
      <c r="E169" s="8"/>
    </row>
    <row r="170" spans="3:5" x14ac:dyDescent="0.25">
      <c r="C170" s="93"/>
      <c r="D170" s="7"/>
      <c r="E170" s="8"/>
    </row>
    <row r="171" spans="3:5" x14ac:dyDescent="0.25">
      <c r="C171" s="93"/>
      <c r="D171" s="7"/>
      <c r="E171" s="8"/>
    </row>
    <row r="172" spans="3:5" x14ac:dyDescent="0.25">
      <c r="C172" s="93"/>
      <c r="D172" s="7"/>
      <c r="E172" s="8"/>
    </row>
    <row r="173" spans="3:5" x14ac:dyDescent="0.25">
      <c r="C173" s="93"/>
      <c r="D173" s="7"/>
      <c r="E173" s="8"/>
    </row>
    <row r="174" spans="3:5" x14ac:dyDescent="0.25">
      <c r="C174" s="93"/>
      <c r="D174" s="11"/>
      <c r="E174" s="8"/>
    </row>
    <row r="175" spans="3:5" x14ac:dyDescent="0.25">
      <c r="C175" s="93"/>
      <c r="D175" s="7"/>
      <c r="E175" s="8"/>
    </row>
    <row r="176" spans="3:5" x14ac:dyDescent="0.25">
      <c r="C176" s="93"/>
      <c r="D176" s="7"/>
      <c r="E176" s="8"/>
    </row>
    <row r="177" spans="3:5" x14ac:dyDescent="0.25">
      <c r="C177" s="93"/>
      <c r="D177" s="7"/>
      <c r="E177" s="8"/>
    </row>
    <row r="178" spans="3:5" x14ac:dyDescent="0.25">
      <c r="C178" s="93"/>
      <c r="D178" s="7"/>
      <c r="E178" s="8"/>
    </row>
    <row r="179" spans="3:5" x14ac:dyDescent="0.25">
      <c r="C179" s="93"/>
      <c r="D179" s="7"/>
      <c r="E179" s="8"/>
    </row>
    <row r="180" spans="3:5" x14ac:dyDescent="0.25">
      <c r="C180" s="93"/>
      <c r="D180" s="11"/>
      <c r="E180" s="8"/>
    </row>
    <row r="181" spans="3:5" x14ac:dyDescent="0.25">
      <c r="C181" s="93"/>
      <c r="D181" s="7"/>
      <c r="E181" s="8"/>
    </row>
    <row r="182" spans="3:5" x14ac:dyDescent="0.25">
      <c r="C182" s="93"/>
      <c r="D182" s="7"/>
      <c r="E182" s="8"/>
    </row>
    <row r="183" spans="3:5" x14ac:dyDescent="0.25">
      <c r="C183" s="93"/>
      <c r="D183" s="7"/>
      <c r="E183" s="8"/>
    </row>
    <row r="184" spans="3:5" x14ac:dyDescent="0.25">
      <c r="C184" s="93"/>
      <c r="D184" s="7"/>
      <c r="E184" s="8"/>
    </row>
    <row r="185" spans="3:5" x14ac:dyDescent="0.25">
      <c r="C185" s="93"/>
      <c r="D185" s="11"/>
      <c r="E185" s="8"/>
    </row>
    <row r="186" spans="3:5" x14ac:dyDescent="0.25">
      <c r="C186" s="93"/>
      <c r="D186" s="7"/>
      <c r="E186" s="8"/>
    </row>
    <row r="187" spans="3:5" x14ac:dyDescent="0.25">
      <c r="C187" s="93"/>
      <c r="D187" s="7"/>
      <c r="E187" s="8"/>
    </row>
    <row r="188" spans="3:5" x14ac:dyDescent="0.25">
      <c r="C188" s="93"/>
      <c r="D188" s="7"/>
      <c r="E188" s="8"/>
    </row>
    <row r="189" spans="3:5" x14ac:dyDescent="0.25">
      <c r="C189" s="93"/>
      <c r="D189" s="7"/>
      <c r="E189" s="8"/>
    </row>
    <row r="190" spans="3:5" x14ac:dyDescent="0.25">
      <c r="C190" s="93"/>
      <c r="D190" s="7"/>
      <c r="E190" s="8"/>
    </row>
    <row r="191" spans="3:5" x14ac:dyDescent="0.25">
      <c r="C191" s="93"/>
      <c r="D191" s="7"/>
      <c r="E191" s="8"/>
    </row>
    <row r="192" spans="3:5" x14ac:dyDescent="0.25">
      <c r="C192" s="93"/>
      <c r="D192" s="11"/>
      <c r="E192" s="8"/>
    </row>
    <row r="193" spans="3:5" x14ac:dyDescent="0.25">
      <c r="C193" s="93"/>
      <c r="D193" s="7"/>
      <c r="E193" s="8"/>
    </row>
    <row r="194" spans="3:5" x14ac:dyDescent="0.25">
      <c r="C194" s="93"/>
      <c r="D194" s="7"/>
      <c r="E194" s="8"/>
    </row>
    <row r="195" spans="3:5" x14ac:dyDescent="0.25">
      <c r="C195" s="93"/>
      <c r="D195" s="7"/>
      <c r="E195" s="8"/>
    </row>
    <row r="196" spans="3:5" x14ac:dyDescent="0.25">
      <c r="C196" s="93"/>
      <c r="D196" s="7"/>
      <c r="E196" s="8"/>
    </row>
    <row r="197" spans="3:5" x14ac:dyDescent="0.25">
      <c r="C197" s="93"/>
      <c r="D197" s="7"/>
      <c r="E197" s="8"/>
    </row>
    <row r="198" spans="3:5" x14ac:dyDescent="0.25">
      <c r="C198" s="93"/>
      <c r="D198" s="7"/>
      <c r="E198" s="8"/>
    </row>
    <row r="199" spans="3:5" x14ac:dyDescent="0.25">
      <c r="C199" s="93"/>
      <c r="D199" s="11"/>
      <c r="E199" s="8"/>
    </row>
    <row r="200" spans="3:5" x14ac:dyDescent="0.25">
      <c r="C200" s="93"/>
      <c r="D200" s="7"/>
      <c r="E200" s="8"/>
    </row>
    <row r="201" spans="3:5" x14ac:dyDescent="0.25">
      <c r="C201" s="93"/>
      <c r="D201" s="7"/>
      <c r="E201" s="8"/>
    </row>
    <row r="202" spans="3:5" x14ac:dyDescent="0.25">
      <c r="C202" s="93"/>
      <c r="D202" s="7"/>
      <c r="E202" s="8"/>
    </row>
    <row r="203" spans="3:5" x14ac:dyDescent="0.25">
      <c r="C203" s="93"/>
      <c r="D203" s="7"/>
      <c r="E203" s="8"/>
    </row>
    <row r="204" spans="3:5" x14ac:dyDescent="0.25">
      <c r="C204" s="93"/>
      <c r="D204" s="7"/>
      <c r="E204" s="8"/>
    </row>
    <row r="205" spans="3:5" x14ac:dyDescent="0.25">
      <c r="C205" s="93"/>
      <c r="D205" s="7"/>
      <c r="E205" s="8"/>
    </row>
    <row r="206" spans="3:5" x14ac:dyDescent="0.25">
      <c r="C206" s="93"/>
      <c r="D206" s="11"/>
      <c r="E206" s="8"/>
    </row>
    <row r="207" spans="3:5" x14ac:dyDescent="0.25">
      <c r="C207" s="95"/>
      <c r="E207" s="8"/>
    </row>
    <row r="208" spans="3:5" x14ac:dyDescent="0.25">
      <c r="C208" s="93"/>
      <c r="D208" s="7"/>
      <c r="E208" s="8"/>
    </row>
    <row r="209" spans="3:5" x14ac:dyDescent="0.25">
      <c r="C209" s="93"/>
      <c r="D209" s="7"/>
      <c r="E209" s="8"/>
    </row>
    <row r="210" spans="3:5" x14ac:dyDescent="0.25">
      <c r="C210" s="93"/>
      <c r="D210" s="7"/>
      <c r="E210" s="8"/>
    </row>
    <row r="211" spans="3:5" x14ac:dyDescent="0.25">
      <c r="C211" s="93"/>
      <c r="D211" s="7"/>
      <c r="E211" s="8"/>
    </row>
    <row r="212" spans="3:5" x14ac:dyDescent="0.25">
      <c r="C212" s="93"/>
      <c r="D212" s="7"/>
      <c r="E212" s="8"/>
    </row>
    <row r="213" spans="3:5" x14ac:dyDescent="0.25">
      <c r="C213" s="93"/>
      <c r="D213" s="7"/>
      <c r="E213" s="8"/>
    </row>
    <row r="214" spans="3:5" x14ac:dyDescent="0.25">
      <c r="C214" s="93"/>
      <c r="D214" s="11"/>
      <c r="E214" s="8"/>
    </row>
    <row r="215" spans="3:5" x14ac:dyDescent="0.25">
      <c r="C215" s="93"/>
      <c r="D215" s="7"/>
      <c r="E215" s="8"/>
    </row>
    <row r="216" spans="3:5" x14ac:dyDescent="0.25">
      <c r="C216" s="93"/>
      <c r="D216" s="7"/>
      <c r="E216" s="8"/>
    </row>
    <row r="217" spans="3:5" x14ac:dyDescent="0.25">
      <c r="C217" s="93"/>
      <c r="D217" s="7"/>
      <c r="E217" s="8"/>
    </row>
    <row r="218" spans="3:5" x14ac:dyDescent="0.25">
      <c r="C218" s="93"/>
      <c r="D218" s="7"/>
      <c r="E218" s="8"/>
    </row>
  </sheetData>
  <conditionalFormatting sqref="D9:D15 C21:C47 C55:C78 C49:C50">
    <cfRule type="containsText" dxfId="21" priority="29" operator="containsText" text="Outros">
      <formula>NOT(ISERROR(SEARCH("Outros",C9)))</formula>
    </cfRule>
  </conditionalFormatting>
  <conditionalFormatting sqref="C124:C218">
    <cfRule type="containsText" dxfId="20" priority="15" operator="containsText" text="Outros">
      <formula>NOT(ISERROR(SEARCH("Outros",C124)))</formula>
    </cfRule>
  </conditionalFormatting>
  <conditionalFormatting sqref="C3:D3 D4:D8 C4:C7 D14">
    <cfRule type="containsText" dxfId="19" priority="50" operator="containsText" text="Outros">
      <formula>NOT(ISERROR(SEARCH("Outros",C3)))</formula>
    </cfRule>
  </conditionalFormatting>
  <conditionalFormatting sqref="C96:D121 C82:C95">
    <cfRule type="containsText" dxfId="18" priority="24" operator="containsText" text="Outros">
      <formula>NOT(ISERROR(SEARCH("Outros",C82)))</formula>
    </cfRule>
  </conditionalFormatting>
  <conditionalFormatting sqref="D124:D218">
    <cfRule type="containsText" dxfId="17" priority="14" operator="containsText" text="Outros">
      <formula>NOT(ISERROR(SEARCH("Outros",D124)))</formula>
    </cfRule>
  </conditionalFormatting>
  <conditionalFormatting sqref="C8:C9">
    <cfRule type="containsText" dxfId="16" priority="13" operator="containsText" text="Outros">
      <formula>NOT(ISERROR(SEARCH("Outros",C8)))</formula>
    </cfRule>
  </conditionalFormatting>
  <conditionalFormatting sqref="C13:C16">
    <cfRule type="containsText" dxfId="15" priority="12" operator="containsText" text="Outros">
      <formula>NOT(ISERROR(SEARCH("Outros",C13)))</formula>
    </cfRule>
  </conditionalFormatting>
  <conditionalFormatting sqref="D13">
    <cfRule type="containsText" dxfId="14" priority="11" operator="containsText" text="Outros">
      <formula>NOT(ISERROR(SEARCH("Outros",D13)))</formula>
    </cfRule>
  </conditionalFormatting>
  <conditionalFormatting sqref="D15">
    <cfRule type="containsText" dxfId="13" priority="10" operator="containsText" text="Outros">
      <formula>NOT(ISERROR(SEARCH("Outros",D15)))</formula>
    </cfRule>
  </conditionalFormatting>
  <conditionalFormatting sqref="C17:C20">
    <cfRule type="containsText" dxfId="12" priority="9" operator="containsText" text="Outros">
      <formula>NOT(ISERROR(SEARCH("Outros",C17)))</formula>
    </cfRule>
  </conditionalFormatting>
  <conditionalFormatting sqref="C48">
    <cfRule type="containsText" dxfId="11" priority="6" operator="containsText" text="Outros">
      <formula>NOT(ISERROR(SEARCH("Outros",C48)))</formula>
    </cfRule>
  </conditionalFormatting>
  <conditionalFormatting sqref="C51:C54">
    <cfRule type="containsText" dxfId="10" priority="3" operator="containsText" text="Outros">
      <formula>NOT(ISERROR(SEARCH("Outros",C51)))</formula>
    </cfRule>
  </conditionalFormatting>
  <conditionalFormatting sqref="D16:D95">
    <cfRule type="containsText" dxfId="9" priority="2" operator="containsText" text="Outros">
      <formula>NOT(ISERROR(SEARCH("Outros",D16)))</formula>
    </cfRule>
  </conditionalFormatting>
  <conditionalFormatting sqref="D16:D95">
    <cfRule type="containsText" dxfId="8" priority="1" operator="containsText" text="Outros">
      <formula>NOT(ISERROR(SEARCH("Outros",D16)))</formula>
    </cfRule>
  </conditionalFormatting>
  <pageMargins left="0.511811024" right="0.511811024" top="0.78740157499999996" bottom="0.78740157499999996" header="0.31496062000000002" footer="0.31496062000000002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2C88E-BEEC-490A-B273-E6D9A668AE28}">
  <sheetPr>
    <tabColor theme="2"/>
  </sheetPr>
  <dimension ref="B2:H27"/>
  <sheetViews>
    <sheetView showGridLines="0" topLeftCell="A4" workbookViewId="0">
      <selection activeCell="G18" sqref="G18"/>
    </sheetView>
  </sheetViews>
  <sheetFormatPr defaultRowHeight="15" x14ac:dyDescent="0.25"/>
  <cols>
    <col min="1" max="1" width="2.7109375" style="1" customWidth="1"/>
    <col min="2" max="2" width="19.140625" style="1" customWidth="1"/>
    <col min="3" max="3" width="54.7109375" style="1" bestFit="1" customWidth="1"/>
    <col min="4" max="4" width="15.42578125" style="3" customWidth="1"/>
    <col min="5" max="5" width="14.28515625" style="18" bestFit="1" customWidth="1"/>
    <col min="6" max="6" width="2.7109375" style="1" customWidth="1"/>
    <col min="7" max="7" width="18.28515625" style="1" bestFit="1" customWidth="1"/>
    <col min="8" max="8" width="14.140625" style="1" bestFit="1" customWidth="1"/>
    <col min="9" max="16384" width="9.140625" style="1"/>
  </cols>
  <sheetData>
    <row r="2" spans="2:8" x14ac:dyDescent="0.25">
      <c r="B2" s="4" t="s">
        <v>1</v>
      </c>
      <c r="C2" s="4" t="s">
        <v>2</v>
      </c>
      <c r="D2" s="3" t="s">
        <v>3</v>
      </c>
      <c r="E2" s="15" t="s">
        <v>4</v>
      </c>
      <c r="G2" s="5" t="s">
        <v>5</v>
      </c>
      <c r="H2" s="1" t="s">
        <v>7</v>
      </c>
    </row>
    <row r="3" spans="2:8" x14ac:dyDescent="0.25">
      <c r="B3" s="14" t="s">
        <v>40</v>
      </c>
      <c r="C3" s="14" t="s">
        <v>48</v>
      </c>
      <c r="D3" s="7">
        <v>46113</v>
      </c>
      <c r="E3" s="16">
        <v>1000</v>
      </c>
      <c r="G3" s="9" t="s">
        <v>8</v>
      </c>
      <c r="H3" s="10"/>
    </row>
    <row r="4" spans="2:8" x14ac:dyDescent="0.25">
      <c r="B4" s="14" t="s">
        <v>47</v>
      </c>
      <c r="C4" s="14" t="s">
        <v>46</v>
      </c>
      <c r="D4" s="7">
        <v>46113</v>
      </c>
      <c r="E4" s="16">
        <v>410</v>
      </c>
      <c r="G4" s="9" t="s">
        <v>47</v>
      </c>
      <c r="H4" s="10">
        <v>6467</v>
      </c>
    </row>
    <row r="5" spans="2:8" x14ac:dyDescent="0.25">
      <c r="B5" s="14" t="s">
        <v>40</v>
      </c>
      <c r="C5" s="14" t="s">
        <v>57</v>
      </c>
      <c r="D5" s="7">
        <v>46120</v>
      </c>
      <c r="E5" s="16">
        <v>750</v>
      </c>
      <c r="G5" s="9" t="s">
        <v>40</v>
      </c>
      <c r="H5" s="10">
        <v>1750</v>
      </c>
    </row>
    <row r="6" spans="2:8" x14ac:dyDescent="0.25">
      <c r="B6" s="14" t="s">
        <v>70</v>
      </c>
      <c r="C6" s="14" t="s">
        <v>72</v>
      </c>
      <c r="D6" s="7">
        <v>46115</v>
      </c>
      <c r="E6" s="16">
        <v>3000</v>
      </c>
      <c r="F6" s="10"/>
      <c r="G6" s="9" t="s">
        <v>70</v>
      </c>
      <c r="H6" s="10">
        <v>9000</v>
      </c>
    </row>
    <row r="7" spans="2:8" x14ac:dyDescent="0.25">
      <c r="B7" s="14" t="s">
        <v>70</v>
      </c>
      <c r="C7" s="14" t="s">
        <v>71</v>
      </c>
      <c r="D7" s="7">
        <v>46119</v>
      </c>
      <c r="E7" s="16">
        <v>3000</v>
      </c>
      <c r="G7" s="9" t="s">
        <v>75</v>
      </c>
      <c r="H7" s="10">
        <v>493.3</v>
      </c>
    </row>
    <row r="8" spans="2:8" x14ac:dyDescent="0.25">
      <c r="B8" s="14" t="s">
        <v>70</v>
      </c>
      <c r="C8" s="14" t="s">
        <v>73</v>
      </c>
      <c r="D8" s="7">
        <v>46147</v>
      </c>
      <c r="E8" s="16">
        <v>3000</v>
      </c>
      <c r="G8" s="9" t="s">
        <v>6</v>
      </c>
      <c r="H8" s="10">
        <v>17710.3</v>
      </c>
    </row>
    <row r="9" spans="2:8" x14ac:dyDescent="0.25">
      <c r="B9" s="14" t="s">
        <v>75</v>
      </c>
      <c r="C9" s="14" t="s">
        <v>76</v>
      </c>
      <c r="D9" s="7">
        <v>46125</v>
      </c>
      <c r="E9" s="16">
        <v>493.3</v>
      </c>
      <c r="G9" s="19"/>
    </row>
    <row r="10" spans="2:8" x14ac:dyDescent="0.25">
      <c r="B10" s="14" t="s">
        <v>47</v>
      </c>
      <c r="C10" s="14" t="s">
        <v>46</v>
      </c>
      <c r="D10" s="7">
        <v>46127</v>
      </c>
      <c r="E10" s="16">
        <v>864</v>
      </c>
    </row>
    <row r="11" spans="2:8" x14ac:dyDescent="0.25">
      <c r="B11" s="14" t="s">
        <v>47</v>
      </c>
      <c r="C11" s="14" t="s">
        <v>46</v>
      </c>
      <c r="D11" s="7">
        <v>46135</v>
      </c>
      <c r="E11" s="16">
        <v>345</v>
      </c>
    </row>
    <row r="12" spans="2:8" x14ac:dyDescent="0.25">
      <c r="B12" s="14" t="s">
        <v>47</v>
      </c>
      <c r="C12" s="14" t="s">
        <v>46</v>
      </c>
      <c r="D12" s="7">
        <v>46141</v>
      </c>
      <c r="E12" s="15">
        <v>240</v>
      </c>
    </row>
    <row r="13" spans="2:8" x14ac:dyDescent="0.25">
      <c r="B13" s="14" t="s">
        <v>47</v>
      </c>
      <c r="C13" s="14" t="s">
        <v>46</v>
      </c>
      <c r="D13" s="7">
        <v>46149</v>
      </c>
      <c r="E13" s="15">
        <v>410</v>
      </c>
    </row>
    <row r="14" spans="2:8" x14ac:dyDescent="0.25">
      <c r="B14" s="14" t="s">
        <v>47</v>
      </c>
      <c r="C14" s="14" t="s">
        <v>46</v>
      </c>
      <c r="D14" s="7">
        <v>46162</v>
      </c>
      <c r="E14" s="15">
        <v>642</v>
      </c>
    </row>
    <row r="15" spans="2:8" x14ac:dyDescent="0.25">
      <c r="B15" s="14" t="s">
        <v>47</v>
      </c>
      <c r="C15" s="129" t="s">
        <v>88</v>
      </c>
      <c r="D15" s="7">
        <v>46149</v>
      </c>
      <c r="E15" s="15">
        <v>900</v>
      </c>
    </row>
    <row r="16" spans="2:8" x14ac:dyDescent="0.25">
      <c r="B16" s="14" t="s">
        <v>47</v>
      </c>
      <c r="C16" s="129" t="s">
        <v>89</v>
      </c>
      <c r="D16" s="7">
        <v>46146</v>
      </c>
      <c r="E16" s="15">
        <v>800</v>
      </c>
    </row>
    <row r="17" spans="2:5" x14ac:dyDescent="0.25">
      <c r="B17" s="14" t="s">
        <v>47</v>
      </c>
      <c r="C17" s="129" t="s">
        <v>46</v>
      </c>
      <c r="D17" s="7">
        <v>46171</v>
      </c>
      <c r="E17" s="15">
        <v>804</v>
      </c>
    </row>
    <row r="18" spans="2:5" x14ac:dyDescent="0.25">
      <c r="B18" s="14" t="s">
        <v>47</v>
      </c>
      <c r="C18" s="129" t="s">
        <v>46</v>
      </c>
      <c r="D18" s="7">
        <v>46164</v>
      </c>
      <c r="E18" s="8">
        <v>642</v>
      </c>
    </row>
    <row r="19" spans="2:5" x14ac:dyDescent="0.25">
      <c r="B19" s="14" t="s">
        <v>47</v>
      </c>
      <c r="C19" s="95" t="s">
        <v>46</v>
      </c>
      <c r="D19" s="7">
        <v>46149</v>
      </c>
      <c r="E19" s="8">
        <v>410</v>
      </c>
    </row>
    <row r="20" spans="2:5" x14ac:dyDescent="0.25">
      <c r="B20" s="129"/>
      <c r="C20" s="129"/>
      <c r="D20" s="130"/>
      <c r="E20" s="15"/>
    </row>
    <row r="21" spans="2:5" x14ac:dyDescent="0.25">
      <c r="B21" s="129"/>
      <c r="C21" s="129"/>
      <c r="D21" s="130"/>
      <c r="E21" s="15"/>
    </row>
    <row r="22" spans="2:5" x14ac:dyDescent="0.25">
      <c r="B22" s="129"/>
      <c r="C22" s="129"/>
      <c r="D22" s="130"/>
      <c r="E22" s="15"/>
    </row>
    <row r="23" spans="2:5" x14ac:dyDescent="0.25">
      <c r="B23" s="129"/>
      <c r="C23" s="129"/>
      <c r="D23" s="130"/>
      <c r="E23" s="15"/>
    </row>
    <row r="24" spans="2:5" x14ac:dyDescent="0.25">
      <c r="B24" s="129"/>
      <c r="C24" s="129"/>
      <c r="D24" s="130"/>
      <c r="E24" s="15"/>
    </row>
    <row r="25" spans="2:5" x14ac:dyDescent="0.25">
      <c r="B25" s="129"/>
      <c r="C25" s="129"/>
      <c r="D25" s="130"/>
      <c r="E25" s="15"/>
    </row>
    <row r="26" spans="2:5" x14ac:dyDescent="0.25">
      <c r="B26" s="129"/>
      <c r="C26" s="129"/>
      <c r="D26" s="130"/>
      <c r="E26" s="15"/>
    </row>
    <row r="27" spans="2:5" x14ac:dyDescent="0.25">
      <c r="B27" s="129"/>
      <c r="C27" s="129"/>
      <c r="D27" s="130"/>
      <c r="E27" s="15"/>
    </row>
  </sheetData>
  <conditionalFormatting sqref="D18">
    <cfRule type="containsText" dxfId="7" priority="8" operator="containsText" text="Outros">
      <formula>NOT(ISERROR(SEARCH("Outros",D18)))</formula>
    </cfRule>
  </conditionalFormatting>
  <conditionalFormatting sqref="C19">
    <cfRule type="containsText" dxfId="6" priority="7" operator="containsText" text="Outros">
      <formula>NOT(ISERROR(SEARCH("Outros",C19)))</formula>
    </cfRule>
  </conditionalFormatting>
  <conditionalFormatting sqref="D19">
    <cfRule type="containsText" dxfId="5" priority="6" operator="containsText" text="Outros">
      <formula>NOT(ISERROR(SEARCH("Outros",D19)))</formula>
    </cfRule>
  </conditionalFormatting>
  <conditionalFormatting sqref="D19">
    <cfRule type="containsText" dxfId="4" priority="5" operator="containsText" text="Outros">
      <formula>NOT(ISERROR(SEARCH("Outros",D19)))</formula>
    </cfRule>
  </conditionalFormatting>
  <conditionalFormatting sqref="D4:D17">
    <cfRule type="containsText" dxfId="3" priority="4" operator="containsText" text="Outros">
      <formula>NOT(ISERROR(SEARCH("Outros",D4)))</formula>
    </cfRule>
  </conditionalFormatting>
  <conditionalFormatting sqref="D4:D17">
    <cfRule type="containsText" dxfId="2" priority="3" operator="containsText" text="Outros">
      <formula>NOT(ISERROR(SEARCH("Outros",D4)))</formula>
    </cfRule>
  </conditionalFormatting>
  <conditionalFormatting sqref="D3">
    <cfRule type="containsText" dxfId="1" priority="2" operator="containsText" text="Outros">
      <formula>NOT(ISERROR(SEARCH("Outros",D3)))</formula>
    </cfRule>
  </conditionalFormatting>
  <conditionalFormatting sqref="D3">
    <cfRule type="containsText" dxfId="0" priority="1" operator="containsText" text="Outros">
      <formula>NOT(ISERROR(SEARCH("Outros",D3)))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F15E6-51AA-4F05-8B7A-92F83503E3C6}">
  <sheetPr>
    <tabColor theme="2"/>
  </sheetPr>
  <dimension ref="B2:L31"/>
  <sheetViews>
    <sheetView showGridLines="0" zoomScaleNormal="100" workbookViewId="0">
      <selection activeCell="H18" sqref="H18"/>
    </sheetView>
  </sheetViews>
  <sheetFormatPr defaultRowHeight="15" x14ac:dyDescent="0.25"/>
  <cols>
    <col min="1" max="1" width="2.7109375" style="1" customWidth="1"/>
    <col min="2" max="2" width="21.28515625" style="1" customWidth="1"/>
    <col min="3" max="3" width="71.85546875" style="1" bestFit="1" customWidth="1"/>
    <col min="4" max="4" width="13" style="3" customWidth="1"/>
    <col min="5" max="5" width="14.28515625" style="18" bestFit="1" customWidth="1"/>
    <col min="6" max="6" width="2.7109375" style="1" customWidth="1"/>
    <col min="7" max="7" width="18.28515625" style="1" bestFit="1" customWidth="1"/>
    <col min="8" max="8" width="14.140625" style="1" bestFit="1" customWidth="1"/>
    <col min="9" max="16384" width="9.140625" style="1"/>
  </cols>
  <sheetData>
    <row r="2" spans="2:12" x14ac:dyDescent="0.25">
      <c r="B2" s="4" t="s">
        <v>1</v>
      </c>
      <c r="C2" s="4" t="s">
        <v>2</v>
      </c>
      <c r="D2" s="3" t="s">
        <v>3</v>
      </c>
      <c r="E2" s="15" t="s">
        <v>4</v>
      </c>
      <c r="G2" s="5" t="s">
        <v>5</v>
      </c>
      <c r="H2" s="1" t="s">
        <v>7</v>
      </c>
    </row>
    <row r="3" spans="2:12" x14ac:dyDescent="0.25">
      <c r="B3" s="50"/>
      <c r="C3" s="50"/>
      <c r="D3" s="51"/>
      <c r="E3" s="52"/>
      <c r="G3" s="9" t="s">
        <v>8</v>
      </c>
      <c r="H3" s="10"/>
    </row>
    <row r="4" spans="2:12" x14ac:dyDescent="0.25">
      <c r="B4" s="50"/>
      <c r="C4" s="50"/>
      <c r="D4" s="51"/>
      <c r="E4" s="52"/>
      <c r="G4" s="9" t="s">
        <v>6</v>
      </c>
      <c r="H4" s="10"/>
    </row>
    <row r="5" spans="2:12" x14ac:dyDescent="0.25">
      <c r="B5" s="50"/>
      <c r="C5" s="50"/>
      <c r="D5" s="51"/>
      <c r="E5" s="52"/>
      <c r="G5"/>
      <c r="H5"/>
    </row>
    <row r="6" spans="2:12" x14ac:dyDescent="0.25">
      <c r="B6" s="50"/>
      <c r="C6" s="50"/>
      <c r="D6" s="51"/>
      <c r="E6" s="73"/>
      <c r="F6" s="10"/>
      <c r="G6"/>
      <c r="H6"/>
    </row>
    <row r="7" spans="2:12" x14ac:dyDescent="0.25">
      <c r="B7" s="50"/>
      <c r="C7" s="50"/>
      <c r="D7" s="51"/>
      <c r="E7" s="73"/>
      <c r="G7"/>
      <c r="H7"/>
      <c r="L7" s="76" t="s">
        <v>36</v>
      </c>
    </row>
    <row r="8" spans="2:12" x14ac:dyDescent="0.25">
      <c r="B8" s="50"/>
      <c r="C8" s="50"/>
      <c r="D8" s="51"/>
      <c r="E8" s="73"/>
      <c r="G8"/>
      <c r="H8"/>
      <c r="I8" s="17"/>
      <c r="L8" s="2">
        <v>357</v>
      </c>
    </row>
    <row r="9" spans="2:12" x14ac:dyDescent="0.25">
      <c r="B9" s="50"/>
      <c r="C9" s="50"/>
      <c r="D9" s="51"/>
      <c r="E9" s="73"/>
      <c r="G9"/>
      <c r="H9"/>
      <c r="L9" s="2"/>
    </row>
    <row r="10" spans="2:12" x14ac:dyDescent="0.25">
      <c r="B10" s="50"/>
      <c r="C10" s="50"/>
      <c r="D10" s="51"/>
      <c r="E10" s="73"/>
      <c r="G10"/>
      <c r="H10"/>
      <c r="L10" s="2"/>
    </row>
    <row r="11" spans="2:12" x14ac:dyDescent="0.25">
      <c r="B11" s="50"/>
      <c r="C11" s="50"/>
      <c r="D11" s="51"/>
      <c r="E11" s="73"/>
      <c r="G11"/>
      <c r="H11"/>
      <c r="L11" s="2"/>
    </row>
    <row r="12" spans="2:12" x14ac:dyDescent="0.25">
      <c r="B12" s="50"/>
      <c r="C12" s="50"/>
      <c r="D12" s="51"/>
      <c r="E12" s="73"/>
      <c r="G12"/>
      <c r="H12"/>
    </row>
    <row r="13" spans="2:12" x14ac:dyDescent="0.25">
      <c r="B13" s="50"/>
      <c r="C13" s="50"/>
      <c r="D13" s="51"/>
      <c r="E13" s="73"/>
    </row>
    <row r="14" spans="2:12" x14ac:dyDescent="0.25">
      <c r="B14" s="50"/>
      <c r="C14" s="50"/>
      <c r="D14" s="51"/>
      <c r="E14" s="73"/>
    </row>
    <row r="15" spans="2:12" x14ac:dyDescent="0.25">
      <c r="B15" s="50"/>
      <c r="C15" s="50"/>
      <c r="D15" s="51"/>
      <c r="E15" s="73"/>
    </row>
    <row r="16" spans="2:12" x14ac:dyDescent="0.25">
      <c r="B16" s="50"/>
      <c r="C16" s="50"/>
      <c r="D16" s="51"/>
      <c r="E16" s="73"/>
    </row>
    <row r="17" spans="2:5" x14ac:dyDescent="0.25">
      <c r="B17" s="50"/>
      <c r="C17" s="50"/>
      <c r="D17" s="51"/>
      <c r="E17" s="73"/>
    </row>
    <row r="18" spans="2:5" x14ac:dyDescent="0.25">
      <c r="B18" s="50"/>
      <c r="C18" s="50"/>
      <c r="D18" s="81"/>
      <c r="E18" s="73"/>
    </row>
    <row r="19" spans="2:5" x14ac:dyDescent="0.25">
      <c r="B19" s="50"/>
      <c r="C19" s="50"/>
      <c r="D19" s="81"/>
      <c r="E19" s="73"/>
    </row>
    <row r="20" spans="2:5" x14ac:dyDescent="0.25">
      <c r="B20" s="82"/>
      <c r="C20" s="82"/>
      <c r="D20" s="81"/>
      <c r="E20" s="73"/>
    </row>
    <row r="21" spans="2:5" x14ac:dyDescent="0.25">
      <c r="B21" s="50"/>
      <c r="C21" s="50"/>
      <c r="D21" s="51"/>
      <c r="E21" s="52"/>
    </row>
    <row r="22" spans="2:5" x14ac:dyDescent="0.25">
      <c r="B22" s="82"/>
      <c r="C22" s="82"/>
      <c r="D22" s="81"/>
      <c r="E22" s="73"/>
    </row>
    <row r="23" spans="2:5" x14ac:dyDescent="0.25">
      <c r="B23" s="50"/>
      <c r="C23" s="82"/>
      <c r="D23" s="81"/>
      <c r="E23" s="73"/>
    </row>
    <row r="24" spans="2:5" x14ac:dyDescent="0.25">
      <c r="B24" s="50"/>
      <c r="C24" s="82"/>
      <c r="D24" s="81"/>
      <c r="E24" s="73"/>
    </row>
    <row r="25" spans="2:5" x14ac:dyDescent="0.25">
      <c r="B25" s="50"/>
      <c r="C25" s="82"/>
      <c r="D25" s="81"/>
      <c r="E25" s="73"/>
    </row>
    <row r="26" spans="2:5" x14ac:dyDescent="0.25">
      <c r="B26" s="50"/>
      <c r="C26" s="82"/>
      <c r="D26" s="81"/>
      <c r="E26" s="73"/>
    </row>
    <row r="27" spans="2:5" x14ac:dyDescent="0.25">
      <c r="B27" s="50"/>
      <c r="C27" s="82"/>
      <c r="D27" s="81"/>
      <c r="E27" s="73"/>
    </row>
    <row r="28" spans="2:5" x14ac:dyDescent="0.25">
      <c r="B28" s="50"/>
      <c r="C28" s="82"/>
      <c r="D28" s="81"/>
      <c r="E28" s="73"/>
    </row>
    <row r="29" spans="2:5" x14ac:dyDescent="0.25">
      <c r="B29" s="50"/>
      <c r="C29" s="50"/>
      <c r="D29" s="81"/>
      <c r="E29" s="73"/>
    </row>
    <row r="30" spans="2:5" x14ac:dyDescent="0.25">
      <c r="E30" s="15"/>
    </row>
    <row r="31" spans="2:5" x14ac:dyDescent="0.25">
      <c r="E31" s="15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1</vt:i4>
      </vt:variant>
    </vt:vector>
  </HeadingPairs>
  <TitlesOfParts>
    <vt:vector size="9" baseType="lpstr">
      <vt:lpstr>Gerenciamento Custo</vt:lpstr>
      <vt:lpstr>A Realizar</vt:lpstr>
      <vt:lpstr>Resumo</vt:lpstr>
      <vt:lpstr>Mão de Obra</vt:lpstr>
      <vt:lpstr>Materiais</vt:lpstr>
      <vt:lpstr>Refeição + Transporte</vt:lpstr>
      <vt:lpstr>Locação + Frete</vt:lpstr>
      <vt:lpstr>Fat Direto</vt:lpstr>
      <vt:lpstr>'Gerenciamento Custo'!Area_de_impressao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Melo</dc:creator>
  <cp:lastModifiedBy>Guilherme Angelin</cp:lastModifiedBy>
  <cp:lastPrinted>2026-01-08T19:18:17Z</cp:lastPrinted>
  <dcterms:created xsi:type="dcterms:W3CDTF">2023-10-06T16:32:20Z</dcterms:created>
  <dcterms:modified xsi:type="dcterms:W3CDTF">2026-06-05T19:33:04Z</dcterms:modified>
</cp:coreProperties>
</file>