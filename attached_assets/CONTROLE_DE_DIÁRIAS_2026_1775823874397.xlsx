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hi\Desktop\Nova pasta\"/>
    </mc:Choice>
  </mc:AlternateContent>
  <xr:revisionPtr revIDLastSave="0" documentId="13_ncr:1_{255B287A-320C-4EE0-90C0-4D837A191E4A}" xr6:coauthVersionLast="47" xr6:coauthVersionMax="47" xr10:uidLastSave="{00000000-0000-0000-0000-000000000000}"/>
  <bookViews>
    <workbookView xWindow="10590" yWindow="0" windowWidth="10800" windowHeight="12900" xr2:uid="{B0D3AD04-7886-4E65-BB8F-EA450B02B6FD}"/>
  </bookViews>
  <sheets>
    <sheet name="DIÁRIAS" sheetId="1" r:id="rId1"/>
    <sheet name="PAGAMENTOS" sheetId="2" r:id="rId2"/>
    <sheet name="RESUMO" sheetId="4" r:id="rId3"/>
    <sheet name="CENTRO DE CUSTOS" sheetId="5" r:id="rId4"/>
    <sheet name="Lista" sheetId="3" r:id="rId5"/>
  </sheets>
  <definedNames>
    <definedName name="_xlnm._FilterDatabase" localSheetId="0" hidden="1">DIÁRIAS!#REF!</definedName>
    <definedName name="_xlnm._FilterDatabase" localSheetId="1" hidden="1">PAGAMENTOS!$AW$5:$BB$5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O9" i="2" l="1"/>
  <c r="EA385" i="1"/>
  <c r="DZ385" i="1"/>
  <c r="DY385" i="1"/>
  <c r="EA384" i="1"/>
  <c r="DZ384" i="1"/>
  <c r="DY384" i="1"/>
  <c r="EA383" i="1"/>
  <c r="DZ383" i="1"/>
  <c r="DY383" i="1"/>
  <c r="EA382" i="1"/>
  <c r="DZ382" i="1"/>
  <c r="DY382" i="1"/>
  <c r="EA381" i="1"/>
  <c r="DZ381" i="1"/>
  <c r="DY381" i="1"/>
  <c r="EA380" i="1"/>
  <c r="DZ380" i="1"/>
  <c r="DY380" i="1"/>
  <c r="EA379" i="1"/>
  <c r="DZ379" i="1"/>
  <c r="DY379" i="1"/>
  <c r="EA378" i="1"/>
  <c r="DZ378" i="1"/>
  <c r="DY378" i="1"/>
  <c r="EA377" i="1"/>
  <c r="DZ377" i="1"/>
  <c r="DY377" i="1"/>
  <c r="EA376" i="1"/>
  <c r="DZ376" i="1"/>
  <c r="DY376" i="1"/>
  <c r="EA375" i="1"/>
  <c r="DZ375" i="1"/>
  <c r="DY375" i="1"/>
  <c r="EA374" i="1"/>
  <c r="DZ374" i="1"/>
  <c r="DY374" i="1"/>
  <c r="EB369" i="1"/>
  <c r="EA369" i="1"/>
  <c r="DZ369" i="1"/>
  <c r="GC1" i="2"/>
  <c r="FR1" i="2"/>
  <c r="DT387" i="1"/>
  <c r="DS387" i="1"/>
  <c r="DR387" i="1"/>
  <c r="DT386" i="1"/>
  <c r="DS386" i="1"/>
  <c r="DR386" i="1"/>
  <c r="DT385" i="1"/>
  <c r="DS385" i="1"/>
  <c r="DR385" i="1"/>
  <c r="DT384" i="1"/>
  <c r="DS384" i="1"/>
  <c r="DR384" i="1"/>
  <c r="DT383" i="1"/>
  <c r="DS383" i="1"/>
  <c r="DR383" i="1"/>
  <c r="DT382" i="1"/>
  <c r="DS382" i="1"/>
  <c r="DR382" i="1"/>
  <c r="DT381" i="1"/>
  <c r="DS381" i="1"/>
  <c r="DR381" i="1"/>
  <c r="DT380" i="1"/>
  <c r="DS380" i="1"/>
  <c r="DR380" i="1"/>
  <c r="DT379" i="1"/>
  <c r="DS379" i="1"/>
  <c r="DR379" i="1"/>
  <c r="DT378" i="1"/>
  <c r="DS378" i="1"/>
  <c r="DR378" i="1"/>
  <c r="DT377" i="1"/>
  <c r="DS377" i="1"/>
  <c r="DR377" i="1"/>
  <c r="DT376" i="1"/>
  <c r="DS376" i="1"/>
  <c r="DR376" i="1"/>
  <c r="DU371" i="1"/>
  <c r="DT371" i="1"/>
  <c r="DS371" i="1"/>
  <c r="CA20" i="2"/>
  <c r="AH61" i="1"/>
  <c r="AH60" i="1"/>
  <c r="AH59" i="1"/>
  <c r="AH58" i="1"/>
  <c r="AH57" i="1"/>
  <c r="X17" i="2"/>
  <c r="EB375" i="1" l="1"/>
  <c r="EB379" i="1"/>
  <c r="EB383" i="1"/>
  <c r="EB374" i="1"/>
  <c r="EB378" i="1"/>
  <c r="EB382" i="1"/>
  <c r="DZ370" i="1"/>
  <c r="GC2" i="2" s="1"/>
  <c r="EB377" i="1"/>
  <c r="EB381" i="1"/>
  <c r="EB385" i="1"/>
  <c r="EB376" i="1"/>
  <c r="EB380" i="1"/>
  <c r="EB384" i="1"/>
  <c r="DS372" i="1"/>
  <c r="FR2" i="2" s="1"/>
  <c r="DU376" i="1"/>
  <c r="DU380" i="1"/>
  <c r="DU384" i="1"/>
  <c r="DU387" i="1"/>
  <c r="DU379" i="1"/>
  <c r="DU383" i="1"/>
  <c r="DU378" i="1"/>
  <c r="DU382" i="1"/>
  <c r="DU386" i="1"/>
  <c r="DU377" i="1"/>
  <c r="DU381" i="1"/>
  <c r="DU385" i="1"/>
  <c r="FG1" i="2"/>
  <c r="EV1" i="2"/>
  <c r="EK1" i="2"/>
  <c r="DM385" i="1"/>
  <c r="DL385" i="1"/>
  <c r="DK385" i="1"/>
  <c r="DM384" i="1"/>
  <c r="DL384" i="1"/>
  <c r="DK384" i="1"/>
  <c r="DM383" i="1"/>
  <c r="DL383" i="1"/>
  <c r="DK383" i="1"/>
  <c r="DM382" i="1"/>
  <c r="DL382" i="1"/>
  <c r="DK382" i="1"/>
  <c r="DM381" i="1"/>
  <c r="DL381" i="1"/>
  <c r="DK381" i="1"/>
  <c r="DM380" i="1"/>
  <c r="DL380" i="1"/>
  <c r="DK380" i="1"/>
  <c r="DM379" i="1"/>
  <c r="DL379" i="1"/>
  <c r="DK379" i="1"/>
  <c r="DM378" i="1"/>
  <c r="DL378" i="1"/>
  <c r="DK378" i="1"/>
  <c r="DM377" i="1"/>
  <c r="DL377" i="1"/>
  <c r="DK377" i="1"/>
  <c r="DM376" i="1"/>
  <c r="DL376" i="1"/>
  <c r="DK376" i="1"/>
  <c r="DM375" i="1"/>
  <c r="DL375" i="1"/>
  <c r="DK375" i="1"/>
  <c r="DM374" i="1"/>
  <c r="DL374" i="1"/>
  <c r="DK374" i="1"/>
  <c r="DN369" i="1"/>
  <c r="DM369" i="1"/>
  <c r="DL369" i="1"/>
  <c r="DF387" i="1"/>
  <c r="DE387" i="1"/>
  <c r="DD387" i="1"/>
  <c r="DF386" i="1"/>
  <c r="DE386" i="1"/>
  <c r="DD386" i="1"/>
  <c r="DF385" i="1"/>
  <c r="DE385" i="1"/>
  <c r="DD385" i="1"/>
  <c r="DF384" i="1"/>
  <c r="DE384" i="1"/>
  <c r="DD384" i="1"/>
  <c r="DF383" i="1"/>
  <c r="DE383" i="1"/>
  <c r="DD383" i="1"/>
  <c r="DF382" i="1"/>
  <c r="DE382" i="1"/>
  <c r="DD382" i="1"/>
  <c r="DF381" i="1"/>
  <c r="DE381" i="1"/>
  <c r="DD381" i="1"/>
  <c r="DF380" i="1"/>
  <c r="DE380" i="1"/>
  <c r="DD380" i="1"/>
  <c r="DF379" i="1"/>
  <c r="DE379" i="1"/>
  <c r="DD379" i="1"/>
  <c r="DF378" i="1"/>
  <c r="DE378" i="1"/>
  <c r="DD378" i="1"/>
  <c r="DF377" i="1"/>
  <c r="DE377" i="1"/>
  <c r="DD377" i="1"/>
  <c r="DF376" i="1"/>
  <c r="DE376" i="1"/>
  <c r="DD376" i="1"/>
  <c r="DG371" i="1"/>
  <c r="DF371" i="1"/>
  <c r="DE371" i="1"/>
  <c r="CY385" i="1"/>
  <c r="CX385" i="1"/>
  <c r="CW385" i="1"/>
  <c r="CY384" i="1"/>
  <c r="CX384" i="1"/>
  <c r="CW384" i="1"/>
  <c r="CY383" i="1"/>
  <c r="CX383" i="1"/>
  <c r="CW383" i="1"/>
  <c r="CY382" i="1"/>
  <c r="CX382" i="1"/>
  <c r="CW382" i="1"/>
  <c r="CY381" i="1"/>
  <c r="CX381" i="1"/>
  <c r="CW381" i="1"/>
  <c r="CY380" i="1"/>
  <c r="CX380" i="1"/>
  <c r="CW380" i="1"/>
  <c r="CY379" i="1"/>
  <c r="CX379" i="1"/>
  <c r="CW379" i="1"/>
  <c r="CY378" i="1"/>
  <c r="CX378" i="1"/>
  <c r="CW378" i="1"/>
  <c r="CY377" i="1"/>
  <c r="CX377" i="1"/>
  <c r="CW377" i="1"/>
  <c r="CY376" i="1"/>
  <c r="CX376" i="1"/>
  <c r="CW376" i="1"/>
  <c r="CY375" i="1"/>
  <c r="CX375" i="1"/>
  <c r="CW375" i="1"/>
  <c r="CY374" i="1"/>
  <c r="CX374" i="1"/>
  <c r="CW374" i="1"/>
  <c r="CZ369" i="1"/>
  <c r="CY369" i="1"/>
  <c r="CX369" i="1"/>
  <c r="BB44" i="1"/>
  <c r="Z44" i="1"/>
  <c r="Z43" i="1"/>
  <c r="BI7" i="2"/>
  <c r="AM7" i="2"/>
  <c r="AB8" i="2"/>
  <c r="BT12" i="2"/>
  <c r="DN379" i="1" l="1"/>
  <c r="DN375" i="1"/>
  <c r="DN383" i="1"/>
  <c r="DN376" i="1"/>
  <c r="DN380" i="1"/>
  <c r="DN384" i="1"/>
  <c r="DL370" i="1"/>
  <c r="FG2" i="2" s="1"/>
  <c r="DN374" i="1"/>
  <c r="DN378" i="1"/>
  <c r="DN382" i="1"/>
  <c r="DN377" i="1"/>
  <c r="DN381" i="1"/>
  <c r="DN385" i="1"/>
  <c r="DG378" i="1"/>
  <c r="DG382" i="1"/>
  <c r="DG386" i="1"/>
  <c r="DG377" i="1"/>
  <c r="DG381" i="1"/>
  <c r="DG385" i="1"/>
  <c r="DE372" i="1"/>
  <c r="EV2" i="2" s="1"/>
  <c r="DG376" i="1"/>
  <c r="DG380" i="1"/>
  <c r="DG384" i="1"/>
  <c r="DG379" i="1"/>
  <c r="DG383" i="1"/>
  <c r="DG387" i="1"/>
  <c r="CZ376" i="1"/>
  <c r="CZ380" i="1"/>
  <c r="CZ375" i="1"/>
  <c r="CX370" i="1"/>
  <c r="EK2" i="2" s="1"/>
  <c r="CZ385" i="1"/>
  <c r="CZ374" i="1"/>
  <c r="CZ378" i="1"/>
  <c r="CZ382" i="1"/>
  <c r="CZ377" i="1"/>
  <c r="CZ381" i="1"/>
  <c r="CZ384" i="1"/>
  <c r="CZ379" i="1"/>
  <c r="CZ383" i="1"/>
  <c r="AX13" i="2"/>
  <c r="DZ1" i="2" l="1"/>
  <c r="CR385" i="1"/>
  <c r="CQ385" i="1"/>
  <c r="CP385" i="1"/>
  <c r="CR384" i="1"/>
  <c r="CQ384" i="1"/>
  <c r="CP384" i="1"/>
  <c r="CR383" i="1"/>
  <c r="CQ383" i="1"/>
  <c r="CP383" i="1"/>
  <c r="CR382" i="1"/>
  <c r="CQ382" i="1"/>
  <c r="CP382" i="1"/>
  <c r="CR381" i="1"/>
  <c r="CQ381" i="1"/>
  <c r="CP381" i="1"/>
  <c r="CR380" i="1"/>
  <c r="CQ380" i="1"/>
  <c r="CP380" i="1"/>
  <c r="CR379" i="1"/>
  <c r="CQ379" i="1"/>
  <c r="CP379" i="1"/>
  <c r="CR378" i="1"/>
  <c r="CQ378" i="1"/>
  <c r="CP378" i="1"/>
  <c r="CR377" i="1"/>
  <c r="CQ377" i="1"/>
  <c r="CP377" i="1"/>
  <c r="CR376" i="1"/>
  <c r="CQ376" i="1"/>
  <c r="CP376" i="1"/>
  <c r="CR375" i="1"/>
  <c r="CQ375" i="1"/>
  <c r="CP375" i="1"/>
  <c r="CR374" i="1"/>
  <c r="CQ374" i="1"/>
  <c r="CP374" i="1"/>
  <c r="CS369" i="1"/>
  <c r="CR369" i="1"/>
  <c r="CQ369" i="1"/>
  <c r="DA6" i="2"/>
  <c r="AX12" i="2"/>
  <c r="AX11" i="2"/>
  <c r="AX10" i="2"/>
  <c r="X8" i="2"/>
  <c r="CS384" i="1" l="1"/>
  <c r="CS376" i="1"/>
  <c r="CS380" i="1"/>
  <c r="CS375" i="1"/>
  <c r="CS379" i="1"/>
  <c r="CS383" i="1"/>
  <c r="CS374" i="1"/>
  <c r="CS378" i="1"/>
  <c r="CS382" i="1"/>
  <c r="CQ370" i="1"/>
  <c r="DZ2" i="2" s="1"/>
  <c r="CS377" i="1"/>
  <c r="CS381" i="1"/>
  <c r="CS385" i="1"/>
  <c r="DO1" i="2"/>
  <c r="CK385" i="1"/>
  <c r="CJ385" i="1"/>
  <c r="CI385" i="1"/>
  <c r="CK384" i="1"/>
  <c r="CJ384" i="1"/>
  <c r="CI384" i="1"/>
  <c r="CK383" i="1"/>
  <c r="CJ383" i="1"/>
  <c r="CI383" i="1"/>
  <c r="CK382" i="1"/>
  <c r="CJ382" i="1"/>
  <c r="CI382" i="1"/>
  <c r="CK381" i="1"/>
  <c r="CJ381" i="1"/>
  <c r="CI381" i="1"/>
  <c r="CK380" i="1"/>
  <c r="CJ380" i="1"/>
  <c r="CI380" i="1"/>
  <c r="CK379" i="1"/>
  <c r="CJ379" i="1"/>
  <c r="CI379" i="1"/>
  <c r="CK378" i="1"/>
  <c r="CJ378" i="1"/>
  <c r="CI378" i="1"/>
  <c r="CK377" i="1"/>
  <c r="CJ377" i="1"/>
  <c r="CI377" i="1"/>
  <c r="CK376" i="1"/>
  <c r="CJ376" i="1"/>
  <c r="CI376" i="1"/>
  <c r="CK375" i="1"/>
  <c r="CJ375" i="1"/>
  <c r="CI375" i="1"/>
  <c r="CK374" i="1"/>
  <c r="CJ374" i="1"/>
  <c r="CI374" i="1"/>
  <c r="CL369" i="1"/>
  <c r="CK369" i="1"/>
  <c r="CJ369" i="1"/>
  <c r="AB6" i="2"/>
  <c r="CD386" i="1"/>
  <c r="CC386" i="1"/>
  <c r="CB386" i="1"/>
  <c r="CD385" i="1"/>
  <c r="CC385" i="1"/>
  <c r="CB385" i="1"/>
  <c r="CD384" i="1"/>
  <c r="CC384" i="1"/>
  <c r="CB384" i="1"/>
  <c r="CD383" i="1"/>
  <c r="CC383" i="1"/>
  <c r="CB383" i="1"/>
  <c r="CD382" i="1"/>
  <c r="CC382" i="1"/>
  <c r="CB382" i="1"/>
  <c r="CD381" i="1"/>
  <c r="CC381" i="1"/>
  <c r="CB381" i="1"/>
  <c r="CD380" i="1"/>
  <c r="CC380" i="1"/>
  <c r="CB380" i="1"/>
  <c r="CD379" i="1"/>
  <c r="CC379" i="1"/>
  <c r="CB379" i="1"/>
  <c r="CD378" i="1"/>
  <c r="CC378" i="1"/>
  <c r="CB378" i="1"/>
  <c r="CD377" i="1"/>
  <c r="CC377" i="1"/>
  <c r="CB377" i="1"/>
  <c r="CD376" i="1"/>
  <c r="CC376" i="1"/>
  <c r="CB376" i="1"/>
  <c r="CD375" i="1"/>
  <c r="CC375" i="1"/>
  <c r="CB375" i="1"/>
  <c r="CE370" i="1"/>
  <c r="CD370" i="1"/>
  <c r="CC370" i="1"/>
  <c r="DD1" i="2"/>
  <c r="CS1" i="2"/>
  <c r="BW385" i="1"/>
  <c r="BV385" i="1"/>
  <c r="BU385" i="1"/>
  <c r="BW384" i="1"/>
  <c r="BV384" i="1"/>
  <c r="BU384" i="1"/>
  <c r="BW383" i="1"/>
  <c r="BV383" i="1"/>
  <c r="BU383" i="1"/>
  <c r="BW382" i="1"/>
  <c r="BV382" i="1"/>
  <c r="BU382" i="1"/>
  <c r="BW381" i="1"/>
  <c r="BV381" i="1"/>
  <c r="BU381" i="1"/>
  <c r="BW380" i="1"/>
  <c r="BV380" i="1"/>
  <c r="BU380" i="1"/>
  <c r="BW379" i="1"/>
  <c r="BV379" i="1"/>
  <c r="BU379" i="1"/>
  <c r="BW378" i="1"/>
  <c r="BV378" i="1"/>
  <c r="BU378" i="1"/>
  <c r="BW377" i="1"/>
  <c r="BV377" i="1"/>
  <c r="BU377" i="1"/>
  <c r="BW376" i="1"/>
  <c r="BV376" i="1"/>
  <c r="BU376" i="1"/>
  <c r="BW375" i="1"/>
  <c r="BV375" i="1"/>
  <c r="BU375" i="1"/>
  <c r="BW374" i="1"/>
  <c r="BV374" i="1"/>
  <c r="BU374" i="1"/>
  <c r="BX369" i="1"/>
  <c r="BW369" i="1"/>
  <c r="BV369" i="1"/>
  <c r="CL374" i="1" l="1"/>
  <c r="CL378" i="1"/>
  <c r="CL382" i="1"/>
  <c r="CJ370" i="1"/>
  <c r="DO2" i="2" s="1"/>
  <c r="CL377" i="1"/>
  <c r="CL381" i="1"/>
  <c r="CL385" i="1"/>
  <c r="CL376" i="1"/>
  <c r="CL380" i="1"/>
  <c r="CL384" i="1"/>
  <c r="CL375" i="1"/>
  <c r="CL379" i="1"/>
  <c r="CL383" i="1"/>
  <c r="CE379" i="1"/>
  <c r="CE383" i="1"/>
  <c r="CE375" i="1"/>
  <c r="CC371" i="1"/>
  <c r="DD2" i="2" s="1"/>
  <c r="CE378" i="1"/>
  <c r="CE386" i="1"/>
  <c r="CE382" i="1"/>
  <c r="CE377" i="1"/>
  <c r="CE381" i="1"/>
  <c r="CE385" i="1"/>
  <c r="CE376" i="1"/>
  <c r="CE380" i="1"/>
  <c r="CE384" i="1"/>
  <c r="BX378" i="1"/>
  <c r="BX382" i="1"/>
  <c r="BX374" i="1"/>
  <c r="BX377" i="1"/>
  <c r="BX381" i="1"/>
  <c r="BV370" i="1"/>
  <c r="CS2" i="2" s="1"/>
  <c r="BX385" i="1"/>
  <c r="BX384" i="1"/>
  <c r="BX376" i="1"/>
  <c r="BX380" i="1"/>
  <c r="BX375" i="1"/>
  <c r="BX379" i="1"/>
  <c r="BX383" i="1"/>
  <c r="BP385" i="1" l="1"/>
  <c r="BO385" i="1"/>
  <c r="BN385" i="1"/>
  <c r="BP384" i="1"/>
  <c r="BO384" i="1"/>
  <c r="BN384" i="1"/>
  <c r="BP383" i="1"/>
  <c r="BO383" i="1"/>
  <c r="BN383" i="1"/>
  <c r="BP382" i="1"/>
  <c r="BO382" i="1"/>
  <c r="BN382" i="1"/>
  <c r="BP381" i="1"/>
  <c r="BO381" i="1"/>
  <c r="BN381" i="1"/>
  <c r="BP380" i="1"/>
  <c r="BO380" i="1"/>
  <c r="BN380" i="1"/>
  <c r="BP379" i="1"/>
  <c r="BO379" i="1"/>
  <c r="BN379" i="1"/>
  <c r="BP378" i="1"/>
  <c r="BO378" i="1"/>
  <c r="BN378" i="1"/>
  <c r="BP377" i="1"/>
  <c r="BO377" i="1"/>
  <c r="BN377" i="1"/>
  <c r="BP376" i="1"/>
  <c r="BO376" i="1"/>
  <c r="BN376" i="1"/>
  <c r="BP375" i="1"/>
  <c r="BO375" i="1"/>
  <c r="BN375" i="1"/>
  <c r="BP374" i="1"/>
  <c r="BO374" i="1"/>
  <c r="BN374" i="1"/>
  <c r="BQ369" i="1"/>
  <c r="BP369" i="1"/>
  <c r="BO369" i="1"/>
  <c r="CH1" i="2"/>
  <c r="BI385" i="1"/>
  <c r="BH385" i="1"/>
  <c r="BG385" i="1"/>
  <c r="BI384" i="1"/>
  <c r="BH384" i="1"/>
  <c r="BG384" i="1"/>
  <c r="BI383" i="1"/>
  <c r="BH383" i="1"/>
  <c r="BG383" i="1"/>
  <c r="BI382" i="1"/>
  <c r="BH382" i="1"/>
  <c r="BG382" i="1"/>
  <c r="BI381" i="1"/>
  <c r="BH381" i="1"/>
  <c r="BG381" i="1"/>
  <c r="BI380" i="1"/>
  <c r="BH380" i="1"/>
  <c r="BG380" i="1"/>
  <c r="BI379" i="1"/>
  <c r="BH379" i="1"/>
  <c r="BG379" i="1"/>
  <c r="BI378" i="1"/>
  <c r="BH378" i="1"/>
  <c r="BG378" i="1"/>
  <c r="BI377" i="1"/>
  <c r="BH377" i="1"/>
  <c r="BG377" i="1"/>
  <c r="BI376" i="1"/>
  <c r="BH376" i="1"/>
  <c r="BG376" i="1"/>
  <c r="BI375" i="1"/>
  <c r="BH375" i="1"/>
  <c r="BG375" i="1"/>
  <c r="BI374" i="1"/>
  <c r="BH374" i="1"/>
  <c r="BG374" i="1"/>
  <c r="BI369" i="1"/>
  <c r="BH369" i="1"/>
  <c r="BB386" i="1"/>
  <c r="BA386" i="1"/>
  <c r="AZ386" i="1"/>
  <c r="BB385" i="1"/>
  <c r="BA385" i="1"/>
  <c r="AZ385" i="1"/>
  <c r="BB384" i="1"/>
  <c r="BA384" i="1"/>
  <c r="AZ384" i="1"/>
  <c r="BB383" i="1"/>
  <c r="BA383" i="1"/>
  <c r="AZ383" i="1"/>
  <c r="BB382" i="1"/>
  <c r="BA382" i="1"/>
  <c r="AZ382" i="1"/>
  <c r="BB381" i="1"/>
  <c r="BA381" i="1"/>
  <c r="AZ381" i="1"/>
  <c r="BB380" i="1"/>
  <c r="BA380" i="1"/>
  <c r="AZ380" i="1"/>
  <c r="BB379" i="1"/>
  <c r="BA379" i="1"/>
  <c r="AZ379" i="1"/>
  <c r="BB378" i="1"/>
  <c r="BA378" i="1"/>
  <c r="AZ378" i="1"/>
  <c r="BB377" i="1"/>
  <c r="BA377" i="1"/>
  <c r="AZ377" i="1"/>
  <c r="BB376" i="1"/>
  <c r="BA376" i="1"/>
  <c r="AZ376" i="1"/>
  <c r="BB375" i="1"/>
  <c r="BA375" i="1"/>
  <c r="AZ375" i="1"/>
  <c r="BC370" i="1"/>
  <c r="BB370" i="1"/>
  <c r="BA370" i="1"/>
  <c r="BW1" i="2"/>
  <c r="BJ369" i="1" l="1"/>
  <c r="BH370" i="1" s="1"/>
  <c r="BO370" i="1"/>
  <c r="CH2" i="2" s="1"/>
  <c r="BQ377" i="1"/>
  <c r="BQ381" i="1"/>
  <c r="BQ385" i="1"/>
  <c r="BQ376" i="1"/>
  <c r="BQ380" i="1"/>
  <c r="BQ384" i="1"/>
  <c r="BQ375" i="1"/>
  <c r="BQ379" i="1"/>
  <c r="BQ383" i="1"/>
  <c r="BJ378" i="1"/>
  <c r="BJ382" i="1"/>
  <c r="BQ374" i="1"/>
  <c r="BQ378" i="1"/>
  <c r="BQ382" i="1"/>
  <c r="BJ377" i="1"/>
  <c r="BJ374" i="1"/>
  <c r="BJ381" i="1"/>
  <c r="BJ385" i="1"/>
  <c r="BJ376" i="1"/>
  <c r="BJ380" i="1"/>
  <c r="BJ384" i="1"/>
  <c r="BJ375" i="1"/>
  <c r="BJ379" i="1"/>
  <c r="BJ383" i="1"/>
  <c r="BC386" i="1"/>
  <c r="BC375" i="1"/>
  <c r="BC379" i="1"/>
  <c r="BC383" i="1"/>
  <c r="BA371" i="1"/>
  <c r="BW2" i="2" s="1"/>
  <c r="BC378" i="1"/>
  <c r="BC382" i="1"/>
  <c r="BC377" i="1"/>
  <c r="BC381" i="1"/>
  <c r="BC385" i="1"/>
  <c r="BC376" i="1"/>
  <c r="BC380" i="1"/>
  <c r="BC384" i="1"/>
  <c r="AU380" i="1"/>
  <c r="AT380" i="1"/>
  <c r="AS380" i="1"/>
  <c r="AN380" i="1"/>
  <c r="AM380" i="1"/>
  <c r="AL380" i="1"/>
  <c r="AG380" i="1"/>
  <c r="AF380" i="1"/>
  <c r="AE380" i="1"/>
  <c r="Z381" i="1"/>
  <c r="Y381" i="1"/>
  <c r="X381" i="1"/>
  <c r="S380" i="1"/>
  <c r="R380" i="1"/>
  <c r="Q380" i="1"/>
  <c r="L380" i="1"/>
  <c r="K380" i="1"/>
  <c r="J380" i="1"/>
  <c r="E380" i="1"/>
  <c r="D380" i="1"/>
  <c r="C380" i="1"/>
  <c r="AV380" i="1" l="1"/>
  <c r="AO380" i="1"/>
  <c r="AH380" i="1"/>
  <c r="AA381" i="1"/>
  <c r="T380" i="1"/>
  <c r="M380" i="1"/>
  <c r="F380" i="1"/>
  <c r="BL1" i="2" l="1"/>
  <c r="AU385" i="1"/>
  <c r="AT385" i="1"/>
  <c r="AS385" i="1"/>
  <c r="AU384" i="1"/>
  <c r="AT384" i="1"/>
  <c r="AS384" i="1"/>
  <c r="AU383" i="1"/>
  <c r="AU382" i="1"/>
  <c r="AT382" i="1"/>
  <c r="AS382" i="1"/>
  <c r="AU381" i="1"/>
  <c r="AT381" i="1"/>
  <c r="AS381" i="1"/>
  <c r="AU379" i="1"/>
  <c r="AT379" i="1"/>
  <c r="AS379" i="1"/>
  <c r="AU378" i="1"/>
  <c r="AT378" i="1"/>
  <c r="AS378" i="1"/>
  <c r="AU377" i="1"/>
  <c r="AT377" i="1"/>
  <c r="AS377" i="1"/>
  <c r="AU376" i="1"/>
  <c r="AT376" i="1"/>
  <c r="AS376" i="1"/>
  <c r="AU375" i="1"/>
  <c r="AT375" i="1"/>
  <c r="AS375" i="1"/>
  <c r="AU374" i="1"/>
  <c r="AT374" i="1"/>
  <c r="AS374" i="1"/>
  <c r="AV369" i="1"/>
  <c r="AU369" i="1"/>
  <c r="AS383" i="1"/>
  <c r="AV378" i="1" l="1"/>
  <c r="AV385" i="1"/>
  <c r="AV374" i="1"/>
  <c r="AV375" i="1"/>
  <c r="AV379" i="1"/>
  <c r="AV377" i="1"/>
  <c r="AV382" i="1"/>
  <c r="AV384" i="1"/>
  <c r="AV376" i="1"/>
  <c r="AV381" i="1"/>
  <c r="AT369" i="1"/>
  <c r="AT370" i="1" s="1"/>
  <c r="BL2" i="2" s="1"/>
  <c r="AT383" i="1"/>
  <c r="AV383" i="1" s="1"/>
  <c r="AN385" i="1"/>
  <c r="AM385" i="1"/>
  <c r="AN384" i="1"/>
  <c r="AM384" i="1"/>
  <c r="AL384" i="1"/>
  <c r="AN383" i="1"/>
  <c r="AM383" i="1"/>
  <c r="AN382" i="1"/>
  <c r="AM382" i="1"/>
  <c r="AL382" i="1"/>
  <c r="AN381" i="1"/>
  <c r="AM381" i="1"/>
  <c r="AL381" i="1"/>
  <c r="AN379" i="1"/>
  <c r="AM379" i="1"/>
  <c r="AL379" i="1"/>
  <c r="AN378" i="1"/>
  <c r="AM378" i="1"/>
  <c r="AL378" i="1"/>
  <c r="AN377" i="1"/>
  <c r="AM377" i="1"/>
  <c r="AL377" i="1"/>
  <c r="AN376" i="1"/>
  <c r="AM376" i="1"/>
  <c r="AL376" i="1"/>
  <c r="AN375" i="1"/>
  <c r="AM375" i="1"/>
  <c r="AL375" i="1"/>
  <c r="AN374" i="1"/>
  <c r="AM374" i="1"/>
  <c r="AL374" i="1"/>
  <c r="AO369" i="1"/>
  <c r="AN369" i="1"/>
  <c r="AL385" i="1"/>
  <c r="AL383" i="1"/>
  <c r="AM369" i="1" l="1"/>
  <c r="I1" i="2" l="1"/>
  <c r="D374" i="1" l="1"/>
  <c r="C376" i="1" l="1"/>
  <c r="AG385" i="1"/>
  <c r="AF385" i="1"/>
  <c r="AE385" i="1"/>
  <c r="AG384" i="1"/>
  <c r="AF384" i="1"/>
  <c r="AE384" i="1"/>
  <c r="AG383" i="1"/>
  <c r="AF383" i="1"/>
  <c r="AE383" i="1"/>
  <c r="AG382" i="1"/>
  <c r="AF382" i="1"/>
  <c r="AE382" i="1"/>
  <c r="AG381" i="1"/>
  <c r="AF381" i="1"/>
  <c r="AE381" i="1"/>
  <c r="AG379" i="1"/>
  <c r="AF379" i="1"/>
  <c r="AE379" i="1"/>
  <c r="AG378" i="1"/>
  <c r="AF378" i="1"/>
  <c r="AE378" i="1"/>
  <c r="AG377" i="1"/>
  <c r="AF377" i="1"/>
  <c r="AE377" i="1"/>
  <c r="AG376" i="1"/>
  <c r="AF376" i="1"/>
  <c r="AE376" i="1"/>
  <c r="AG375" i="1"/>
  <c r="AF375" i="1"/>
  <c r="AE375" i="1"/>
  <c r="AG374" i="1"/>
  <c r="AF374" i="1"/>
  <c r="AE374" i="1"/>
  <c r="AH369" i="1"/>
  <c r="AG369" i="1"/>
  <c r="AF369" i="1"/>
  <c r="Z386" i="1"/>
  <c r="Y386" i="1"/>
  <c r="X386" i="1"/>
  <c r="Z385" i="1"/>
  <c r="Y385" i="1"/>
  <c r="X385" i="1"/>
  <c r="Z384" i="1"/>
  <c r="Y384" i="1"/>
  <c r="X384" i="1"/>
  <c r="Z383" i="1"/>
  <c r="Y383" i="1"/>
  <c r="X383" i="1"/>
  <c r="Z382" i="1"/>
  <c r="Y382" i="1"/>
  <c r="X382" i="1"/>
  <c r="Z380" i="1"/>
  <c r="Y380" i="1"/>
  <c r="X380" i="1"/>
  <c r="Z379" i="1"/>
  <c r="Y379" i="1"/>
  <c r="X379" i="1"/>
  <c r="Z378" i="1"/>
  <c r="Y378" i="1"/>
  <c r="X378" i="1"/>
  <c r="Z377" i="1"/>
  <c r="Y377" i="1"/>
  <c r="X377" i="1"/>
  <c r="Z376" i="1"/>
  <c r="Y376" i="1"/>
  <c r="X376" i="1"/>
  <c r="Z375" i="1"/>
  <c r="Y375" i="1"/>
  <c r="X375" i="1"/>
  <c r="AA370" i="1"/>
  <c r="Z370" i="1"/>
  <c r="Y370" i="1"/>
  <c r="S385" i="1"/>
  <c r="R385" i="1"/>
  <c r="Q385" i="1"/>
  <c r="S384" i="1"/>
  <c r="R384" i="1"/>
  <c r="Q384" i="1"/>
  <c r="S383" i="1"/>
  <c r="R383" i="1"/>
  <c r="Q383" i="1"/>
  <c r="S382" i="1"/>
  <c r="R382" i="1"/>
  <c r="Q382" i="1"/>
  <c r="S381" i="1"/>
  <c r="R381" i="1"/>
  <c r="Q381" i="1"/>
  <c r="S379" i="1"/>
  <c r="R379" i="1"/>
  <c r="Q379" i="1"/>
  <c r="S378" i="1"/>
  <c r="R378" i="1"/>
  <c r="Q378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T369" i="1"/>
  <c r="S369" i="1"/>
  <c r="R369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79" i="1"/>
  <c r="K379" i="1"/>
  <c r="J379" i="1"/>
  <c r="L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M369" i="1"/>
  <c r="K369" i="1"/>
  <c r="E385" i="1"/>
  <c r="D385" i="1"/>
  <c r="C385" i="1"/>
  <c r="E384" i="1"/>
  <c r="D384" i="1"/>
  <c r="C384" i="1"/>
  <c r="E383" i="1"/>
  <c r="D383" i="1"/>
  <c r="C383" i="1"/>
  <c r="D382" i="1"/>
  <c r="E381" i="1"/>
  <c r="D381" i="1"/>
  <c r="C381" i="1"/>
  <c r="C379" i="1"/>
  <c r="E379" i="1"/>
  <c r="D379" i="1"/>
  <c r="E375" i="1"/>
  <c r="E376" i="1"/>
  <c r="D375" i="1"/>
  <c r="C375" i="1"/>
  <c r="D376" i="1"/>
  <c r="E377" i="1"/>
  <c r="D377" i="1"/>
  <c r="C377" i="1"/>
  <c r="E378" i="1"/>
  <c r="D378" i="1"/>
  <c r="C378" i="1"/>
  <c r="C374" i="1"/>
  <c r="E374" i="1"/>
  <c r="F369" i="1" l="1"/>
  <c r="E382" i="1"/>
  <c r="F381" i="1"/>
  <c r="F377" i="1"/>
  <c r="F375" i="1"/>
  <c r="F383" i="1"/>
  <c r="F379" i="1"/>
  <c r="F385" i="1"/>
  <c r="F376" i="1"/>
  <c r="F384" i="1"/>
  <c r="C382" i="1"/>
  <c r="E369" i="1"/>
  <c r="F374" i="1"/>
  <c r="F378" i="1"/>
  <c r="L369" i="1"/>
  <c r="K370" i="1" s="1"/>
  <c r="K378" i="1"/>
  <c r="M378" i="1" s="1"/>
  <c r="M377" i="1"/>
  <c r="M382" i="1"/>
  <c r="R370" i="1"/>
  <c r="T377" i="1"/>
  <c r="T382" i="1"/>
  <c r="Y371" i="1"/>
  <c r="AA378" i="1"/>
  <c r="AA383" i="1"/>
  <c r="AF370" i="1"/>
  <c r="AH377" i="1"/>
  <c r="AH382" i="1"/>
  <c r="AM370" i="1"/>
  <c r="AO377" i="1"/>
  <c r="AO382" i="1"/>
  <c r="D369" i="1"/>
  <c r="M376" i="1"/>
  <c r="M381" i="1"/>
  <c r="M385" i="1"/>
  <c r="T376" i="1"/>
  <c r="T381" i="1"/>
  <c r="T385" i="1"/>
  <c r="AA377" i="1"/>
  <c r="AA382" i="1"/>
  <c r="AA386" i="1"/>
  <c r="AH376" i="1"/>
  <c r="AH381" i="1"/>
  <c r="AH385" i="1"/>
  <c r="AO376" i="1"/>
  <c r="AO381" i="1"/>
  <c r="AO385" i="1"/>
  <c r="M375" i="1"/>
  <c r="M379" i="1"/>
  <c r="M384" i="1"/>
  <c r="T375" i="1"/>
  <c r="T379" i="1"/>
  <c r="T384" i="1"/>
  <c r="AA376" i="1"/>
  <c r="AA380" i="1"/>
  <c r="AA385" i="1"/>
  <c r="AH375" i="1"/>
  <c r="AH379" i="1"/>
  <c r="AH384" i="1"/>
  <c r="AO375" i="1"/>
  <c r="AO379" i="1"/>
  <c r="AO384" i="1"/>
  <c r="M374" i="1"/>
  <c r="M383" i="1"/>
  <c r="T374" i="1"/>
  <c r="T378" i="1"/>
  <c r="T383" i="1"/>
  <c r="AA375" i="1"/>
  <c r="AA379" i="1"/>
  <c r="AA384" i="1"/>
  <c r="AH374" i="1"/>
  <c r="AH378" i="1"/>
  <c r="AH383" i="1"/>
  <c r="AO374" i="1"/>
  <c r="AO378" i="1"/>
  <c r="AO383" i="1"/>
  <c r="F382" i="1" l="1"/>
  <c r="BA1" i="2"/>
  <c r="BA2" i="2" s="1"/>
  <c r="AP1" i="2"/>
  <c r="AP2" i="2" s="1"/>
  <c r="AE1" i="2"/>
  <c r="AE2" i="2" s="1"/>
  <c r="T1" i="2"/>
  <c r="T2" i="2" s="1"/>
  <c r="D370" i="1" l="1"/>
  <c r="I2" i="2" s="1"/>
  <c r="B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X19" authorId="0" shapeId="0" xr:uid="{18CDEB17-0EA3-46ED-9664-94638D3A47D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Não usou, descontou nas diárias</t>
        </r>
      </text>
    </comment>
  </commentList>
</comments>
</file>

<file path=xl/sharedStrings.xml><?xml version="1.0" encoding="utf-8"?>
<sst xmlns="http://schemas.openxmlformats.org/spreadsheetml/2006/main" count="9332" uniqueCount="194">
  <si>
    <t>DATA</t>
  </si>
  <si>
    <t>CENTRO DE CUSTO</t>
  </si>
  <si>
    <t>DIA DA SEMANA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</si>
  <si>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</si>
  <si>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</si>
  <si>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</si>
  <si>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</si>
  <si>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</si>
  <si>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</si>
  <si>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</si>
  <si>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SALDO</t>
  </si>
  <si>
    <t>REEMBOLSOS</t>
  </si>
  <si>
    <t>VALOR</t>
  </si>
  <si>
    <t>DESCRIÇÃO</t>
  </si>
  <si>
    <t>STATUS</t>
  </si>
  <si>
    <t>PAGAMENTOS</t>
  </si>
  <si>
    <t>CHAVE PIX</t>
  </si>
  <si>
    <t>COLABORADOR</t>
  </si>
  <si>
    <t>$ DIÁRIAS</t>
  </si>
  <si>
    <t>$ VT</t>
  </si>
  <si>
    <t>$ VA</t>
  </si>
  <si>
    <t>$ TOTAL</t>
  </si>
  <si>
    <t>VALOR POR CENTRO DE CUSTO</t>
  </si>
  <si>
    <t>DATA 
PG</t>
  </si>
  <si>
    <t>VALOR PAGO (DIÁRIAS + VT + VA)</t>
  </si>
  <si>
    <t>$ DIÁRIA</t>
  </si>
  <si>
    <t>PAGO</t>
  </si>
  <si>
    <t>PROGRAMADO</t>
  </si>
  <si>
    <t>EM ABERTO</t>
  </si>
  <si>
    <t>FAZ BARRO BRANCO</t>
  </si>
  <si>
    <t>DONA GILDA</t>
  </si>
  <si>
    <t>GATTAI - ROBSON</t>
  </si>
  <si>
    <t>ANGELA CID</t>
  </si>
  <si>
    <t>STEEL HOME</t>
  </si>
  <si>
    <t>VEREDA</t>
  </si>
  <si>
    <t>CHALÉS - STO ANTONIO</t>
  </si>
  <si>
    <t>FALTOU</t>
  </si>
  <si>
    <t>DESCANSO</t>
  </si>
  <si>
    <t>GESPI - VILA NAIR</t>
  </si>
  <si>
    <t>GESPI - TAMOIOS</t>
  </si>
  <si>
    <t>GESPI - FINANC E SUP</t>
  </si>
  <si>
    <t>$ REEMBOLSO</t>
  </si>
  <si>
    <t>OBSERVAÇÕES</t>
  </si>
  <si>
    <t>LARISSA BERLATO</t>
  </si>
  <si>
    <t>CRISTIANO MATIAS DA SILVA</t>
  </si>
  <si>
    <t>EDNILSON BERNARDO DA SILVA</t>
  </si>
  <si>
    <t>JOSE CARLOS MONTELES CARVALHO</t>
  </si>
  <si>
    <t>LUCAS HENRIQUE ALBERNAZ</t>
  </si>
  <si>
    <t>ROGER ARMANDO SEQUERA RIVAS</t>
  </si>
  <si>
    <t>VITOR HUGO BRAGA</t>
  </si>
  <si>
    <t>ATESTADO</t>
  </si>
  <si>
    <t>12 99226-3090</t>
  </si>
  <si>
    <t>DATA PG</t>
  </si>
  <si>
    <t>- Diária na obra Gattai - Robson é R$ 120,00</t>
  </si>
  <si>
    <t xml:space="preserve"> 710.616.372-47</t>
  </si>
  <si>
    <t>509.136.448-03</t>
  </si>
  <si>
    <t>ESCRITÓRIO</t>
  </si>
  <si>
    <t>SALDOS EM ABERTO</t>
  </si>
  <si>
    <t>JOSÉ LUCAS DA SILVA GUEDES</t>
  </si>
  <si>
    <t>DAVI FERREIRA DA SILVA</t>
  </si>
  <si>
    <t>FERIADO</t>
  </si>
  <si>
    <t>GESPI - ENGENHARIA</t>
  </si>
  <si>
    <t xml:space="preserve">CUSTO POR OBRA </t>
  </si>
  <si>
    <t>OBRA</t>
  </si>
  <si>
    <t>CRISTIANO MATIAS</t>
  </si>
  <si>
    <t>EDNILSON BERNARDO</t>
  </si>
  <si>
    <t>JOSE CARLOS MONTELES</t>
  </si>
  <si>
    <t>LUCAS HERNIQUE ALBERNAZ</t>
  </si>
  <si>
    <t>ROGER ARMANDO</t>
  </si>
  <si>
    <t>RESUMO</t>
  </si>
  <si>
    <t>VINICIUS OLIVEIRA COSTA ROMANO</t>
  </si>
  <si>
    <t>PEDRO EDNEI BATISTA PEREIRA</t>
  </si>
  <si>
    <t>12 98808-4011</t>
  </si>
  <si>
    <t>GESPI - REFEITORIO</t>
  </si>
  <si>
    <t>ABEL BARGE</t>
  </si>
  <si>
    <t>CLÍNICA DGM</t>
  </si>
  <si>
    <t>GESPI - SALA DE CONTROLE</t>
  </si>
  <si>
    <t>VALE TRANSPORTE</t>
  </si>
  <si>
    <t>MAICON WILLIAN</t>
  </si>
  <si>
    <t>Diárias 02.01 a 05.01</t>
  </si>
  <si>
    <t>VT 05.01 a 09.01</t>
  </si>
  <si>
    <t>Diária 05.01</t>
  </si>
  <si>
    <t>UBER</t>
  </si>
  <si>
    <t>Diárias 02.10 e 05.01</t>
  </si>
  <si>
    <t>VT 12.01 a 16.01</t>
  </si>
  <si>
    <t>FABRICIO FERREIRA DA SILVA</t>
  </si>
  <si>
    <t>MURILO CAIQUE DE LIMA CECIM</t>
  </si>
  <si>
    <t>DIÁRIAS</t>
  </si>
  <si>
    <t>VT 19.01 A 23.01</t>
  </si>
  <si>
    <t>VT 12.01 A 16.01</t>
  </si>
  <si>
    <t>DIÁRIAS 14.01 A 20.01</t>
  </si>
  <si>
    <t>VT  19.01 a 23.01</t>
  </si>
  <si>
    <t>BÔNUS TRABALHO NOTURNO</t>
  </si>
  <si>
    <t>DIÁRIAS 06.01 A 20.01</t>
  </si>
  <si>
    <t>VALE DIÁRIAS</t>
  </si>
  <si>
    <t>LASER 6/12</t>
  </si>
  <si>
    <t>LASER 7/12</t>
  </si>
  <si>
    <t>LASER 8/12</t>
  </si>
  <si>
    <t>LASER 9/12</t>
  </si>
  <si>
    <t>LASER 10/12</t>
  </si>
  <si>
    <t>LASER 11/12</t>
  </si>
  <si>
    <t>LASER 12/12</t>
  </si>
  <si>
    <t>TRABALHOU ATÉ 22H</t>
  </si>
  <si>
    <t>TRABHALHOU ATÉ 22H</t>
  </si>
  <si>
    <t>CLINICA DGM</t>
  </si>
  <si>
    <t>PAULO CESAR BITENCOURT DE SOUSA</t>
  </si>
  <si>
    <t>VT + VA 31.01 e 01.02</t>
  </si>
  <si>
    <t>VT + VA 12.01 a 16.01</t>
  </si>
  <si>
    <t>VT + VA 05.01 a 09.01</t>
  </si>
  <si>
    <t>VT + VA 26.01 a 30.01</t>
  </si>
  <si>
    <t>DIÁRIAS 06.01 a 20.01</t>
  </si>
  <si>
    <t>VT + VA 02.02 a 06.02</t>
  </si>
  <si>
    <t>DIÁRIAS 21.01 a 05.02</t>
  </si>
  <si>
    <t>DIÁRIAS 02.01 a 05.01</t>
  </si>
  <si>
    <t>CAFÉ 02.02 a 06.02</t>
  </si>
  <si>
    <t>REEMBOLSOS | EXTRAS</t>
  </si>
  <si>
    <t>DIÁRIAS 21.01 a 06.02</t>
  </si>
  <si>
    <t>DIÁRIA 13.01</t>
  </si>
  <si>
    <t>VT 26.01 a 30.01</t>
  </si>
  <si>
    <t>DIÁRIA 05.01</t>
  </si>
  <si>
    <t>VT 02.02 a 06.02</t>
  </si>
  <si>
    <t>DIÁRIAS 21.01 a 05.01</t>
  </si>
  <si>
    <t>DIÁRIAS 02.01 e 05.01</t>
  </si>
  <si>
    <t>SALDO CAFÉ</t>
  </si>
  <si>
    <t>VT 31.01 e 01.02</t>
  </si>
  <si>
    <t>DIFERENÇA $ DIÁRIA</t>
  </si>
  <si>
    <t>VT 09.02 a 13.02</t>
  </si>
  <si>
    <t>DIFERENÇA $ DIÁRIA (12X20)</t>
  </si>
  <si>
    <t>VT + VA 09.02 a 13.02</t>
  </si>
  <si>
    <t>CAFÉ 09.02 a 13.02</t>
  </si>
  <si>
    <t>DIFERENÇA $ DIÁRIAS</t>
  </si>
  <si>
    <t>3 DIARIAS + 3 VT + 3 CAFÉ</t>
  </si>
  <si>
    <t>LEONARDO OLIVEIRA SANTOS</t>
  </si>
  <si>
    <t>MATHEUS ANTONIO BARBOSA DOS SANTOS</t>
  </si>
  <si>
    <t>RENAN ANDLER ARAÚJO SIMEÃO</t>
  </si>
  <si>
    <t>VT + VA 16.02 a 20.02</t>
  </si>
  <si>
    <t>VT 16.02 a 20.02</t>
  </si>
  <si>
    <t>DIFERENCA DIARIAS</t>
  </si>
  <si>
    <t>SALDO VT + CAFÉ</t>
  </si>
  <si>
    <t>VT + Café 16.02 a 20.02</t>
  </si>
  <si>
    <t>CAFÉ 18.02 a 20.02</t>
  </si>
  <si>
    <t>Saldo CAFÉ  16.02 a 20.02</t>
  </si>
  <si>
    <t>DIÁRIAS 06.02 a 20.02</t>
  </si>
  <si>
    <t>VT 23.02 A 27.02</t>
  </si>
  <si>
    <t>VT 24.02 a 27.02</t>
  </si>
  <si>
    <t>CAFÉ 24.02 a 27.02</t>
  </si>
  <si>
    <t>VT  24.02 a 27.02</t>
  </si>
  <si>
    <t>CAFÉ  24.02 a 27.02</t>
  </si>
  <si>
    <t>DIÁRIAS10.02 a 20.02</t>
  </si>
  <si>
    <t>VT  + CAFÉ 24.02 a 27.02</t>
  </si>
  <si>
    <t>CAFÉ  23.02 a 27.02</t>
  </si>
  <si>
    <t>VT  23.02 a 27.02</t>
  </si>
  <si>
    <t>VT 21.02 e 22.02</t>
  </si>
  <si>
    <t>VT  02.03 a 06.03</t>
  </si>
  <si>
    <t>VT 02.03 A 06.03</t>
  </si>
  <si>
    <t>CAFÉ</t>
  </si>
  <si>
    <t>VT 02.03 a 06.03</t>
  </si>
  <si>
    <t>VT</t>
  </si>
  <si>
    <t>DIÁRIA EXTRA</t>
  </si>
  <si>
    <t xml:space="preserve">1/2 DIÁRIA </t>
  </si>
  <si>
    <t>CLINICA</t>
  </si>
  <si>
    <t>1/2 DIÁRIA</t>
  </si>
  <si>
    <t>12 98812-8575</t>
  </si>
  <si>
    <t>393.380.918-56</t>
  </si>
  <si>
    <t>Diária + Transporte 10.02</t>
  </si>
  <si>
    <t>11 DIÁRIAS</t>
  </si>
  <si>
    <t xml:space="preserve"> CLINICA DGM </t>
  </si>
  <si>
    <t>SALDO DIÁRIAS</t>
  </si>
  <si>
    <t>13 DIÁRIAS</t>
  </si>
  <si>
    <t>MARCOS VINICIUS BARBOSA CARDOSO</t>
  </si>
  <si>
    <t>9 DIÁRIAS</t>
  </si>
  <si>
    <t>VT + VA 09.03 a 13.03</t>
  </si>
  <si>
    <t>8 DIÁRIAS</t>
  </si>
  <si>
    <t>VT 09.03 a 13.03</t>
  </si>
  <si>
    <t>VA 23.02 a 27.02</t>
  </si>
  <si>
    <t>VA 02.03 a 06.03</t>
  </si>
  <si>
    <t>CAFÉ 03.03 a 06.03</t>
  </si>
  <si>
    <t xml:space="preserve">9 DIÁRIAS </t>
  </si>
  <si>
    <t>CAFÉ 09.03 A 13.03</t>
  </si>
  <si>
    <t>VT 21.02 E 22.02</t>
  </si>
  <si>
    <t>8 DÁRIAS</t>
  </si>
  <si>
    <t>CAFÉ 09.03 a 13.03</t>
  </si>
  <si>
    <t>REEMBOLSOS / EXTRAS</t>
  </si>
  <si>
    <t>SALDO 21.02 E 22.02</t>
  </si>
  <si>
    <t>VT 09.03 A 13.03</t>
  </si>
  <si>
    <t>VT 22.02, 28.02 e 01.03</t>
  </si>
  <si>
    <t>JOSUÉ DIAS DE ANDRADE</t>
  </si>
  <si>
    <t>RAFAEL - URBANOVA</t>
  </si>
  <si>
    <t>10 DIÁRIAS</t>
  </si>
  <si>
    <t>BONUS</t>
  </si>
  <si>
    <t>LIMPEZA CARRO</t>
  </si>
  <si>
    <t>VT (ABATIDO)</t>
  </si>
  <si>
    <t>LIMPEZA CLINICA</t>
  </si>
  <si>
    <t>12 DIÁRIAS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</si>
</sst>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0"/>
      <name val="Candara"/>
      <family val="2"/>
    </font>
    <font>
      <b/>
      <sz val="10"/>
      <color theme="0"/>
      <name val="Candara"/>
      <family val="2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sz val="11"/>
      <name val="Candara"/>
      <family val="2"/>
    </font>
    <font>
      <b/>
      <sz val="11"/>
      <name val="Candara"/>
      <family val="2"/>
    </font>
    <font>
      <sz val="10"/>
      <name val="Candara"/>
      <family val="2"/>
    </font>
    <font>
      <b/>
      <sz val="10"/>
      <name val="Candara"/>
      <family val="2"/>
    </font>
    <font>
      <sz val="11"/>
      <color theme="0"/>
      <name val="Candara"/>
      <family val="2"/>
    </font>
    <font>
      <sz val="10"/>
      <color theme="0"/>
      <name val="Candara"/>
      <family val="2"/>
    </font>
    <font>
      <b/>
      <sz val="11"/>
      <color theme="1"/>
      <name val="Candara"/>
      <family val="2"/>
    </font>
    <font>
      <sz val="9"/>
      <color theme="1"/>
      <name val="Candara"/>
      <family val="2"/>
    </font>
    <font>
      <sz val="10"/>
      <color rgb="FFFF0000"/>
      <name val="Candara"/>
      <family val="2"/>
    </font>
    <font>
      <b/>
      <sz val="12"/>
      <color theme="0"/>
      <name val="Candara"/>
      <family val="2"/>
    </font>
    <font>
      <sz val="9"/>
      <name val="Candara"/>
      <family val="2"/>
    </font>
    <font>
      <sz val="10"/>
      <color theme="7" tint="-0.249977111117893"/>
      <name val="Candar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Candara"/>
      <family val="2"/>
    </font>
    <font>
      <b/>
      <sz val="10"/>
      <color rgb="FF00B050"/>
      <name val="Candara"/>
      <family val="2"/>
    </font>
    <font>
      <b/>
      <sz val="11"/>
      <color rgb="FF00B050"/>
      <name val="Candara"/>
      <family val="2"/>
    </font>
    <font>
      <b/>
      <sz val="11"/>
      <color rgb="FFFF0000"/>
      <name val="Candar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249977111117893"/>
      </left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9">
    <xf numFmtId="0" fontId="0" fillId="0" borderId="0" xfId="0"/>
    <xf numFmtId="0" fontId="3" fillId="0" borderId="0" xfId="0" applyFont="1"/>
    <xf numFmtId="0" fontId="4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5" fillId="5" borderId="23" xfId="0" applyNumberFormat="1" applyFont="1" applyFill="1" applyBorder="1" applyAlignment="1">
      <alignment horizontal="center" vertical="center"/>
    </xf>
    <xf numFmtId="44" fontId="5" fillId="5" borderId="23" xfId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14" fontId="5" fillId="4" borderId="23" xfId="0" applyNumberFormat="1" applyFont="1" applyFill="1" applyBorder="1" applyAlignment="1">
      <alignment horizontal="center" vertical="center"/>
    </xf>
    <xf numFmtId="44" fontId="5" fillId="4" borderId="23" xfId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44" fontId="3" fillId="0" borderId="0" xfId="1" applyFont="1" applyAlignment="1">
      <alignment horizontal="center"/>
    </xf>
    <xf numFmtId="0" fontId="7" fillId="0" borderId="0" xfId="0" applyFont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44" fontId="5" fillId="2" borderId="12" xfId="1" applyFont="1" applyFill="1" applyBorder="1" applyAlignment="1">
      <alignment horizontal="center" vertical="center" wrapText="1"/>
    </xf>
    <xf numFmtId="44" fontId="5" fillId="2" borderId="9" xfId="1" applyFont="1" applyFill="1" applyBorder="1" applyAlignment="1">
      <alignment horizontal="center" vertical="center" wrapText="1"/>
    </xf>
    <xf numFmtId="44" fontId="8" fillId="0" borderId="1" xfId="1" applyFont="1" applyFill="1" applyBorder="1" applyAlignment="1">
      <alignment horizontal="center"/>
    </xf>
    <xf numFmtId="44" fontId="8" fillId="0" borderId="4" xfId="1" applyFont="1" applyFill="1" applyBorder="1" applyAlignment="1">
      <alignment horizontal="center"/>
    </xf>
    <xf numFmtId="44" fontId="8" fillId="6" borderId="3" xfId="1" applyFont="1" applyFill="1" applyBorder="1" applyAlignment="1">
      <alignment horizontal="center"/>
    </xf>
    <xf numFmtId="44" fontId="8" fillId="6" borderId="6" xfId="1" applyFont="1" applyFill="1" applyBorder="1" applyAlignment="1">
      <alignment horizontal="center"/>
    </xf>
    <xf numFmtId="44" fontId="8" fillId="6" borderId="7" xfId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44" fontId="7" fillId="11" borderId="17" xfId="1" applyFont="1" applyFill="1" applyBorder="1" applyAlignment="1">
      <alignment horizontal="center" vertical="center"/>
    </xf>
    <xf numFmtId="44" fontId="7" fillId="11" borderId="17" xfId="1" applyFont="1" applyFill="1" applyBorder="1" applyAlignment="1">
      <alignment horizontal="center"/>
    </xf>
    <xf numFmtId="44" fontId="7" fillId="11" borderId="1" xfId="1" applyFont="1" applyFill="1" applyBorder="1" applyAlignment="1">
      <alignment horizontal="center" vertical="center"/>
    </xf>
    <xf numFmtId="44" fontId="7" fillId="11" borderId="1" xfId="1" applyFont="1" applyFill="1" applyBorder="1" applyAlignment="1">
      <alignment horizontal="center"/>
    </xf>
    <xf numFmtId="44" fontId="8" fillId="0" borderId="5" xfId="1" applyFont="1" applyFill="1" applyBorder="1" applyAlignment="1">
      <alignment horizont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4" fontId="3" fillId="0" borderId="17" xfId="0" applyNumberFormat="1" applyFont="1" applyBorder="1"/>
    <xf numFmtId="0" fontId="3" fillId="0" borderId="17" xfId="0" applyFont="1" applyBorder="1"/>
    <xf numFmtId="44" fontId="3" fillId="12" borderId="1" xfId="0" applyNumberFormat="1" applyFont="1" applyFill="1" applyBorder="1"/>
    <xf numFmtId="0" fontId="3" fillId="12" borderId="1" xfId="0" applyFont="1" applyFill="1" applyBorder="1"/>
    <xf numFmtId="44" fontId="3" fillId="0" borderId="1" xfId="0" applyNumberFormat="1" applyFont="1" applyBorder="1"/>
    <xf numFmtId="0" fontId="3" fillId="0" borderId="1" xfId="0" applyFont="1" applyBorder="1"/>
    <xf numFmtId="44" fontId="14" fillId="0" borderId="17" xfId="0" applyNumberFormat="1" applyFont="1" applyBorder="1"/>
    <xf numFmtId="44" fontId="14" fillId="12" borderId="1" xfId="0" applyNumberFormat="1" applyFont="1" applyFill="1" applyBorder="1"/>
    <xf numFmtId="44" fontId="14" fillId="0" borderId="1" xfId="0" applyNumberFormat="1" applyFont="1" applyBorder="1"/>
    <xf numFmtId="14" fontId="7" fillId="0" borderId="0" xfId="0" applyNumberFormat="1" applyFont="1"/>
    <xf numFmtId="44" fontId="7" fillId="0" borderId="0" xfId="1" applyFont="1" applyBorder="1"/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7" fillId="0" borderId="17" xfId="0" applyNumberFormat="1" applyFont="1" applyBorder="1"/>
    <xf numFmtId="14" fontId="7" fillId="8" borderId="17" xfId="0" applyNumberFormat="1" applyFont="1" applyFill="1" applyBorder="1"/>
    <xf numFmtId="44" fontId="7" fillId="8" borderId="17" xfId="1" applyFont="1" applyFill="1" applyBorder="1"/>
    <xf numFmtId="0" fontId="15" fillId="8" borderId="17" xfId="0" applyFont="1" applyFill="1" applyBorder="1" applyAlignment="1">
      <alignment horizontal="center"/>
    </xf>
    <xf numFmtId="14" fontId="7" fillId="0" borderId="1" xfId="0" applyNumberFormat="1" applyFont="1" applyBorder="1"/>
    <xf numFmtId="44" fontId="7" fillId="0" borderId="1" xfId="1" applyFont="1" applyBorder="1"/>
    <xf numFmtId="0" fontId="7" fillId="0" borderId="1" xfId="0" applyFont="1" applyBorder="1"/>
    <xf numFmtId="14" fontId="7" fillId="8" borderId="1" xfId="0" applyNumberFormat="1" applyFont="1" applyFill="1" applyBorder="1"/>
    <xf numFmtId="44" fontId="7" fillId="8" borderId="1" xfId="1" applyFont="1" applyFill="1" applyBorder="1"/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8" borderId="17" xfId="0" applyNumberFormat="1" applyFont="1" applyFill="1" applyBorder="1" applyAlignment="1">
      <alignment horizontal="center"/>
    </xf>
    <xf numFmtId="14" fontId="7" fillId="8" borderId="1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7" fillId="11" borderId="1" xfId="0" applyNumberFormat="1" applyFont="1" applyFill="1" applyBorder="1" applyAlignment="1">
      <alignment horizontal="center"/>
    </xf>
    <xf numFmtId="44" fontId="7" fillId="11" borderId="1" xfId="1" applyFont="1" applyFill="1" applyBorder="1"/>
    <xf numFmtId="44" fontId="7" fillId="11" borderId="17" xfId="1" applyFont="1" applyFill="1" applyBorder="1"/>
    <xf numFmtId="14" fontId="7" fillId="11" borderId="1" xfId="0" applyNumberFormat="1" applyFont="1" applyFill="1" applyBorder="1"/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7" fillId="8" borderId="17" xfId="0" applyFont="1" applyFill="1" applyBorder="1"/>
    <xf numFmtId="0" fontId="3" fillId="0" borderId="0" xfId="0" applyFont="1" applyAlignment="1">
      <alignment horizontal="left"/>
    </xf>
    <xf numFmtId="44" fontId="0" fillId="0" borderId="0" xfId="0" applyNumberFormat="1"/>
    <xf numFmtId="44" fontId="7" fillId="0" borderId="1" xfId="1" applyFont="1" applyFill="1" applyBorder="1"/>
    <xf numFmtId="0" fontId="15" fillId="0" borderId="0" xfId="0" applyFont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0" borderId="0" xfId="0" applyFont="1"/>
    <xf numFmtId="0" fontId="15" fillId="0" borderId="1" xfId="0" applyFont="1" applyBorder="1"/>
    <xf numFmtId="0" fontId="15" fillId="8" borderId="17" xfId="0" applyFont="1" applyFill="1" applyBorder="1"/>
    <xf numFmtId="0" fontId="15" fillId="0" borderId="17" xfId="0" applyFont="1" applyBorder="1"/>
    <xf numFmtId="0" fontId="15" fillId="8" borderId="1" xfId="0" applyFont="1" applyFill="1" applyBorder="1"/>
    <xf numFmtId="0" fontId="15" fillId="11" borderId="1" xfId="0" applyFont="1" applyFill="1" applyBorder="1"/>
    <xf numFmtId="44" fontId="7" fillId="0" borderId="17" xfId="1" applyFont="1" applyFill="1" applyBorder="1"/>
    <xf numFmtId="14" fontId="7" fillId="0" borderId="1" xfId="0" applyNumberFormat="1" applyFont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/>
    </xf>
    <xf numFmtId="0" fontId="15" fillId="0" borderId="17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3" fillId="11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7" fillId="8" borderId="25" xfId="0" applyFont="1" applyFill="1" applyBorder="1" applyAlignment="1">
      <alignment horizontal="center"/>
    </xf>
    <xf numFmtId="0" fontId="8" fillId="0" borderId="0" xfId="0" applyFont="1"/>
    <xf numFmtId="14" fontId="7" fillId="0" borderId="0" xfId="0" applyNumberFormat="1" applyFont="1" applyAlignment="1">
      <alignment horizontal="center" vertical="center"/>
    </xf>
    <xf numFmtId="14" fontId="7" fillId="8" borderId="17" xfId="0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0" fontId="3" fillId="12" borderId="0" xfId="0" applyFont="1" applyFill="1"/>
    <xf numFmtId="44" fontId="10" fillId="0" borderId="1" xfId="1" applyFont="1" applyFill="1" applyBorder="1"/>
    <xf numFmtId="0" fontId="18" fillId="0" borderId="1" xfId="0" applyFont="1" applyBorder="1"/>
    <xf numFmtId="44" fontId="10" fillId="0" borderId="17" xfId="1" applyFont="1" applyFill="1" applyBorder="1"/>
    <xf numFmtId="0" fontId="18" fillId="0" borderId="1" xfId="0" quotePrefix="1" applyFont="1" applyBorder="1"/>
    <xf numFmtId="14" fontId="10" fillId="0" borderId="1" xfId="0" applyNumberFormat="1" applyFont="1" applyBorder="1"/>
    <xf numFmtId="14" fontId="7" fillId="0" borderId="17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14" fillId="0" borderId="0" xfId="1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44" fontId="9" fillId="0" borderId="1" xfId="1" applyFont="1" applyFill="1" applyBorder="1" applyAlignment="1">
      <alignment horizontal="center"/>
    </xf>
    <xf numFmtId="44" fontId="9" fillId="0" borderId="4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44" fontId="9" fillId="0" borderId="5" xfId="1" applyFont="1" applyFill="1" applyBorder="1" applyAlignment="1">
      <alignment horizontal="center"/>
    </xf>
    <xf numFmtId="44" fontId="9" fillId="6" borderId="3" xfId="1" applyFont="1" applyFill="1" applyBorder="1" applyAlignment="1">
      <alignment horizontal="center"/>
    </xf>
    <xf numFmtId="44" fontId="9" fillId="6" borderId="6" xfId="1" applyFont="1" applyFill="1" applyBorder="1" applyAlignment="1">
      <alignment horizontal="center"/>
    </xf>
    <xf numFmtId="44" fontId="9" fillId="6" borderId="7" xfId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44" fontId="6" fillId="11" borderId="17" xfId="1" applyFont="1" applyFill="1" applyBorder="1" applyAlignment="1">
      <alignment horizontal="center" vertical="center"/>
    </xf>
    <xf numFmtId="44" fontId="6" fillId="11" borderId="17" xfId="1" applyFont="1" applyFill="1" applyBorder="1" applyAlignment="1">
      <alignment horizontal="center"/>
    </xf>
    <xf numFmtId="44" fontId="6" fillId="11" borderId="1" xfId="1" applyFont="1" applyFill="1" applyBorder="1" applyAlignment="1">
      <alignment horizontal="center" vertical="center"/>
    </xf>
    <xf numFmtId="44" fontId="6" fillId="11" borderId="1" xfId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44" fontId="14" fillId="0" borderId="0" xfId="1" applyFont="1" applyAlignment="1">
      <alignment horizontal="left"/>
    </xf>
    <xf numFmtId="44" fontId="14" fillId="6" borderId="3" xfId="1" applyFont="1" applyFill="1" applyBorder="1" applyAlignment="1">
      <alignment horizontal="center"/>
    </xf>
    <xf numFmtId="44" fontId="14" fillId="6" borderId="6" xfId="1" applyFont="1" applyFill="1" applyBorder="1" applyAlignment="1">
      <alignment horizontal="center"/>
    </xf>
    <xf numFmtId="44" fontId="14" fillId="6" borderId="7" xfId="1" applyFont="1" applyFill="1" applyBorder="1" applyAlignment="1">
      <alignment horizontal="center"/>
    </xf>
    <xf numFmtId="44" fontId="20" fillId="11" borderId="17" xfId="1" applyFont="1" applyFill="1" applyBorder="1" applyAlignment="1">
      <alignment horizontal="center" vertical="center"/>
    </xf>
    <xf numFmtId="44" fontId="20" fillId="11" borderId="17" xfId="1" applyFont="1" applyFill="1" applyBorder="1" applyAlignment="1">
      <alignment horizontal="center"/>
    </xf>
    <xf numFmtId="44" fontId="14" fillId="11" borderId="17" xfId="1" applyFont="1" applyFill="1" applyBorder="1" applyAlignment="1">
      <alignment horizontal="center"/>
    </xf>
    <xf numFmtId="44" fontId="14" fillId="11" borderId="1" xfId="1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10" fillId="0" borderId="17" xfId="0" applyNumberFormat="1" applyFont="1" applyBorder="1" applyAlignment="1">
      <alignment horizontal="center"/>
    </xf>
    <xf numFmtId="0" fontId="18" fillId="0" borderId="17" xfId="0" applyFont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4" fontId="9" fillId="0" borderId="30" xfId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4" fontId="23" fillId="0" borderId="1" xfId="1" applyFont="1" applyFill="1" applyBorder="1" applyAlignment="1">
      <alignment horizontal="center"/>
    </xf>
    <xf numFmtId="44" fontId="23" fillId="0" borderId="4" xfId="1" applyFont="1" applyFill="1" applyBorder="1" applyAlignment="1">
      <alignment horizontal="center"/>
    </xf>
    <xf numFmtId="14" fontId="10" fillId="0" borderId="17" xfId="0" applyNumberFormat="1" applyFont="1" applyBorder="1"/>
    <xf numFmtId="0" fontId="18" fillId="0" borderId="17" xfId="0" applyFont="1" applyBorder="1"/>
    <xf numFmtId="44" fontId="7" fillId="0" borderId="0" xfId="1" applyFont="1" applyBorder="1" applyAlignment="1">
      <alignment horizontal="center"/>
    </xf>
    <xf numFmtId="44" fontId="7" fillId="8" borderId="17" xfId="1" applyFont="1" applyFill="1" applyBorder="1" applyAlignment="1">
      <alignment horizontal="center"/>
    </xf>
    <xf numFmtId="44" fontId="7" fillId="8" borderId="1" xfId="1" applyFont="1" applyFill="1" applyBorder="1" applyAlignment="1">
      <alignment horizontal="center"/>
    </xf>
    <xf numFmtId="14" fontId="9" fillId="0" borderId="32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44" fontId="24" fillId="0" borderId="1" xfId="1" applyFont="1" applyFill="1" applyBorder="1" applyAlignment="1">
      <alignment horizontal="center"/>
    </xf>
    <xf numFmtId="0" fontId="9" fillId="13" borderId="3" xfId="0" applyFont="1" applyFill="1" applyBorder="1" applyAlignment="1">
      <alignment vertical="center"/>
    </xf>
    <xf numFmtId="0" fontId="9" fillId="13" borderId="6" xfId="0" applyFont="1" applyFill="1" applyBorder="1" applyAlignment="1">
      <alignment vertical="center"/>
    </xf>
    <xf numFmtId="44" fontId="9" fillId="13" borderId="2" xfId="1" applyFont="1" applyFill="1" applyBorder="1" applyAlignment="1">
      <alignment vertical="center"/>
    </xf>
    <xf numFmtId="44" fontId="24" fillId="0" borderId="4" xfId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24" fillId="0" borderId="5" xfId="0" applyNumberFormat="1" applyFont="1" applyBorder="1" applyAlignment="1">
      <alignment horizontal="center" vertical="center"/>
    </xf>
    <xf numFmtId="14" fontId="7" fillId="13" borderId="1" xfId="0" applyNumberFormat="1" applyFont="1" applyFill="1" applyBorder="1"/>
    <xf numFmtId="0" fontId="3" fillId="0" borderId="0" xfId="0" applyFont="1" applyAlignment="1">
      <alignment horizontal="center"/>
    </xf>
    <xf numFmtId="0" fontId="7" fillId="0" borderId="17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11" borderId="4" xfId="0" applyFont="1" applyFill="1" applyBorder="1" applyAlignment="1">
      <alignment horizontal="right"/>
    </xf>
    <xf numFmtId="0" fontId="6" fillId="11" borderId="5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44" fontId="17" fillId="2" borderId="3" xfId="1" applyFont="1" applyFill="1" applyBorder="1" applyAlignment="1">
      <alignment horizontal="center"/>
    </xf>
    <xf numFmtId="44" fontId="17" fillId="2" borderId="6" xfId="1" applyFont="1" applyFill="1" applyBorder="1" applyAlignment="1">
      <alignment horizontal="center"/>
    </xf>
    <xf numFmtId="44" fontId="17" fillId="2" borderId="7" xfId="1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right"/>
    </xf>
    <xf numFmtId="0" fontId="6" fillId="11" borderId="8" xfId="0" applyFont="1" applyFill="1" applyBorder="1" applyAlignment="1">
      <alignment horizontal="right"/>
    </xf>
    <xf numFmtId="0" fontId="9" fillId="15" borderId="3" xfId="0" applyFont="1" applyFill="1" applyBorder="1" applyAlignment="1">
      <alignment horizontal="left" vertical="center"/>
    </xf>
    <xf numFmtId="0" fontId="9" fillId="15" borderId="6" xfId="0" applyFont="1" applyFill="1" applyBorder="1" applyAlignment="1">
      <alignment horizontal="left" vertical="center"/>
    </xf>
    <xf numFmtId="0" fontId="9" fillId="15" borderId="7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left" vertical="center"/>
    </xf>
    <xf numFmtId="0" fontId="9" fillId="13" borderId="6" xfId="0" applyFont="1" applyFill="1" applyBorder="1" applyAlignment="1">
      <alignment horizontal="left" vertical="center"/>
    </xf>
    <xf numFmtId="0" fontId="9" fillId="13" borderId="7" xfId="0" applyFont="1" applyFill="1" applyBorder="1" applyAlignment="1">
      <alignment horizontal="left" vertical="center"/>
    </xf>
    <xf numFmtId="0" fontId="24" fillId="15" borderId="3" xfId="0" applyFont="1" applyFill="1" applyBorder="1" applyAlignment="1">
      <alignment horizontal="left" vertical="center"/>
    </xf>
    <xf numFmtId="0" fontId="24" fillId="15" borderId="6" xfId="0" applyFont="1" applyFill="1" applyBorder="1" applyAlignment="1">
      <alignment horizontal="left" vertical="center"/>
    </xf>
    <xf numFmtId="0" fontId="24" fillId="15" borderId="7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6" xfId="0" applyFont="1" applyFill="1" applyBorder="1" applyAlignment="1">
      <alignment horizontal="left" vertical="center"/>
    </xf>
    <xf numFmtId="0" fontId="9" fillId="12" borderId="7" xfId="0" applyFont="1" applyFill="1" applyBorder="1" applyAlignment="1">
      <alignment horizontal="left" vertical="center"/>
    </xf>
    <xf numFmtId="44" fontId="4" fillId="2" borderId="3" xfId="1" applyFont="1" applyFill="1" applyBorder="1" applyAlignment="1">
      <alignment horizontal="center"/>
    </xf>
    <xf numFmtId="44" fontId="4" fillId="2" borderId="6" xfId="1" applyFont="1" applyFill="1" applyBorder="1" applyAlignment="1">
      <alignment horizontal="center"/>
    </xf>
    <xf numFmtId="44" fontId="4" fillId="2" borderId="7" xfId="1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7" xfId="0" quotePrefix="1" applyFont="1" applyBorder="1" applyAlignment="1">
      <alignment horizontal="left"/>
    </xf>
    <xf numFmtId="0" fontId="24" fillId="16" borderId="3" xfId="0" applyFont="1" applyFill="1" applyBorder="1" applyAlignment="1">
      <alignment horizontal="left" vertical="center"/>
    </xf>
    <xf numFmtId="0" fontId="24" fillId="16" borderId="6" xfId="0" applyFont="1" applyFill="1" applyBorder="1" applyAlignment="1">
      <alignment horizontal="left" vertical="center"/>
    </xf>
    <xf numFmtId="0" fontId="24" fillId="16" borderId="7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right" vertical="center"/>
    </xf>
    <xf numFmtId="0" fontId="5" fillId="2" borderId="22" xfId="0" applyFont="1" applyFill="1" applyBorder="1" applyAlignment="1">
      <alignment horizontal="right" vertical="center"/>
    </xf>
    <xf numFmtId="0" fontId="11" fillId="13" borderId="3" xfId="0" applyFont="1" applyFill="1" applyBorder="1" applyAlignment="1">
      <alignment horizontal="left" vertical="center"/>
    </xf>
    <xf numFmtId="0" fontId="11" fillId="13" borderId="6" xfId="0" applyFont="1" applyFill="1" applyBorder="1" applyAlignment="1">
      <alignment horizontal="left" vertical="center"/>
    </xf>
    <xf numFmtId="0" fontId="11" fillId="13" borderId="7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right" vertical="center" wrapText="1"/>
    </xf>
    <xf numFmtId="0" fontId="5" fillId="4" borderId="22" xfId="0" applyFont="1" applyFill="1" applyBorder="1" applyAlignment="1">
      <alignment horizontal="right" vertical="center" wrapText="1"/>
    </xf>
    <xf numFmtId="44" fontId="6" fillId="9" borderId="3" xfId="1" applyFont="1" applyFill="1" applyBorder="1" applyAlignment="1">
      <alignment horizontal="center" vertical="center"/>
    </xf>
    <xf numFmtId="44" fontId="6" fillId="9" borderId="7" xfId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2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5" fillId="3" borderId="18" xfId="0" applyFont="1" applyFill="1" applyBorder="1" applyAlignment="1">
      <alignment horizontal="right" vertical="center"/>
    </xf>
    <xf numFmtId="0" fontId="5" fillId="3" borderId="20" xfId="0" applyFont="1" applyFill="1" applyBorder="1" applyAlignment="1">
      <alignment horizontal="right" vertical="center"/>
    </xf>
    <xf numFmtId="44" fontId="6" fillId="10" borderId="3" xfId="1" applyFont="1" applyFill="1" applyBorder="1" applyAlignment="1">
      <alignment horizontal="center" vertical="center"/>
    </xf>
    <xf numFmtId="44" fontId="6" fillId="10" borderId="7" xfId="1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left" vertical="center"/>
    </xf>
    <xf numFmtId="0" fontId="11" fillId="15" borderId="6" xfId="0" applyFont="1" applyFill="1" applyBorder="1" applyAlignment="1">
      <alignment horizontal="left" vertical="center"/>
    </xf>
    <xf numFmtId="0" fontId="11" fillId="15" borderId="7" xfId="0" applyFont="1" applyFill="1" applyBorder="1" applyAlignment="1">
      <alignment horizontal="left" vertical="center"/>
    </xf>
    <xf numFmtId="0" fontId="21" fillId="15" borderId="3" xfId="0" applyFont="1" applyFill="1" applyBorder="1" applyAlignment="1">
      <alignment horizontal="left" vertical="center"/>
    </xf>
    <xf numFmtId="0" fontId="21" fillId="15" borderId="6" xfId="0" applyFont="1" applyFill="1" applyBorder="1" applyAlignment="1">
      <alignment horizontal="left" vertical="center"/>
    </xf>
    <xf numFmtId="0" fontId="21" fillId="15" borderId="7" xfId="0" applyFont="1" applyFill="1" applyBorder="1" applyAlignment="1">
      <alignment horizontal="left" vertical="center"/>
    </xf>
    <xf numFmtId="44" fontId="6" fillId="10" borderId="3" xfId="1" applyFont="1" applyFill="1" applyBorder="1" applyAlignment="1">
      <alignment horizontal="center"/>
    </xf>
    <xf numFmtId="44" fontId="6" fillId="10" borderId="7" xfId="1" applyFont="1" applyFill="1" applyBorder="1" applyAlignment="1">
      <alignment horizontal="center"/>
    </xf>
    <xf numFmtId="44" fontId="6" fillId="9" borderId="3" xfId="1" applyFont="1" applyFill="1" applyBorder="1" applyAlignment="1">
      <alignment horizontal="center"/>
    </xf>
    <xf numFmtId="44" fontId="6" fillId="9" borderId="7" xfId="1" applyFont="1" applyFill="1" applyBorder="1" applyAlignment="1">
      <alignment horizontal="center"/>
    </xf>
    <xf numFmtId="0" fontId="11" fillId="13" borderId="13" xfId="0" applyFont="1" applyFill="1" applyBorder="1" applyAlignment="1">
      <alignment horizontal="left" vertical="center"/>
    </xf>
    <xf numFmtId="0" fontId="11" fillId="13" borderId="14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right" wrapText="1"/>
    </xf>
    <xf numFmtId="0" fontId="5" fillId="4" borderId="22" xfId="0" applyFont="1" applyFill="1" applyBorder="1" applyAlignment="1">
      <alignment horizontal="right" wrapText="1"/>
    </xf>
    <xf numFmtId="0" fontId="5" fillId="5" borderId="18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right"/>
    </xf>
    <xf numFmtId="0" fontId="5" fillId="3" borderId="20" xfId="0" applyFont="1" applyFill="1" applyBorder="1" applyAlignment="1">
      <alignment horizontal="right"/>
    </xf>
    <xf numFmtId="0" fontId="11" fillId="15" borderId="13" xfId="0" applyFont="1" applyFill="1" applyBorder="1" applyAlignment="1">
      <alignment horizontal="left" vertical="center"/>
    </xf>
    <xf numFmtId="0" fontId="11" fillId="15" borderId="14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1" fillId="16" borderId="3" xfId="0" applyFont="1" applyFill="1" applyBorder="1" applyAlignment="1">
      <alignment horizontal="left" vertical="center"/>
    </xf>
    <xf numFmtId="0" fontId="21" fillId="16" borderId="6" xfId="0" applyFont="1" applyFill="1" applyBorder="1" applyAlignment="1">
      <alignment horizontal="left" vertical="center"/>
    </xf>
    <xf numFmtId="0" fontId="21" fillId="16" borderId="7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right"/>
    </xf>
    <xf numFmtId="0" fontId="6" fillId="11" borderId="17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right"/>
    </xf>
    <xf numFmtId="0" fontId="4" fillId="14" borderId="27" xfId="0" applyFont="1" applyFill="1" applyBorder="1" applyAlignment="1">
      <alignment horizontal="center"/>
    </xf>
    <xf numFmtId="0" fontId="4" fillId="14" borderId="28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2346"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/>
      </font>
    </dxf>
    <dxf>
      <font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ill>
        <patternFill>
          <fgColor theme="9" tint="0.39991454817346722"/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ont>
        <color theme="5"/>
      </font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f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BE9F5-3B95-45E1-8783-9CF84EDA71E1}" name="Tabela1" displayName="Tabela1" ref="A3:F368" totalsRowShown="0" headerRowDxfId="2345" dataDxfId="2344" tableBorderDxfId="2343" headerRowCellStyle="Moeda">
  <autoFilter ref="A3:F368" xr:uid="{30EBE9F5-3B95-45E1-8783-9CF84EDA71E1}">
    <filterColumn colId="2">
      <customFilters>
        <customFilter operator="notEqual" val=" "/>
      </customFilters>
    </filterColumn>
  </autoFilter>
  <tableColumns count="6">
    <tableColumn id="1" xr3:uid="{64A1F125-81D6-49B5-99C0-5FDC2B424AD2}" name="DATA" dataDxfId="2342"/>
    <tableColumn id="2" xr3:uid="{B48608FC-FCC0-418F-BC94-FF1B9C2C25F2}" name="DIA DA SEMANA" dataDxfId="2341"/>
    <tableColumn id="3" xr3:uid="{1C74C1C1-35F4-4F42-BB20-45CDB41E06B8}" name="CENTRO DE CUSTO" dataDxfId="2340"/>
    <tableColumn id="4" xr3:uid="{DD69769D-23D0-4893-8E36-7D5AB944C18F}" name="$ DIÁRIA" dataDxfId="2339" dataCellStyle="Moeda"/>
    <tableColumn id="5" xr3:uid="{F8D943F0-3E62-4A02-8073-2160638E6D0A}" name="$ VT" dataDxfId="2338" dataCellStyle="Moeda"/>
    <tableColumn id="6" xr3:uid="{3833A732-79CF-46A9-8B05-47912AABFEC7}" name="$ VA" dataDxfId="2337" dataCellStyle="Moeda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29B573-67E1-4E15-BE01-CC54FDDC5521}" name="Tabela116" displayName="Tabela116" ref="H3:M368" totalsRowShown="0" headerRowDxfId="2336" tableBorderDxfId="2335" headerRowCellStyle="Moeda">
  <autoFilter ref="H3:M368" xr:uid="{F029B573-67E1-4E15-BE01-CC54FDDC5521}"/>
  <tableColumns count="6">
    <tableColumn id="1" xr3:uid="{707D5E80-74B9-4F3B-A8A0-327DA77DA2F9}" name="DATA" dataDxfId="2334"/>
    <tableColumn id="2" xr3:uid="{5D2B3C33-2F99-4EA7-B666-7CEBDA61C26C}" name="DIA DA SEMANA" dataDxfId="2333"/>
    <tableColumn id="3" xr3:uid="{249E595A-D2EB-4312-B1EA-1974C9277312}" name="CENTRO DE CUSTO" dataDxfId="2332"/>
    <tableColumn id="4" xr3:uid="{9AA16078-FA91-4F26-ABA3-31856708E61C}" name="$ DIÁRIA" dataDxfId="2331" dataCellStyle="Moeda"/>
    <tableColumn id="5" xr3:uid="{2F6E21C6-A7CE-474A-8665-06BE62692B58}" name="$ VT" dataDxfId="2330" dataCellStyle="Moeda"/>
    <tableColumn id="6" xr3:uid="{D458EB5B-FC55-4C13-9D14-E0BEFF21D064}" name="$ VA" dataDxfId="2329" dataCellStyle="Moeda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71B0BE9-F71C-4223-8D6D-62F60F88529B}" name="Tabela117" displayName="Tabela117" ref="O3:T368" totalsRowShown="0" headerRowDxfId="2328" tableBorderDxfId="2327" headerRowCellStyle="Moeda">
  <autoFilter ref="O3:T368" xr:uid="{171B0BE9-F71C-4223-8D6D-62F60F88529B}"/>
  <tableColumns count="6">
    <tableColumn id="1" xr3:uid="{04E645F6-1DF5-4C70-BCD2-F1D4A73CCB4A}" name="DATA" dataDxfId="2326"/>
    <tableColumn id="2" xr3:uid="{B3192716-96DE-4D4B-BFA8-D9D3E7E7B642}" name="DIA DA SEMANA" dataDxfId="2325"/>
    <tableColumn id="3" xr3:uid="{1CE55201-FEEB-4EC3-8FA3-48BB363954B4}" name="CENTRO DE CUSTO" dataDxfId="2324"/>
    <tableColumn id="4" xr3:uid="{3445D1DA-7FD1-4D60-ABA6-306FFF1CC565}" name="$ DIÁRIA" dataDxfId="2323" dataCellStyle="Moeda"/>
    <tableColumn id="5" xr3:uid="{A2223405-44C7-4283-BBCB-9F9945EBCC38}" name="$ VT" dataDxfId="2322" dataCellStyle="Moeda"/>
    <tableColumn id="6" xr3:uid="{E80D0E17-44A1-437C-A837-DDBBF9A970F4}" name="$ VA" dataDxfId="2321" dataCellStyle="Moeda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6B58267-0225-409B-B8D1-AABE26B32AA5}" name="Tabela118" displayName="Tabela118" ref="V3:AA369" totalsRowShown="0" headerRowDxfId="2320" tableBorderDxfId="2319" headerRowCellStyle="Moeda">
  <autoFilter ref="V3:AA369" xr:uid="{A6B58267-0225-409B-B8D1-AABE26B32AA5}">
    <filterColumn colId="2">
      <filters>
        <filter val="GESPI - REFEITORIO"/>
      </filters>
    </filterColumn>
  </autoFilter>
  <tableColumns count="6">
    <tableColumn id="1" xr3:uid="{C3F19C76-976A-43CF-A0C0-03663AB03B96}" name="DATA" dataDxfId="2318"/>
    <tableColumn id="2" xr3:uid="{A9959D18-8243-42F1-9F63-2A690993A8BD}" name="DIA DA SEMANA" dataDxfId="2317"/>
    <tableColumn id="3" xr3:uid="{849D0DF2-0CC2-4385-A738-C2F9DACF95C8}" name="CENTRO DE CUSTO" dataDxfId="2316"/>
    <tableColumn id="4" xr3:uid="{DBD7DC28-54D6-403B-A6A8-1A89830DAD38}" name="$ DIÁRIA" dataDxfId="2315" dataCellStyle="Moeda"/>
    <tableColumn id="5" xr3:uid="{52A08E69-3ABA-484C-96E4-FF8410759119}" name="$ VT" dataDxfId="2314" dataCellStyle="Moeda"/>
    <tableColumn id="6" xr3:uid="{1D274EC2-B703-4952-B15B-F0B44E511834}" name="$ VA" dataDxfId="2313" dataCellStyle="Moeda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AFF8C68-B79F-4B13-8084-4F6D1B27961B}" name="Tabela120" displayName="Tabela120" ref="AC3:AH368" totalsRowShown="0" headerRowDxfId="2312" tableBorderDxfId="2311" headerRowCellStyle="Moeda">
  <autoFilter ref="AC3:AH368" xr:uid="{6AFF8C68-B79F-4B13-8084-4F6D1B27961B}">
    <filterColumn colId="2">
      <filters>
        <filter val="GESPI - REFEITORIO"/>
      </filters>
    </filterColumn>
  </autoFilter>
  <tableColumns count="6">
    <tableColumn id="1" xr3:uid="{793D4D56-EA98-4461-A4C4-CB3E40F1581E}" name="DATA" dataDxfId="2310"/>
    <tableColumn id="2" xr3:uid="{C0302BFB-6640-427E-B06E-D1A1C686352E}" name="DIA DA SEMANA" dataDxfId="2309"/>
    <tableColumn id="3" xr3:uid="{12AB3EE3-4E5D-41FB-9B6D-EA31FFC4F59B}" name="CENTRO DE CUSTO" dataDxfId="2308"/>
    <tableColumn id="4" xr3:uid="{56A1989B-F66B-4362-B6BB-C8F9FB511C8E}" name="$ DIÁRIA" dataDxfId="2307" dataCellStyle="Moeda"/>
    <tableColumn id="5" xr3:uid="{08AA130E-0F16-462C-9EFB-C7B576A0EBB1}" name="$ VT" dataDxfId="2306" dataCellStyle="Moeda"/>
    <tableColumn id="6" xr3:uid="{BFC128B3-9299-4ECA-83EA-FD101C9C385A}" name="$ VA" dataDxfId="2305" dataCellStyle="Moeda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CEE587C-A88D-4F7D-A7B3-1C6E2802C518}" name="Tabela122" displayName="Tabela122" ref="AJ3:AO368" totalsRowShown="0" headerRowDxfId="2304" tableBorderDxfId="2303" headerRowCellStyle="Moeda">
  <autoFilter ref="AJ3:AO368" xr:uid="{9CEE587C-A88D-4F7D-A7B3-1C6E2802C518}"/>
  <tableColumns count="6">
    <tableColumn id="1" xr3:uid="{0E6D6F25-C9C3-4AD8-9E78-91004DAC6E54}" name="DATA" dataDxfId="2302"/>
    <tableColumn id="2" xr3:uid="{AF24084B-E21D-4FD2-AC19-17EB718B3420}" name="DIA DA SEMANA" dataDxfId="2301"/>
    <tableColumn id="3" xr3:uid="{E5AA3A4B-8B93-44B5-BDAE-C4C584A63E2C}" name="CENTRO DE CUSTO" dataDxfId="2300"/>
    <tableColumn id="4" xr3:uid="{DAD12370-0095-4D5A-B371-57379B2FF928}" name="$ DIÁRIA" dataDxfId="2299" dataCellStyle="Moeda"/>
    <tableColumn id="5" xr3:uid="{1A7A4829-A974-41EF-8387-17DD40B058EA}" name="$ VT" dataDxfId="2298" dataCellStyle="Moeda"/>
    <tableColumn id="6" xr3:uid="{95D24D16-D405-401D-BFAF-DA21A30B36B1}" name="$ VA" dataDxfId="2297" dataCellStyle="Moeda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7AA6C-B6FC-4A85-8F81-451014013534}" name="Tabela1233" displayName="Tabela1233" ref="AQ3:AV368" totalsRowShown="0" headerRowDxfId="2296" tableBorderDxfId="2295" headerRowCellStyle="Moeda">
  <autoFilter ref="AQ3:AV368" xr:uid="{AD57AA6C-B6FC-4A85-8F81-451014013534}"/>
  <tableColumns count="6">
    <tableColumn id="1" xr3:uid="{C06CDB92-3EAD-4D16-A656-CCB94C0A1C4F}" name="DATA" dataDxfId="2294"/>
    <tableColumn id="2" xr3:uid="{EB80581D-9C40-49A8-8468-C82536C69352}" name="DIA DA SEMANA" dataDxfId="2293"/>
    <tableColumn id="3" xr3:uid="{A031D0D4-3369-40C1-8E1F-1E8CFF56FE61}" name="CENTRO DE CUSTO" dataDxfId="2292"/>
    <tableColumn id="4" xr3:uid="{E1721F4D-88FB-4C62-BA5E-754978324BD5}" name="$ DIÁRIA" dataDxfId="2291" dataCellStyle="Moeda"/>
    <tableColumn id="5" xr3:uid="{8BE6887C-F567-49CF-81AB-A98515194881}" name="$ VT" dataDxfId="2290" dataCellStyle="Moeda"/>
    <tableColumn id="6" xr3:uid="{7BAB3BD1-E618-4B58-B75C-6A268258EE92}" name="$ VA" dataDxfId="2289" dataCellStyle="Moeda"/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ABEE7F-617A-4258-9C50-82BE73D21C9A}" name="Tabela123345" displayName="Tabela123345" ref="AX3:BC369" totalsRowShown="0" headerRowDxfId="2288" tableBorderDxfId="2287" headerRowCellStyle="Moeda">
  <autoFilter ref="AX3:BC369" xr:uid="{C8ABEE7F-617A-4258-9C50-82BE73D21C9A}">
    <filterColumn colId="2">
      <filters>
        <filter val="GESPI - REFEITORIO"/>
      </filters>
    </filterColumn>
  </autoFilter>
  <tableColumns count="6">
    <tableColumn id="1" xr3:uid="{8287BA5E-3468-4CCC-8BF2-1991C196B954}" name="DATA" dataDxfId="2286"/>
    <tableColumn id="2" xr3:uid="{216EC3FC-3FF1-4470-8923-1E91E05E2344}" name="DIA DA SEMANA" dataDxfId="2285"/>
    <tableColumn id="3" xr3:uid="{125B53B8-6923-4DF5-B80A-0A0227C4090B}" name="CENTRO DE CUSTO" dataDxfId="2284"/>
    <tableColumn id="4" xr3:uid="{6E6A4B88-2F79-4E96-9E8E-D39C65965FE0}" name="$ DIÁRIA" dataDxfId="2283" dataCellStyle="Moeda"/>
    <tableColumn id="5" xr3:uid="{3C6F9C9F-C352-49B0-8776-D7FF4BB739CA}" name="$ VT" dataDxfId="2282" dataCellStyle="Moeda"/>
    <tableColumn id="6" xr3:uid="{B9CCDD6F-E179-4D5F-BFFE-6FA868CB4AA1}" name="$ VA" dataDxfId="2281" dataCellStyle="Moeda"/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9F4126-C50C-4439-81B0-85B7887081C9}" name="Tabela12334567" displayName="Tabela12334567" ref="BE3:BJ368" totalsRowShown="0" headerRowDxfId="2280" tableBorderDxfId="2279" headerRowCellStyle="Moeda">
  <autoFilter ref="BE3:BJ368" xr:uid="{5A9F4126-C50C-4439-81B0-85B7887081C9}"/>
  <tableColumns count="6">
    <tableColumn id="1" xr3:uid="{A8D945E6-81F6-4BB9-BC4A-DD810864B49D}" name="DATA" dataDxfId="2278"/>
    <tableColumn id="2" xr3:uid="{19BB3710-78FD-42BC-8E50-4EB4525EA3C2}" name="DIA DA SEMANA" dataDxfId="2277"/>
    <tableColumn id="3" xr3:uid="{90500593-1477-4B8F-A993-AA1FCD8E52C2}" name="CENTRO DE CUSTO" dataDxfId="2276"/>
    <tableColumn id="4" xr3:uid="{19A4655F-C625-4A9D-860B-5BBD765A7501}" name="$ DIÁRIA" dataDxfId="2275" dataCellStyle="Moeda"/>
    <tableColumn id="5" xr3:uid="{3B959D9F-6260-498E-B440-D813AB09C7F8}" name="$ VT" dataDxfId="2274" dataCellStyle="Moeda"/>
    <tableColumn id="6" xr3:uid="{36735679-9C8C-4EBB-8FAA-DDF283E1BC47}" name="$ VA" dataDxfId="2273" dataCellStyle="Moeda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E51191-1823-4D0A-862F-59239D487158}" name="Tabela123345678" displayName="Tabela123345678" ref="BL3:BQ368" totalsRowShown="0" headerRowDxfId="2272" tableBorderDxfId="2271" headerRowCellStyle="Moeda">
  <autoFilter ref="BL3:BQ368" xr:uid="{03E51191-1823-4D0A-862F-59239D487158}"/>
  <tableColumns count="6">
    <tableColumn id="1" xr3:uid="{ACBF5154-FE31-4902-9A18-778DB810C4EA}" name="DATA" dataDxfId="2270"/>
    <tableColumn id="2" xr3:uid="{86743866-E75A-4DE0-9ACE-0FC48A4A0E74}" name="DIA DA SEMANA" dataDxfId="2269"/>
    <tableColumn id="3" xr3:uid="{4FB4C2E5-A4E2-4C2D-84D3-1F1F2576CFFC}" name="CENTRO DE CUSTO" dataDxfId="2268"/>
    <tableColumn id="4" xr3:uid="{340D3088-9387-4E44-996D-81DED526BEA9}" name="$ DIÁRIA" dataDxfId="2267" dataCellStyle="Moeda"/>
    <tableColumn id="5" xr3:uid="{AE296285-CE73-4C5E-B538-929411243BF6}" name="$ VT" dataDxfId="2266" dataCellStyle="Moeda"/>
    <tableColumn id="6" xr3:uid="{2A247400-A5F3-473B-A159-6452FECA1C4C}" name="$ VA" dataDxfId="2265" dataCellStyle="Moeda"/>
  </tableColumns>
  <tableStyleInfo name="TableStyleLight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743BC5-A6EE-40FA-9E49-9FC3E49A64E2}" name="Tabela1233456789" displayName="Tabela1233456789" ref="BS3:BX368" totalsRowShown="0" headerRowDxfId="2264" tableBorderDxfId="2263" headerRowCellStyle="Moeda">
  <autoFilter ref="BS3:BX368" xr:uid="{A1743BC5-A6EE-40FA-9E49-9FC3E49A64E2}"/>
  <tableColumns count="6">
    <tableColumn id="1" xr3:uid="{2307BE31-EC14-4020-ACBA-72CE8962377A}" name="DATA" dataDxfId="2262"/>
    <tableColumn id="2" xr3:uid="{2EBE9422-37EA-4CF2-8DB8-2A2EA0436BB7}" name="DIA DA SEMANA" dataDxfId="2261"/>
    <tableColumn id="3" xr3:uid="{419D9542-9E5C-4790-9DFC-997D99AA2826}" name="CENTRO DE CUSTO" dataDxfId="2260"/>
    <tableColumn id="4" xr3:uid="{F70E1943-BBC0-45C3-8341-5FCB169D2912}" name="$ DIÁRIA" dataDxfId="2259" dataCellStyle="Moeda"/>
    <tableColumn id="5" xr3:uid="{2E13E0CD-86A6-4E8C-9DB0-B7A2216F8F63}" name="$ VT" dataDxfId="2258" dataCellStyle="Moeda"/>
    <tableColumn id="6" xr3:uid="{25B761D0-FCCD-4169-94E4-566E3203AD56}" name="$ VA" dataDxfId="2257" dataCellStyle="Moeda"/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F69A95-D037-4DC4-A844-CFAF5665BD8D}" name="Tabela12334567894" displayName="Tabela12334567894" ref="BZ3:CE369" totalsRowShown="0" headerRowDxfId="2256" tableBorderDxfId="2255" headerRowCellStyle="Moeda">
  <autoFilter ref="BZ3:CE369" xr:uid="{C2F69A95-D037-4DC4-A844-CFAF5665BD8D}"/>
  <tableColumns count="6">
    <tableColumn id="1" xr3:uid="{E9E5F51A-FF40-4CA5-B525-8291538C26B1}" name="DATA" dataDxfId="2254"/>
    <tableColumn id="2" xr3:uid="{025C36D9-9713-42A7-BC8F-8998F83CBCC1}" name="DIA DA SEMANA" dataDxfId="2253"/>
    <tableColumn id="3" xr3:uid="{0F82826E-42EE-416D-A092-AFB7E852117C}" name="CENTRO DE CUSTO" dataDxfId="2252"/>
    <tableColumn id="4" xr3:uid="{19EB88F9-5F92-474A-83E7-C87698708D98}" name="$ DIÁRIA" dataDxfId="2251" dataCellStyle="Moeda"/>
    <tableColumn id="5" xr3:uid="{6C87A4BC-6BDC-4401-A2AA-9DE966CBFD45}" name="$ VT" dataDxfId="2250" dataCellStyle="Moeda"/>
    <tableColumn id="6" xr3:uid="{DE6BAC27-CBFB-4F34-A1F6-D161B0E08713}" name="$ VA" dataDxfId="2249" dataCellStyle="Moeda"/>
  </tableColumns>
  <tableStyleInfo name="TableStyleLight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BD447E-9937-4A11-B438-5A000D8B79EF}" name="Tabela123345678946" displayName="Tabela123345678946" ref="CG3:CL368" totalsRowShown="0" headerRowDxfId="2248" tableBorderDxfId="2247" headerRowCellStyle="Moeda">
  <autoFilter ref="CG3:CL368" xr:uid="{BABD447E-9937-4A11-B438-5A000D8B79EF}"/>
  <tableColumns count="6">
    <tableColumn id="1" xr3:uid="{FF1DBF7C-45CE-45E2-821E-ECDA0E20834B}" name="DATA" dataDxfId="2246"/>
    <tableColumn id="2" xr3:uid="{CC962987-C28C-4159-9F79-AFCFFE84448F}" name="DIA DA SEMANA" dataDxfId="2245"/>
    <tableColumn id="3" xr3:uid="{2ED52806-1564-4634-913B-81FBF708863C}" name="CENTRO DE CUSTO" dataDxfId="2244"/>
    <tableColumn id="4" xr3:uid="{1347CC68-94F5-4A86-8D8E-7D664054BE06}" name="$ DIÁRIA" dataDxfId="2243" dataCellStyle="Moeda"/>
    <tableColumn id="5" xr3:uid="{E783B3CE-9FF8-41DC-8C05-56AEA93EF447}" name="$ VT" dataDxfId="2242" dataCellStyle="Moeda"/>
    <tableColumn id="6" xr3:uid="{D0F29D26-086A-489E-9FA1-D6466E80B8ED}" name="$ VA" dataDxfId="2241" dataCellStyle="Moeda"/>
  </tableColumns>
  <tableStyleInfo name="TableStyleLight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1E0F0F-5F55-4879-BF43-954CB4BE826B}" name="Tabela12334567894610" displayName="Tabela12334567894610" ref="CN3:CS368" totalsRowShown="0" headerRowDxfId="2240" tableBorderDxfId="2239" headerRowCellStyle="Moeda">
  <autoFilter ref="CN3:CS368" xr:uid="{921E0F0F-5F55-4879-BF43-954CB4BE826B}"/>
  <tableColumns count="6">
    <tableColumn id="1" xr3:uid="{C6EA19E3-8A8F-4C27-91E7-6B2B1525F22E}" name="DATA" dataDxfId="2238"/>
    <tableColumn id="2" xr3:uid="{0243B588-6CB9-4E16-973E-E7E4E72F8AB6}" name="DIA DA SEMANA" dataDxfId="2237"/>
    <tableColumn id="3" xr3:uid="{990727E1-09B0-4A85-828B-09D739AD1318}" name="CENTRO DE CUSTO" dataDxfId="2236"/>
    <tableColumn id="4" xr3:uid="{A1FA24CF-3022-4BB7-9E61-AAA3614727DD}" name="$ DIÁRIA" dataDxfId="2235" dataCellStyle="Moeda"/>
    <tableColumn id="5" xr3:uid="{9FF9B1EE-75F2-43AF-A3F8-9CECD9906C98}" name="$ VT" dataDxfId="2234" dataCellStyle="Moeda"/>
    <tableColumn id="6" xr3:uid="{3A79C467-B0B5-483E-9613-6154CD9064A4}" name="$ VA" dataDxfId="2233" dataCellStyle="Moeda"/>
  </tableColumns>
  <tableStyleInfo name="TableStyleLight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3044CB-3195-4610-9ED1-769B287837B9}" name="Tabela1233456789461011" displayName="Tabela1233456789461011" ref="CU3:CZ368" totalsRowShown="0" headerRowDxfId="2232" tableBorderDxfId="2231" headerRowCellStyle="Moeda">
  <autoFilter ref="CU3:CZ368" xr:uid="{0D3044CB-3195-4610-9ED1-769B287837B9}"/>
  <tableColumns count="6">
    <tableColumn id="1" xr3:uid="{EA24CDC0-D244-4749-97BC-D40A8E458207}" name="DATA" dataDxfId="2230"/>
    <tableColumn id="2" xr3:uid="{CB940061-2871-43F4-B056-ED72DE07B13F}" name="DIA DA SEMANA" dataDxfId="2229"/>
    <tableColumn id="3" xr3:uid="{B78D79ED-6F0C-41D2-935C-259B40201E5E}" name="CENTRO DE CUSTO" dataDxfId="2228"/>
    <tableColumn id="4" xr3:uid="{0983FAD7-AB0E-4BB9-87F4-2AB0CCD625E8}" name="$ DIÁRIA" dataDxfId="2227" dataCellStyle="Moeda"/>
    <tableColumn id="5" xr3:uid="{74554C74-4650-43E7-A1F5-55B5C045D14C}" name="$ VT" dataDxfId="2226" dataCellStyle="Moeda"/>
    <tableColumn id="6" xr3:uid="{434D45D0-682D-4452-A580-499EAA3DFBF0}" name="$ VA" dataDxfId="2225" dataCellStyle="Moeda"/>
  </tableColumns>
  <tableStyleInfo name="TableStyleLight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2B1BB4-B67F-4E31-8D7B-018997762B56}" name="Tabela123345678946101112" displayName="Tabela123345678946101112" ref="DB3:DG370" totalsRowShown="0" headerRowDxfId="2224" tableBorderDxfId="2223" headerRowCellStyle="Moeda">
  <autoFilter ref="DB3:DG370" xr:uid="{762B1BB4-B67F-4E31-8D7B-018997762B56}"/>
  <tableColumns count="6">
    <tableColumn id="1" xr3:uid="{4DA56A53-8030-4F5D-87DC-53BC173076F0}" name="DATA" dataDxfId="2222"/>
    <tableColumn id="2" xr3:uid="{443A5C56-071D-4B70-A31E-EB27F0407A3B}" name="DIA DA SEMANA" dataDxfId="2221"/>
    <tableColumn id="3" xr3:uid="{600E50C0-D153-45CA-AD57-67EBDC3E918F}" name="CENTRO DE CUSTO" dataDxfId="2220"/>
    <tableColumn id="4" xr3:uid="{D71ACB48-DD10-4D72-9563-E6C3332E56A6}" name="$ DIÁRIA" dataDxfId="2219" dataCellStyle="Moeda"/>
    <tableColumn id="5" xr3:uid="{BBC0E320-EE13-4131-8430-C772C83FF5F9}" name="$ VT" dataDxfId="2218" dataCellStyle="Moeda"/>
    <tableColumn id="6" xr3:uid="{47C3327D-607A-4C06-9821-0DD93B9DA87C}" name="$ VA" dataDxfId="2217" dataCellStyle="Moeda"/>
  </tableColumns>
  <tableStyleInfo name="TableStyleLight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7B8C99C-4491-4DD3-8F55-67A484EC3C82}" name="Tabela12334567894610111213" displayName="Tabela12334567894610111213" ref="DI3:DN368" totalsRowShown="0" headerRowDxfId="2216" tableBorderDxfId="2215" headerRowCellStyle="Moeda">
  <autoFilter ref="DI3:DN368" xr:uid="{07B8C99C-4491-4DD3-8F55-67A484EC3C82}"/>
  <tableColumns count="6">
    <tableColumn id="1" xr3:uid="{F05B45B5-3405-47F7-9F47-D7831F70B790}" name="DATA" dataDxfId="2214"/>
    <tableColumn id="2" xr3:uid="{5F67CAC4-8093-472B-AD43-BDB93A0DF2D2}" name="DIA DA SEMANA" dataDxfId="2213"/>
    <tableColumn id="3" xr3:uid="{820F7CAF-0DEE-4982-8C1F-B3ADBE0C83D3}" name="CENTRO DE CUSTO" dataDxfId="2212"/>
    <tableColumn id="4" xr3:uid="{8E030591-FFD1-4C1F-8AB8-F94CB3DCEA20}" name="$ DIÁRIA" dataDxfId="2211" dataCellStyle="Moeda"/>
    <tableColumn id="5" xr3:uid="{EA726077-369A-457C-A94A-35D6EBA99D3E}" name="$ VT" dataDxfId="2210" dataCellStyle="Moeda"/>
    <tableColumn id="6" xr3:uid="{E34B9F45-1C08-4884-B10A-930724694AC4}" name="$ VA" dataDxfId="2209" dataCellStyle="Moeda"/>
  </tableColumns>
  <tableStyleInfo name="TableStyleLight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7549C4-8695-49F7-BE30-0D66F32253CF}" name="Tabela1233456789461011121314" displayName="Tabela1233456789461011121314" ref="DP3:DU370" totalsRowShown="0" headerRowDxfId="2208" tableBorderDxfId="2207" headerRowCellStyle="Moeda">
  <autoFilter ref="DP3:DU370" xr:uid="{747549C4-8695-49F7-BE30-0D66F32253CF}"/>
  <tableColumns count="6">
    <tableColumn id="1" xr3:uid="{0C4096A5-778B-4948-A2D4-2BEEBAE6654A}" name="DATA" dataDxfId="2206"/>
    <tableColumn id="2" xr3:uid="{F445B04E-A652-445D-8B39-5CA2BEC1DD2D}" name="DIA DA SEMANA" dataDxfId="2205"/>
    <tableColumn id="3" xr3:uid="{F11BADA3-CEAE-4A14-9644-5144FC30A5F3}" name="CENTRO DE CUSTO" dataDxfId="2204"/>
    <tableColumn id="4" xr3:uid="{E1AD5C42-79D1-4878-8344-8FF260EBD1F1}" name="$ DIÁRIA" dataDxfId="2203" dataCellStyle="Moeda"/>
    <tableColumn id="5" xr3:uid="{03E71795-B929-47A5-853F-B29713216482}" name="$ VT" dataDxfId="2202" dataCellStyle="Moeda"/>
    <tableColumn id="6" xr3:uid="{ECA53BB5-F535-458C-88E7-14836BD5664E}" name="$ VA" dataDxfId="2201" dataCellStyle="Moeda"/>
  </tableColumns>
  <tableStyleInfo name="TableStyleLight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E1879AA-689E-44A4-8643-9431BEEF0AC8}" name="Tabela12334567894610111213141519" displayName="Tabela12334567894610111213141519" ref="DW3:EB368" totalsRowShown="0" headerRowDxfId="2200" tableBorderDxfId="2199" headerRowCellStyle="Moeda">
  <autoFilter ref="DW3:EB368" xr:uid="{5E1879AA-689E-44A4-8643-9431BEEF0AC8}"/>
  <tableColumns count="6">
    <tableColumn id="1" xr3:uid="{B9009420-50F4-4096-ABB7-1A8470E74772}" name="DATA" dataDxfId="2198"/>
    <tableColumn id="2" xr3:uid="{1728C222-C51C-4CDD-8756-569F23CCDBCE}" name="DIA DA SEMANA" dataDxfId="2197"/>
    <tableColumn id="3" xr3:uid="{842C23A1-2869-4FE0-A471-059B446E8445}" name="CENTRO DE CUSTO" dataDxfId="2196"/>
    <tableColumn id="4" xr3:uid="{E3D1A3F2-D19D-4E05-9657-78DF88D8518A}" name="$ DIÁRIA" dataDxfId="2195" dataCellStyle="Moeda"/>
    <tableColumn id="5" xr3:uid="{9A799F04-E4BA-4552-900E-C03211F0BC14}" name="$ VT" dataDxfId="2194" dataCellStyle="Moeda"/>
    <tableColumn id="6" xr3:uid="{9472D7E8-8809-49CA-970D-50F5339BF1AD}" name="$ VA" dataDxfId="2193" dataCellStyle="Moeda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D9B2-22FF-46E5-8F31-298F72DAACE7}">
  <sheetPr>
    <tabColor theme="5" tint="0.39997558519241921"/>
  </sheetPr>
  <dimension ref="A1:EB399"/>
  <sheetViews>
    <sheetView showGridLines="0" tabSelected="1" topLeftCell="V1" zoomScale="85" zoomScaleNormal="85" workbookViewId="0">
      <pane ySplit="3" topLeftCell="A58" activePane="bottomLeft" state="frozen"/>
      <selection pane="bottomLeft" activeCell="C15" sqref="C15"/>
    </sheetView>
  </sheetViews>
  <sheetFormatPr defaultRowHeight="15" x14ac:dyDescent="0.25"/>
  <cols>
    <col min="1" max="1" width="11.7109375" style="1" customWidth="1"/>
    <col min="2" max="2" width="14.140625" style="1" customWidth="1"/>
    <col min="3" max="3" width="20.140625" style="112" customWidth="1"/>
    <col min="4" max="4" width="12.42578125" style="113" customWidth="1"/>
    <col min="5" max="5" width="12" style="113" customWidth="1"/>
    <col min="6" max="6" width="11.85546875" style="113" bestFit="1" customWidth="1"/>
    <col min="7" max="7" width="2.7109375" style="1" customWidth="1"/>
    <col min="8" max="8" width="11" style="1" bestFit="1" customWidth="1"/>
    <col min="9" max="9" width="14.5703125" style="1" bestFit="1" customWidth="1"/>
    <col min="10" max="10" width="23.5703125" style="112" bestFit="1" customWidth="1"/>
    <col min="11" max="11" width="13.7109375" style="113" bestFit="1" customWidth="1"/>
    <col min="12" max="12" width="11" style="113" bestFit="1" customWidth="1"/>
    <col min="13" max="13" width="10.28515625" style="113" bestFit="1" customWidth="1"/>
    <col min="14" max="14" width="1.85546875" style="1" customWidth="1"/>
    <col min="15" max="15" width="11" style="1" bestFit="1" customWidth="1"/>
    <col min="16" max="16" width="14.5703125" style="1" bestFit="1" customWidth="1"/>
    <col min="17" max="17" width="21.85546875" style="112" bestFit="1" customWidth="1"/>
    <col min="18" max="18" width="3.7109375" style="113" customWidth="1"/>
    <col min="19" max="19" width="10" style="113" bestFit="1" customWidth="1"/>
    <col min="20" max="20" width="8.7109375" style="113" bestFit="1" customWidth="1"/>
    <col min="21" max="21" width="6.28515625" style="1" customWidth="1"/>
    <col min="22" max="22" width="11.7109375" style="1" customWidth="1"/>
    <col min="23" max="23" width="14.140625" style="1" customWidth="1"/>
    <col min="24" max="24" width="20.140625" style="112" customWidth="1"/>
    <col min="25" max="25" width="12.28515625" style="113" customWidth="1"/>
    <col min="26" max="27" width="12" style="113" customWidth="1"/>
    <col min="28" max="28" width="1.140625" style="1" customWidth="1"/>
    <col min="29" max="29" width="11.7109375" style="1" customWidth="1"/>
    <col min="30" max="30" width="14.140625" style="1" customWidth="1"/>
    <col min="31" max="31" width="20.140625" style="112" customWidth="1"/>
    <col min="32" max="32" width="12.28515625" style="113" customWidth="1"/>
    <col min="33" max="34" width="12" style="113" customWidth="1"/>
    <col min="35" max="35" width="1.140625" style="1" customWidth="1"/>
    <col min="36" max="36" width="11.7109375" style="1" customWidth="1"/>
    <col min="37" max="37" width="14.140625" style="1" customWidth="1"/>
    <col min="38" max="38" width="20.140625" style="112" customWidth="1"/>
    <col min="39" max="39" width="13.7109375" style="113" bestFit="1" customWidth="1"/>
    <col min="40" max="41" width="12" style="113" customWidth="1"/>
    <col min="42" max="42" width="1.140625" style="1" customWidth="1"/>
    <col min="43" max="43" width="11.7109375" style="1" hidden="1" customWidth="1"/>
    <col min="44" max="44" width="14.140625" style="1" hidden="1" customWidth="1"/>
    <col min="45" max="45" width="23.5703125" style="112" hidden="1" customWidth="1"/>
    <col min="46" max="46" width="12.28515625" style="113" hidden="1" customWidth="1"/>
    <col min="47" max="48" width="12" style="113" hidden="1" customWidth="1"/>
    <col min="49" max="49" width="1.42578125" style="1" hidden="1" customWidth="1"/>
    <col min="50" max="50" width="11.7109375" style="1" customWidth="1"/>
    <col min="51" max="51" width="14.140625" style="1" customWidth="1"/>
    <col min="52" max="52" width="20.140625" style="112" customWidth="1"/>
    <col min="53" max="53" width="12.28515625" style="113" customWidth="1"/>
    <col min="54" max="54" width="12" style="113" customWidth="1"/>
    <col min="55" max="55" width="16" style="113" customWidth="1"/>
    <col min="56" max="56" width="5.5703125" style="1" customWidth="1"/>
    <col min="57" max="57" width="11" style="1" bestFit="1" customWidth="1"/>
    <col min="58" max="58" width="19.85546875" style="1" bestFit="1" customWidth="1"/>
    <col min="59" max="59" width="21.85546875" style="31" bestFit="1" customWidth="1"/>
    <col min="60" max="60" width="13.7109375" style="13" bestFit="1" customWidth="1"/>
    <col min="61" max="61" width="10" style="13" bestFit="1" customWidth="1"/>
    <col min="62" max="62" width="10.28515625" style="13" bestFit="1" customWidth="1"/>
    <col min="63" max="63" width="7.85546875" style="1" customWidth="1"/>
    <col min="64" max="64" width="11.7109375" style="1" customWidth="1"/>
    <col min="65" max="65" width="14.140625" style="1" customWidth="1"/>
    <col min="66" max="66" width="20.140625" style="112" customWidth="1"/>
    <col min="67" max="67" width="12.28515625" style="113" customWidth="1"/>
    <col min="68" max="69" width="12" style="113" customWidth="1"/>
    <col min="70" max="70" width="1.140625" style="1" hidden="1" customWidth="1"/>
    <col min="71" max="71" width="11.7109375" style="1" hidden="1" customWidth="1"/>
    <col min="72" max="72" width="14.140625" style="1" hidden="1" customWidth="1"/>
    <col min="73" max="73" width="20.140625" style="112" hidden="1" customWidth="1"/>
    <col min="74" max="74" width="12.28515625" style="113" hidden="1" customWidth="1"/>
    <col min="75" max="76" width="12" style="113" hidden="1" customWidth="1"/>
    <col min="77" max="77" width="1.140625" style="1" customWidth="1"/>
    <col min="78" max="78" width="11.7109375" style="1" customWidth="1"/>
    <col min="79" max="79" width="14.140625" style="1" customWidth="1"/>
    <col min="80" max="80" width="20.140625" style="112" customWidth="1"/>
    <col min="81" max="81" width="12.28515625" style="113" customWidth="1"/>
    <col min="82" max="83" width="12" style="113" customWidth="1"/>
    <col min="84" max="84" width="1.28515625" style="1" customWidth="1"/>
    <col min="85" max="85" width="11.7109375" style="1" hidden="1" customWidth="1"/>
    <col min="86" max="86" width="14.140625" style="1" hidden="1" customWidth="1"/>
    <col min="87" max="87" width="20.140625" style="112" hidden="1" customWidth="1"/>
    <col min="88" max="88" width="12.28515625" style="113" hidden="1" customWidth="1"/>
    <col min="89" max="90" width="12" style="113" hidden="1" customWidth="1"/>
    <col min="91" max="91" width="1.7109375" style="1" customWidth="1"/>
    <col min="92" max="92" width="11.7109375" style="1" customWidth="1"/>
    <col min="93" max="93" width="14.140625" style="1" customWidth="1"/>
    <col min="94" max="94" width="20.140625" style="112" customWidth="1"/>
    <col min="95" max="95" width="12.28515625" style="113" customWidth="1"/>
    <col min="96" max="97" width="12" style="113" customWidth="1"/>
    <col min="98" max="98" width="0.85546875" style="1" customWidth="1"/>
    <col min="99" max="99" width="11.7109375" style="1" customWidth="1"/>
    <col min="100" max="100" width="14.140625" style="1" customWidth="1"/>
    <col min="101" max="101" width="20.140625" style="112" customWidth="1"/>
    <col min="102" max="102" width="12.28515625" style="113" customWidth="1"/>
    <col min="103" max="104" width="12" style="113" customWidth="1"/>
    <col min="105" max="105" width="1.42578125" style="1" customWidth="1"/>
    <col min="106" max="106" width="11.7109375" style="1" customWidth="1"/>
    <col min="107" max="107" width="14.140625" style="1" customWidth="1"/>
    <col min="108" max="108" width="20.140625" style="112" customWidth="1"/>
    <col min="109" max="109" width="12.28515625" style="113" customWidth="1"/>
    <col min="110" max="111" width="12" style="113" customWidth="1"/>
    <col min="112" max="112" width="1.140625" style="1" customWidth="1"/>
    <col min="113" max="113" width="11.7109375" style="1" hidden="1" customWidth="1"/>
    <col min="114" max="114" width="14.140625" style="1" hidden="1" customWidth="1"/>
    <col min="115" max="115" width="20.140625" style="112" hidden="1" customWidth="1"/>
    <col min="116" max="116" width="12.28515625" style="113" hidden="1" customWidth="1"/>
    <col min="117" max="118" width="12" style="113" hidden="1" customWidth="1"/>
    <col min="119" max="119" width="1.42578125" style="1" hidden="1" customWidth="1"/>
    <col min="120" max="120" width="11.7109375" style="1" customWidth="1"/>
    <col min="121" max="121" width="14.140625" style="1" customWidth="1"/>
    <col min="122" max="122" width="20.140625" style="112" customWidth="1"/>
    <col min="123" max="123" width="12.28515625" style="113" customWidth="1"/>
    <col min="124" max="125" width="12" style="113" customWidth="1"/>
    <col min="126" max="126" width="1.28515625" style="1" customWidth="1"/>
    <col min="127" max="127" width="11.7109375" style="1" customWidth="1"/>
    <col min="128" max="128" width="14.140625" style="1" customWidth="1"/>
    <col min="129" max="129" width="20.140625" style="112" customWidth="1"/>
    <col min="130" max="130" width="12.28515625" style="113" customWidth="1"/>
    <col min="131" max="132" width="12" style="113" customWidth="1"/>
    <col min="133" max="16384" width="9.140625" style="1"/>
  </cols>
  <sheetData>
    <row r="1" spans="1:132" s="137" customFormat="1" ht="20.25" customHeight="1" thickBot="1" x14ac:dyDescent="0.3">
      <c r="A1" s="176" t="s">
        <v>17</v>
      </c>
      <c r="B1" s="177"/>
      <c r="C1" s="191" t="s">
        <v>44</v>
      </c>
      <c r="D1" s="192"/>
      <c r="E1" s="192"/>
      <c r="F1" s="193"/>
      <c r="G1" s="136"/>
      <c r="H1" s="176" t="s">
        <v>17</v>
      </c>
      <c r="I1" s="177"/>
      <c r="J1" s="197" t="s">
        <v>45</v>
      </c>
      <c r="K1" s="198"/>
      <c r="L1" s="198"/>
      <c r="M1" s="199"/>
      <c r="N1" s="136"/>
      <c r="O1" s="176" t="s">
        <v>17</v>
      </c>
      <c r="P1" s="177"/>
      <c r="Q1" s="188" t="s">
        <v>46</v>
      </c>
      <c r="R1" s="189"/>
      <c r="S1" s="189"/>
      <c r="T1" s="190"/>
      <c r="U1" s="136"/>
      <c r="V1" s="176" t="s">
        <v>17</v>
      </c>
      <c r="W1" s="177"/>
      <c r="X1" s="191" t="s">
        <v>47</v>
      </c>
      <c r="Y1" s="192"/>
      <c r="Z1" s="192"/>
      <c r="AA1" s="193"/>
      <c r="AB1" s="136"/>
      <c r="AC1" s="176" t="s">
        <v>17</v>
      </c>
      <c r="AD1" s="177"/>
      <c r="AE1" s="191" t="s">
        <v>48</v>
      </c>
      <c r="AF1" s="192"/>
      <c r="AG1" s="192"/>
      <c r="AH1" s="193"/>
      <c r="AI1" s="136"/>
      <c r="AJ1" s="176" t="s">
        <v>17</v>
      </c>
      <c r="AK1" s="177"/>
      <c r="AL1" s="191" t="s">
        <v>49</v>
      </c>
      <c r="AM1" s="192"/>
      <c r="AN1" s="192"/>
      <c r="AO1" s="193"/>
      <c r="AP1" s="136"/>
      <c r="AQ1" s="176" t="s">
        <v>17</v>
      </c>
      <c r="AR1" s="177"/>
      <c r="AS1" s="194" t="s">
        <v>59</v>
      </c>
      <c r="AT1" s="195"/>
      <c r="AU1" s="195"/>
      <c r="AV1" s="196"/>
      <c r="AX1" s="176" t="s">
        <v>17</v>
      </c>
      <c r="AY1" s="177"/>
      <c r="AZ1" s="191" t="s">
        <v>70</v>
      </c>
      <c r="BA1" s="192"/>
      <c r="BB1" s="192"/>
      <c r="BC1" s="193"/>
      <c r="BE1" s="176" t="s">
        <v>17</v>
      </c>
      <c r="BF1" s="177"/>
      <c r="BG1" s="197" t="s">
        <v>74</v>
      </c>
      <c r="BH1" s="198"/>
      <c r="BI1" s="198"/>
      <c r="BJ1" s="199"/>
      <c r="BL1" s="176" t="s">
        <v>17</v>
      </c>
      <c r="BM1" s="177"/>
      <c r="BN1" s="191" t="s">
        <v>71</v>
      </c>
      <c r="BO1" s="192"/>
      <c r="BP1" s="192"/>
      <c r="BQ1" s="193"/>
      <c r="BS1" s="176" t="s">
        <v>17</v>
      </c>
      <c r="BT1" s="177"/>
      <c r="BU1" s="188" t="s">
        <v>78</v>
      </c>
      <c r="BV1" s="189"/>
      <c r="BW1" s="189"/>
      <c r="BX1" s="190"/>
      <c r="BZ1" s="176" t="s">
        <v>17</v>
      </c>
      <c r="CA1" s="177"/>
      <c r="CB1" s="191" t="s">
        <v>85</v>
      </c>
      <c r="CC1" s="192"/>
      <c r="CD1" s="192"/>
      <c r="CE1" s="193"/>
      <c r="CG1" s="176" t="s">
        <v>17</v>
      </c>
      <c r="CH1" s="177"/>
      <c r="CI1" s="211" t="s">
        <v>86</v>
      </c>
      <c r="CJ1" s="212"/>
      <c r="CK1" s="212"/>
      <c r="CL1" s="213"/>
      <c r="CN1" s="176" t="s">
        <v>17</v>
      </c>
      <c r="CO1" s="177"/>
      <c r="CP1" s="161" t="s">
        <v>105</v>
      </c>
      <c r="CQ1" s="162"/>
      <c r="CR1" s="162"/>
      <c r="CS1" s="163">
        <v>180</v>
      </c>
      <c r="CU1" s="176" t="s">
        <v>17</v>
      </c>
      <c r="CV1" s="177"/>
      <c r="CW1" s="191" t="s">
        <v>132</v>
      </c>
      <c r="CX1" s="192"/>
      <c r="CY1" s="192"/>
      <c r="CZ1" s="193"/>
      <c r="DB1" s="176" t="s">
        <v>17</v>
      </c>
      <c r="DC1" s="177"/>
      <c r="DD1" s="191" t="s">
        <v>133</v>
      </c>
      <c r="DE1" s="192"/>
      <c r="DF1" s="192"/>
      <c r="DG1" s="193"/>
      <c r="DI1" s="176" t="s">
        <v>17</v>
      </c>
      <c r="DJ1" s="177"/>
      <c r="DK1" s="194" t="s">
        <v>134</v>
      </c>
      <c r="DL1" s="195"/>
      <c r="DM1" s="195"/>
      <c r="DN1" s="196"/>
      <c r="DP1" s="176" t="s">
        <v>17</v>
      </c>
      <c r="DQ1" s="177"/>
      <c r="DR1" s="191" t="s">
        <v>169</v>
      </c>
      <c r="DS1" s="192"/>
      <c r="DT1" s="192"/>
      <c r="DU1" s="193"/>
      <c r="DW1" s="176" t="s">
        <v>17</v>
      </c>
      <c r="DX1" s="177"/>
      <c r="DY1" s="191" t="s">
        <v>186</v>
      </c>
      <c r="DZ1" s="192"/>
      <c r="EA1" s="192"/>
      <c r="EB1" s="193"/>
    </row>
    <row r="2" spans="1:132" ht="9" customHeight="1" x14ac:dyDescent="0.25">
      <c r="J2" s="31"/>
      <c r="K2" s="13"/>
      <c r="L2" s="13"/>
      <c r="M2" s="13"/>
    </row>
    <row r="3" spans="1:132" s="14" customFormat="1" ht="42.75" customHeight="1" x14ac:dyDescent="0.2">
      <c r="A3" s="15" t="s">
        <v>0</v>
      </c>
      <c r="B3" s="16" t="s">
        <v>2</v>
      </c>
      <c r="C3" s="16" t="s">
        <v>1</v>
      </c>
      <c r="D3" s="17" t="s">
        <v>25</v>
      </c>
      <c r="E3" s="17" t="s">
        <v>19</v>
      </c>
      <c r="F3" s="18" t="s">
        <v>20</v>
      </c>
      <c r="G3" s="3"/>
      <c r="H3" s="15" t="s">
        <v>0</v>
      </c>
      <c r="I3" s="16" t="s">
        <v>2</v>
      </c>
      <c r="J3" s="32" t="s">
        <v>1</v>
      </c>
      <c r="K3" s="17" t="s">
        <v>25</v>
      </c>
      <c r="L3" s="17" t="s">
        <v>19</v>
      </c>
      <c r="M3" s="18" t="s">
        <v>20</v>
      </c>
      <c r="N3" s="3"/>
      <c r="O3" s="15" t="s">
        <v>0</v>
      </c>
      <c r="P3" s="16" t="s">
        <v>2</v>
      </c>
      <c r="Q3" s="16" t="s">
        <v>1</v>
      </c>
      <c r="R3" s="17" t="s">
        <v>25</v>
      </c>
      <c r="S3" s="17" t="s">
        <v>19</v>
      </c>
      <c r="T3" s="18" t="s">
        <v>20</v>
      </c>
      <c r="U3" s="3"/>
      <c r="V3" s="15" t="s">
        <v>0</v>
      </c>
      <c r="W3" s="16" t="s">
        <v>2</v>
      </c>
      <c r="X3" s="16" t="s">
        <v>1</v>
      </c>
      <c r="Y3" s="17" t="s">
        <v>25</v>
      </c>
      <c r="Z3" s="17" t="s">
        <v>19</v>
      </c>
      <c r="AA3" s="18" t="s">
        <v>20</v>
      </c>
      <c r="AB3" s="3"/>
      <c r="AC3" s="15" t="s">
        <v>0</v>
      </c>
      <c r="AD3" s="16" t="s">
        <v>2</v>
      </c>
      <c r="AE3" s="16" t="s">
        <v>1</v>
      </c>
      <c r="AF3" s="17" t="s">
        <v>25</v>
      </c>
      <c r="AG3" s="17" t="s">
        <v>19</v>
      </c>
      <c r="AH3" s="18" t="s">
        <v>20</v>
      </c>
      <c r="AI3" s="3"/>
      <c r="AJ3" s="15" t="s">
        <v>0</v>
      </c>
      <c r="AK3" s="16" t="s">
        <v>2</v>
      </c>
      <c r="AL3" s="16" t="s">
        <v>1</v>
      </c>
      <c r="AM3" s="17" t="s">
        <v>25</v>
      </c>
      <c r="AN3" s="17" t="s">
        <v>19</v>
      </c>
      <c r="AO3" s="18" t="s">
        <v>20</v>
      </c>
      <c r="AP3" s="3"/>
      <c r="AQ3" s="15" t="s">
        <v>0</v>
      </c>
      <c r="AR3" s="16" t="s">
        <v>2</v>
      </c>
      <c r="AS3" s="16" t="s">
        <v>1</v>
      </c>
      <c r="AT3" s="17" t="s">
        <v>25</v>
      </c>
      <c r="AU3" s="17" t="s">
        <v>19</v>
      </c>
      <c r="AV3" s="18" t="s">
        <v>20</v>
      </c>
      <c r="AX3" s="15" t="s">
        <v>0</v>
      </c>
      <c r="AY3" s="16" t="s">
        <v>2</v>
      </c>
      <c r="AZ3" s="16" t="s">
        <v>1</v>
      </c>
      <c r="BA3" s="17" t="s">
        <v>25</v>
      </c>
      <c r="BB3" s="17" t="s">
        <v>19</v>
      </c>
      <c r="BC3" s="18" t="s">
        <v>20</v>
      </c>
      <c r="BE3" s="15" t="s">
        <v>0</v>
      </c>
      <c r="BF3" s="16" t="s">
        <v>2</v>
      </c>
      <c r="BG3" s="32" t="s">
        <v>1</v>
      </c>
      <c r="BH3" s="17" t="s">
        <v>25</v>
      </c>
      <c r="BI3" s="17" t="s">
        <v>19</v>
      </c>
      <c r="BJ3" s="18" t="s">
        <v>20</v>
      </c>
      <c r="BL3" s="15" t="s">
        <v>0</v>
      </c>
      <c r="BM3" s="16" t="s">
        <v>2</v>
      </c>
      <c r="BN3" s="16" t="s">
        <v>1</v>
      </c>
      <c r="BO3" s="17" t="s">
        <v>25</v>
      </c>
      <c r="BP3" s="17" t="s">
        <v>19</v>
      </c>
      <c r="BQ3" s="18" t="s">
        <v>20</v>
      </c>
      <c r="BS3" s="15" t="s">
        <v>0</v>
      </c>
      <c r="BT3" s="16" t="s">
        <v>2</v>
      </c>
      <c r="BU3" s="16" t="s">
        <v>1</v>
      </c>
      <c r="BV3" s="17" t="s">
        <v>25</v>
      </c>
      <c r="BW3" s="17" t="s">
        <v>19</v>
      </c>
      <c r="BX3" s="18" t="s">
        <v>20</v>
      </c>
      <c r="BZ3" s="15" t="s">
        <v>0</v>
      </c>
      <c r="CA3" s="16" t="s">
        <v>2</v>
      </c>
      <c r="CB3" s="16" t="s">
        <v>1</v>
      </c>
      <c r="CC3" s="17" t="s">
        <v>25</v>
      </c>
      <c r="CD3" s="17" t="s">
        <v>19</v>
      </c>
      <c r="CE3" s="18" t="s">
        <v>20</v>
      </c>
      <c r="CG3" s="15" t="s">
        <v>0</v>
      </c>
      <c r="CH3" s="16" t="s">
        <v>2</v>
      </c>
      <c r="CI3" s="16" t="s">
        <v>1</v>
      </c>
      <c r="CJ3" s="17" t="s">
        <v>25</v>
      </c>
      <c r="CK3" s="17" t="s">
        <v>19</v>
      </c>
      <c r="CL3" s="18" t="s">
        <v>20</v>
      </c>
      <c r="CN3" s="15" t="s">
        <v>0</v>
      </c>
      <c r="CO3" s="16" t="s">
        <v>2</v>
      </c>
      <c r="CP3" s="16" t="s">
        <v>1</v>
      </c>
      <c r="CQ3" s="17" t="s">
        <v>25</v>
      </c>
      <c r="CR3" s="17" t="s">
        <v>19</v>
      </c>
      <c r="CS3" s="18" t="s">
        <v>20</v>
      </c>
      <c r="CU3" s="15" t="s">
        <v>0</v>
      </c>
      <c r="CV3" s="16" t="s">
        <v>2</v>
      </c>
      <c r="CW3" s="16" t="s">
        <v>1</v>
      </c>
      <c r="CX3" s="17" t="s">
        <v>25</v>
      </c>
      <c r="CY3" s="17" t="s">
        <v>19</v>
      </c>
      <c r="CZ3" s="18" t="s">
        <v>20</v>
      </c>
      <c r="DB3" s="15" t="s">
        <v>0</v>
      </c>
      <c r="DC3" s="16" t="s">
        <v>2</v>
      </c>
      <c r="DD3" s="16" t="s">
        <v>1</v>
      </c>
      <c r="DE3" s="17" t="s">
        <v>25</v>
      </c>
      <c r="DF3" s="17" t="s">
        <v>19</v>
      </c>
      <c r="DG3" s="18" t="s">
        <v>20</v>
      </c>
      <c r="DI3" s="15" t="s">
        <v>0</v>
      </c>
      <c r="DJ3" s="16" t="s">
        <v>2</v>
      </c>
      <c r="DK3" s="16" t="s">
        <v>1</v>
      </c>
      <c r="DL3" s="17" t="s">
        <v>25</v>
      </c>
      <c r="DM3" s="17" t="s">
        <v>19</v>
      </c>
      <c r="DN3" s="18" t="s">
        <v>20</v>
      </c>
      <c r="DP3" s="15" t="s">
        <v>0</v>
      </c>
      <c r="DQ3" s="16" t="s">
        <v>2</v>
      </c>
      <c r="DR3" s="16" t="s">
        <v>1</v>
      </c>
      <c r="DS3" s="17" t="s">
        <v>25</v>
      </c>
      <c r="DT3" s="17" t="s">
        <v>19</v>
      </c>
      <c r="DU3" s="18" t="s">
        <v>20</v>
      </c>
      <c r="DW3" s="15" t="s">
        <v>0</v>
      </c>
      <c r="DX3" s="16" t="s">
        <v>2</v>
      </c>
      <c r="DY3" s="16" t="s">
        <v>1</v>
      </c>
      <c r="DZ3" s="17" t="s">
        <v>25</v>
      </c>
      <c r="EA3" s="17" t="s">
        <v>19</v>
      </c>
      <c r="EB3" s="18" t="s">
        <v>20</v>
      </c>
    </row>
    <row r="4" spans="1:132" ht="15" customHeight="1" x14ac:dyDescent="0.25">
      <c r="A4" s="11">
        <v>46023</v>
      </c>
      <c r="B4" s="33" t="s">
        <v>4</v>
      </c>
      <c r="C4" s="114" t="s">
        <v>60</v>
      </c>
      <c r="D4" s="115"/>
      <c r="E4" s="115"/>
      <c r="F4" s="116"/>
      <c r="H4" s="11">
        <v>46023</v>
      </c>
      <c r="I4" s="33" t="s">
        <v>4</v>
      </c>
      <c r="J4" s="114" t="s">
        <v>60</v>
      </c>
      <c r="K4" s="115"/>
      <c r="L4" s="115"/>
      <c r="M4" s="116"/>
      <c r="O4" s="11">
        <v>46023</v>
      </c>
      <c r="P4" s="33" t="s">
        <v>4</v>
      </c>
      <c r="Q4" s="114" t="s">
        <v>60</v>
      </c>
      <c r="R4" s="115"/>
      <c r="S4" s="115"/>
      <c r="T4" s="116"/>
      <c r="V4" s="11">
        <v>46023</v>
      </c>
      <c r="W4" s="33" t="s">
        <v>4</v>
      </c>
      <c r="X4" s="114" t="s">
        <v>60</v>
      </c>
      <c r="Y4" s="115"/>
      <c r="Z4" s="115"/>
      <c r="AA4" s="116"/>
      <c r="AC4" s="11">
        <v>46023</v>
      </c>
      <c r="AD4" s="33" t="s">
        <v>4</v>
      </c>
      <c r="AE4" s="114" t="s">
        <v>60</v>
      </c>
      <c r="AF4" s="115"/>
      <c r="AG4" s="115"/>
      <c r="AH4" s="116"/>
      <c r="AJ4" s="11">
        <v>46023</v>
      </c>
      <c r="AK4" s="33" t="s">
        <v>4</v>
      </c>
      <c r="AL4" s="114" t="s">
        <v>60</v>
      </c>
      <c r="AM4" s="115"/>
      <c r="AN4" s="115"/>
      <c r="AO4" s="116"/>
      <c r="AQ4" s="11">
        <v>46023</v>
      </c>
      <c r="AR4" s="33" t="s">
        <v>4</v>
      </c>
      <c r="AS4" s="114" t="s">
        <v>60</v>
      </c>
      <c r="AT4" s="115"/>
      <c r="AU4" s="115"/>
      <c r="AV4" s="116"/>
      <c r="AX4" s="11">
        <v>46023</v>
      </c>
      <c r="AY4" s="33" t="s">
        <v>4</v>
      </c>
      <c r="AZ4" s="114" t="s">
        <v>60</v>
      </c>
      <c r="BA4" s="115"/>
      <c r="BB4" s="115"/>
      <c r="BC4" s="116"/>
      <c r="BE4" s="11">
        <v>46023</v>
      </c>
      <c r="BF4" s="33" t="s">
        <v>4</v>
      </c>
      <c r="BG4" s="33" t="s">
        <v>60</v>
      </c>
      <c r="BH4" s="19"/>
      <c r="BI4" s="19"/>
      <c r="BJ4" s="20"/>
      <c r="BL4" s="11">
        <v>46023</v>
      </c>
      <c r="BM4" s="33" t="s">
        <v>4</v>
      </c>
      <c r="BN4" s="114" t="s">
        <v>60</v>
      </c>
      <c r="BO4" s="115"/>
      <c r="BP4" s="115"/>
      <c r="BQ4" s="116"/>
      <c r="BS4" s="11">
        <v>46023</v>
      </c>
      <c r="BT4" s="33" t="s">
        <v>4</v>
      </c>
      <c r="BU4" s="114" t="s">
        <v>60</v>
      </c>
      <c r="BV4" s="115"/>
      <c r="BW4" s="115"/>
      <c r="BX4" s="116"/>
      <c r="BZ4" s="11">
        <v>46023</v>
      </c>
      <c r="CA4" s="140" t="s">
        <v>4</v>
      </c>
      <c r="CB4" s="114"/>
      <c r="CC4" s="115"/>
      <c r="CD4" s="115"/>
      <c r="CE4" s="116"/>
      <c r="CG4" s="11">
        <v>46023</v>
      </c>
      <c r="CH4" s="140" t="s">
        <v>4</v>
      </c>
      <c r="CI4" s="114"/>
      <c r="CJ4" s="115"/>
      <c r="CK4" s="115"/>
      <c r="CL4" s="116"/>
      <c r="CN4" s="11">
        <v>46023</v>
      </c>
      <c r="CO4" s="140" t="s">
        <v>4</v>
      </c>
      <c r="CP4" s="114"/>
      <c r="CQ4" s="115"/>
      <c r="CR4" s="115"/>
      <c r="CS4" s="116"/>
      <c r="CU4" s="11">
        <v>46023</v>
      </c>
      <c r="CV4" s="140" t="s">
        <v>4</v>
      </c>
      <c r="CW4" s="114"/>
      <c r="CX4" s="115"/>
      <c r="CY4" s="115"/>
      <c r="CZ4" s="116"/>
      <c r="DB4" s="11">
        <v>46023</v>
      </c>
      <c r="DC4" s="140" t="s">
        <v>4</v>
      </c>
      <c r="DD4" s="114"/>
      <c r="DE4" s="115"/>
      <c r="DF4" s="115"/>
      <c r="DG4" s="116"/>
      <c r="DI4" s="11">
        <v>46023</v>
      </c>
      <c r="DJ4" s="140" t="s">
        <v>4</v>
      </c>
      <c r="DK4" s="114"/>
      <c r="DL4" s="115"/>
      <c r="DM4" s="115"/>
      <c r="DN4" s="116"/>
      <c r="DP4" s="11">
        <v>46023</v>
      </c>
      <c r="DQ4" s="140" t="s">
        <v>4</v>
      </c>
      <c r="DR4" s="114"/>
      <c r="DS4" s="115"/>
      <c r="DT4" s="115"/>
      <c r="DU4" s="116"/>
      <c r="DW4" s="11">
        <v>46023</v>
      </c>
      <c r="DX4" s="140" t="s">
        <v>4</v>
      </c>
      <c r="DY4" s="114"/>
      <c r="DZ4" s="115"/>
      <c r="EA4" s="115"/>
      <c r="EB4" s="116"/>
    </row>
    <row r="5" spans="1:132" ht="15.75" customHeight="1" x14ac:dyDescent="0.25">
      <c r="A5" s="11">
        <v>46024</v>
      </c>
      <c r="B5" s="33" t="s">
        <v>5</v>
      </c>
      <c r="C5" s="144" t="s">
        <v>73</v>
      </c>
      <c r="D5" s="145">
        <v>180</v>
      </c>
      <c r="E5" s="145">
        <v>15</v>
      </c>
      <c r="F5" s="146">
        <v>19</v>
      </c>
      <c r="H5" s="11">
        <v>46024</v>
      </c>
      <c r="I5" s="33" t="s">
        <v>5</v>
      </c>
      <c r="J5" s="114" t="s">
        <v>73</v>
      </c>
      <c r="K5" s="115">
        <v>250</v>
      </c>
      <c r="L5" s="115">
        <v>20.5</v>
      </c>
      <c r="M5" s="116">
        <v>0</v>
      </c>
      <c r="O5" s="11">
        <v>46024</v>
      </c>
      <c r="P5" s="33" t="s">
        <v>5</v>
      </c>
      <c r="Q5" s="114" t="s">
        <v>37</v>
      </c>
      <c r="R5" s="115"/>
      <c r="S5" s="115"/>
      <c r="T5" s="116"/>
      <c r="V5" s="11">
        <v>46024</v>
      </c>
      <c r="W5" s="33" t="s">
        <v>5</v>
      </c>
      <c r="X5" s="114" t="s">
        <v>37</v>
      </c>
      <c r="Y5" s="115"/>
      <c r="Z5" s="115"/>
      <c r="AA5" s="116"/>
      <c r="AC5" s="11">
        <v>46024</v>
      </c>
      <c r="AD5" s="33" t="s">
        <v>5</v>
      </c>
      <c r="AE5" s="114" t="s">
        <v>37</v>
      </c>
      <c r="AF5" s="115"/>
      <c r="AG5" s="115"/>
      <c r="AH5" s="116"/>
      <c r="AJ5" s="11">
        <v>46024</v>
      </c>
      <c r="AK5" s="33" t="s">
        <v>5</v>
      </c>
      <c r="AL5" s="114" t="s">
        <v>37</v>
      </c>
      <c r="AM5" s="115"/>
      <c r="AN5" s="115"/>
      <c r="AO5" s="116"/>
      <c r="AQ5" s="11">
        <v>46024</v>
      </c>
      <c r="AR5" s="33" t="s">
        <v>5</v>
      </c>
      <c r="AS5" s="144" t="s">
        <v>73</v>
      </c>
      <c r="AT5" s="145">
        <v>100</v>
      </c>
      <c r="AU5" s="145">
        <v>12</v>
      </c>
      <c r="AV5" s="146">
        <v>0</v>
      </c>
      <c r="AX5" s="11">
        <v>46024</v>
      </c>
      <c r="AY5" s="33" t="s">
        <v>5</v>
      </c>
      <c r="AZ5" s="114" t="s">
        <v>37</v>
      </c>
      <c r="BA5" s="115"/>
      <c r="BB5" s="115"/>
      <c r="BC5" s="116"/>
      <c r="BE5" s="11">
        <v>46024</v>
      </c>
      <c r="BF5" s="33" t="s">
        <v>5</v>
      </c>
      <c r="BG5" s="33"/>
      <c r="BH5" s="19"/>
      <c r="BI5" s="19"/>
      <c r="BJ5" s="20"/>
      <c r="BL5" s="11">
        <v>46024</v>
      </c>
      <c r="BM5" s="33" t="s">
        <v>5</v>
      </c>
      <c r="BN5" s="144" t="s">
        <v>73</v>
      </c>
      <c r="BO5" s="145">
        <v>100</v>
      </c>
      <c r="BP5" s="145">
        <v>12</v>
      </c>
      <c r="BQ5" s="146">
        <v>0</v>
      </c>
      <c r="BS5" s="11">
        <v>46024</v>
      </c>
      <c r="BT5" s="33" t="s">
        <v>5</v>
      </c>
      <c r="BU5" s="114" t="s">
        <v>73</v>
      </c>
      <c r="BV5" s="115">
        <v>100</v>
      </c>
      <c r="BW5" s="115">
        <v>12</v>
      </c>
      <c r="BX5" s="116">
        <v>0</v>
      </c>
      <c r="BZ5" s="11">
        <v>46024</v>
      </c>
      <c r="CA5" s="140" t="s">
        <v>5</v>
      </c>
      <c r="CB5" s="141"/>
      <c r="CC5" s="142"/>
      <c r="CD5" s="142"/>
      <c r="CE5" s="142"/>
      <c r="CG5" s="11">
        <v>46024</v>
      </c>
      <c r="CH5" s="140" t="s">
        <v>5</v>
      </c>
      <c r="CI5" s="141"/>
      <c r="CJ5" s="142"/>
      <c r="CK5" s="142"/>
      <c r="CL5" s="142"/>
      <c r="CN5" s="11">
        <v>46024</v>
      </c>
      <c r="CO5" s="140" t="s">
        <v>5</v>
      </c>
      <c r="CP5" s="141"/>
      <c r="CQ5" s="142"/>
      <c r="CR5" s="142"/>
      <c r="CS5" s="142"/>
      <c r="CU5" s="11">
        <v>46024</v>
      </c>
      <c r="CV5" s="140" t="s">
        <v>5</v>
      </c>
      <c r="CW5" s="141"/>
      <c r="CX5" s="142"/>
      <c r="CY5" s="142"/>
      <c r="CZ5" s="142"/>
      <c r="DB5" s="11">
        <v>46024</v>
      </c>
      <c r="DC5" s="140" t="s">
        <v>5</v>
      </c>
      <c r="DD5" s="141"/>
      <c r="DE5" s="142"/>
      <c r="DF5" s="142"/>
      <c r="DG5" s="142"/>
      <c r="DI5" s="11">
        <v>46024</v>
      </c>
      <c r="DJ5" s="140" t="s">
        <v>5</v>
      </c>
      <c r="DK5" s="141"/>
      <c r="DL5" s="142"/>
      <c r="DM5" s="142"/>
      <c r="DN5" s="142"/>
      <c r="DP5" s="11">
        <v>46024</v>
      </c>
      <c r="DQ5" s="140" t="s">
        <v>5</v>
      </c>
      <c r="DR5" s="141"/>
      <c r="DS5" s="142"/>
      <c r="DT5" s="142"/>
      <c r="DU5" s="142"/>
      <c r="DW5" s="11">
        <v>46024</v>
      </c>
      <c r="DX5" s="140" t="s">
        <v>5</v>
      </c>
      <c r="DY5" s="141"/>
      <c r="DZ5" s="142"/>
      <c r="EA5" s="142"/>
      <c r="EB5" s="142"/>
    </row>
    <row r="6" spans="1:132" x14ac:dyDescent="0.25">
      <c r="A6" s="11">
        <v>46025</v>
      </c>
      <c r="B6" s="33" t="s">
        <v>6</v>
      </c>
      <c r="C6" s="144" t="s">
        <v>73</v>
      </c>
      <c r="D6" s="145">
        <v>180</v>
      </c>
      <c r="E6" s="145">
        <v>15</v>
      </c>
      <c r="F6" s="146">
        <v>19</v>
      </c>
      <c r="H6" s="11">
        <v>46025</v>
      </c>
      <c r="I6" s="33" t="s">
        <v>6</v>
      </c>
      <c r="J6" s="114" t="s">
        <v>73</v>
      </c>
      <c r="K6" s="115">
        <v>250</v>
      </c>
      <c r="L6" s="115">
        <v>20.5</v>
      </c>
      <c r="M6" s="116">
        <v>0</v>
      </c>
      <c r="O6" s="11">
        <v>46025</v>
      </c>
      <c r="P6" s="33" t="s">
        <v>6</v>
      </c>
      <c r="Q6" s="114"/>
      <c r="R6" s="115"/>
      <c r="S6" s="115"/>
      <c r="T6" s="116"/>
      <c r="V6" s="11">
        <v>46025</v>
      </c>
      <c r="W6" s="33" t="s">
        <v>6</v>
      </c>
      <c r="X6" s="114"/>
      <c r="Y6" s="115"/>
      <c r="Z6" s="115"/>
      <c r="AA6" s="116"/>
      <c r="AC6" s="11">
        <v>46025</v>
      </c>
      <c r="AD6" s="33" t="s">
        <v>6</v>
      </c>
      <c r="AE6" s="114"/>
      <c r="AF6" s="115"/>
      <c r="AG6" s="115"/>
      <c r="AH6" s="116"/>
      <c r="AJ6" s="11">
        <v>46025</v>
      </c>
      <c r="AK6" s="33" t="s">
        <v>6</v>
      </c>
      <c r="AL6" s="114"/>
      <c r="AM6" s="115"/>
      <c r="AN6" s="115"/>
      <c r="AO6" s="116"/>
      <c r="AQ6" s="11">
        <v>46025</v>
      </c>
      <c r="AR6" s="33" t="s">
        <v>6</v>
      </c>
      <c r="AS6" s="144"/>
      <c r="AT6" s="145"/>
      <c r="AU6" s="145"/>
      <c r="AV6" s="146"/>
      <c r="AX6" s="11">
        <v>46025</v>
      </c>
      <c r="AY6" s="33" t="s">
        <v>6</v>
      </c>
      <c r="AZ6" s="114"/>
      <c r="BA6" s="115"/>
      <c r="BB6" s="115"/>
      <c r="BC6" s="116"/>
      <c r="BE6" s="11">
        <v>46025</v>
      </c>
      <c r="BF6" s="33" t="s">
        <v>6</v>
      </c>
      <c r="BG6" s="33"/>
      <c r="BH6" s="19"/>
      <c r="BI6" s="19"/>
      <c r="BJ6" s="20"/>
      <c r="BL6" s="11">
        <v>46025</v>
      </c>
      <c r="BM6" s="33" t="s">
        <v>6</v>
      </c>
      <c r="BN6" s="144" t="s">
        <v>73</v>
      </c>
      <c r="BO6" s="145">
        <v>100</v>
      </c>
      <c r="BP6" s="145">
        <v>12</v>
      </c>
      <c r="BQ6" s="146">
        <v>0</v>
      </c>
      <c r="BS6" s="11">
        <v>46025</v>
      </c>
      <c r="BT6" s="33" t="s">
        <v>6</v>
      </c>
      <c r="BU6" s="114"/>
      <c r="BV6" s="115"/>
      <c r="BW6" s="115"/>
      <c r="BX6" s="116"/>
      <c r="BZ6" s="11">
        <v>46025</v>
      </c>
      <c r="CA6" s="140" t="s">
        <v>6</v>
      </c>
      <c r="CB6" s="114"/>
      <c r="CC6" s="115"/>
      <c r="CD6" s="115"/>
      <c r="CE6" s="116"/>
      <c r="CG6" s="11">
        <v>46025</v>
      </c>
      <c r="CH6" s="140" t="s">
        <v>6</v>
      </c>
      <c r="CI6" s="114"/>
      <c r="CJ6" s="115"/>
      <c r="CK6" s="115"/>
      <c r="CL6" s="116"/>
      <c r="CN6" s="11">
        <v>46025</v>
      </c>
      <c r="CO6" s="140" t="s">
        <v>6</v>
      </c>
      <c r="CP6" s="114"/>
      <c r="CQ6" s="115"/>
      <c r="CR6" s="115"/>
      <c r="CS6" s="116"/>
      <c r="CU6" s="11">
        <v>46025</v>
      </c>
      <c r="CV6" s="140" t="s">
        <v>6</v>
      </c>
      <c r="CW6" s="114"/>
      <c r="CX6" s="115"/>
      <c r="CY6" s="115"/>
      <c r="CZ6" s="116"/>
      <c r="DB6" s="11">
        <v>46025</v>
      </c>
      <c r="DC6" s="140" t="s">
        <v>6</v>
      </c>
      <c r="DD6" s="114"/>
      <c r="DE6" s="115"/>
      <c r="DF6" s="115"/>
      <c r="DG6" s="116"/>
      <c r="DI6" s="11">
        <v>46025</v>
      </c>
      <c r="DJ6" s="140" t="s">
        <v>6</v>
      </c>
      <c r="DK6" s="114"/>
      <c r="DL6" s="115"/>
      <c r="DM6" s="115"/>
      <c r="DN6" s="116"/>
      <c r="DP6" s="11">
        <v>46025</v>
      </c>
      <c r="DQ6" s="140" t="s">
        <v>6</v>
      </c>
      <c r="DR6" s="114"/>
      <c r="DS6" s="115"/>
      <c r="DT6" s="115"/>
      <c r="DU6" s="116"/>
      <c r="DW6" s="11">
        <v>46025</v>
      </c>
      <c r="DX6" s="140" t="s">
        <v>6</v>
      </c>
      <c r="DY6" s="114"/>
      <c r="DZ6" s="115"/>
      <c r="EA6" s="115"/>
      <c r="EB6" s="116"/>
    </row>
    <row r="7" spans="1:132" x14ac:dyDescent="0.25">
      <c r="A7" s="11">
        <v>46026</v>
      </c>
      <c r="B7" s="33" t="s">
        <v>7</v>
      </c>
      <c r="C7" s="144"/>
      <c r="D7" s="145"/>
      <c r="E7" s="145"/>
      <c r="F7" s="146"/>
      <c r="H7" s="11">
        <v>46026</v>
      </c>
      <c r="I7" s="33" t="s">
        <v>7</v>
      </c>
      <c r="J7" s="114"/>
      <c r="K7" s="115"/>
      <c r="L7" s="115"/>
      <c r="M7" s="116"/>
      <c r="O7" s="11">
        <v>46026</v>
      </c>
      <c r="P7" s="33" t="s">
        <v>7</v>
      </c>
      <c r="Q7" s="114"/>
      <c r="R7" s="115"/>
      <c r="S7" s="115"/>
      <c r="T7" s="116"/>
      <c r="V7" s="11">
        <v>46026</v>
      </c>
      <c r="W7" s="33" t="s">
        <v>7</v>
      </c>
      <c r="X7" s="114"/>
      <c r="Y7" s="115"/>
      <c r="Z7" s="115"/>
      <c r="AA7" s="116"/>
      <c r="AC7" s="11">
        <v>46026</v>
      </c>
      <c r="AD7" s="33" t="s">
        <v>7</v>
      </c>
      <c r="AE7" s="114"/>
      <c r="AF7" s="115"/>
      <c r="AG7" s="115"/>
      <c r="AH7" s="116"/>
      <c r="AJ7" s="11">
        <v>46026</v>
      </c>
      <c r="AK7" s="33" t="s">
        <v>7</v>
      </c>
      <c r="AL7" s="114"/>
      <c r="AM7" s="115"/>
      <c r="AN7" s="115"/>
      <c r="AO7" s="116"/>
      <c r="AQ7" s="11">
        <v>46026</v>
      </c>
      <c r="AR7" s="33" t="s">
        <v>7</v>
      </c>
      <c r="AS7" s="144"/>
      <c r="AT7" s="145"/>
      <c r="AU7" s="145"/>
      <c r="AV7" s="146"/>
      <c r="AX7" s="11">
        <v>46026</v>
      </c>
      <c r="AY7" s="33" t="s">
        <v>7</v>
      </c>
      <c r="AZ7" s="114"/>
      <c r="BA7" s="115"/>
      <c r="BB7" s="115"/>
      <c r="BC7" s="116"/>
      <c r="BE7" s="11">
        <v>46026</v>
      </c>
      <c r="BF7" s="33" t="s">
        <v>7</v>
      </c>
      <c r="BG7" s="33"/>
      <c r="BH7" s="19"/>
      <c r="BI7" s="19"/>
      <c r="BJ7" s="20"/>
      <c r="BL7" s="11">
        <v>46026</v>
      </c>
      <c r="BM7" s="33" t="s">
        <v>7</v>
      </c>
      <c r="BN7" s="144"/>
      <c r="BO7" s="145"/>
      <c r="BP7" s="145"/>
      <c r="BQ7" s="146"/>
      <c r="BS7" s="11">
        <v>46026</v>
      </c>
      <c r="BT7" s="33" t="s">
        <v>7</v>
      </c>
      <c r="BU7" s="114"/>
      <c r="BV7" s="115"/>
      <c r="BW7" s="115"/>
      <c r="BX7" s="116"/>
      <c r="BZ7" s="11">
        <v>46026</v>
      </c>
      <c r="CA7" s="140" t="s">
        <v>7</v>
      </c>
      <c r="CB7" s="114"/>
      <c r="CC7" s="115"/>
      <c r="CD7" s="115"/>
      <c r="CE7" s="116"/>
      <c r="CG7" s="11">
        <v>46026</v>
      </c>
      <c r="CH7" s="140" t="s">
        <v>7</v>
      </c>
      <c r="CI7" s="114"/>
      <c r="CJ7" s="115"/>
      <c r="CK7" s="115"/>
      <c r="CL7" s="116"/>
      <c r="CN7" s="11">
        <v>46026</v>
      </c>
      <c r="CO7" s="140" t="s">
        <v>7</v>
      </c>
      <c r="CP7" s="114"/>
      <c r="CQ7" s="115"/>
      <c r="CR7" s="115"/>
      <c r="CS7" s="116"/>
      <c r="CU7" s="11">
        <v>46026</v>
      </c>
      <c r="CV7" s="140" t="s">
        <v>7</v>
      </c>
      <c r="CW7" s="114"/>
      <c r="CX7" s="115"/>
      <c r="CY7" s="115"/>
      <c r="CZ7" s="116"/>
      <c r="DB7" s="11">
        <v>46026</v>
      </c>
      <c r="DC7" s="140" t="s">
        <v>7</v>
      </c>
      <c r="DD7" s="114"/>
      <c r="DE7" s="115"/>
      <c r="DF7" s="115"/>
      <c r="DG7" s="116"/>
      <c r="DI7" s="11">
        <v>46026</v>
      </c>
      <c r="DJ7" s="140" t="s">
        <v>7</v>
      </c>
      <c r="DK7" s="114"/>
      <c r="DL7" s="115"/>
      <c r="DM7" s="115"/>
      <c r="DN7" s="116"/>
      <c r="DP7" s="11">
        <v>46026</v>
      </c>
      <c r="DQ7" s="140" t="s">
        <v>7</v>
      </c>
      <c r="DR7" s="114"/>
      <c r="DS7" s="115"/>
      <c r="DT7" s="115"/>
      <c r="DU7" s="116"/>
      <c r="DW7" s="11">
        <v>46026</v>
      </c>
      <c r="DX7" s="140" t="s">
        <v>7</v>
      </c>
      <c r="DY7" s="114"/>
      <c r="DZ7" s="115"/>
      <c r="EA7" s="115"/>
      <c r="EB7" s="116"/>
    </row>
    <row r="8" spans="1:132" x14ac:dyDescent="0.25">
      <c r="A8" s="11">
        <v>46027</v>
      </c>
      <c r="B8" s="33" t="s">
        <v>8</v>
      </c>
      <c r="C8" s="144" t="s">
        <v>73</v>
      </c>
      <c r="D8" s="145">
        <v>180</v>
      </c>
      <c r="E8" s="145">
        <v>15</v>
      </c>
      <c r="F8" s="146">
        <v>19</v>
      </c>
      <c r="H8" s="11">
        <v>46027</v>
      </c>
      <c r="I8" s="33" t="s">
        <v>8</v>
      </c>
      <c r="J8" s="114" t="s">
        <v>73</v>
      </c>
      <c r="K8" s="115">
        <v>250</v>
      </c>
      <c r="L8" s="115">
        <v>20.5</v>
      </c>
      <c r="M8" s="116">
        <v>0</v>
      </c>
      <c r="O8" s="11">
        <v>46027</v>
      </c>
      <c r="P8" s="33" t="s">
        <v>8</v>
      </c>
      <c r="Q8" s="114" t="s">
        <v>36</v>
      </c>
      <c r="R8" s="115"/>
      <c r="S8" s="115"/>
      <c r="T8" s="116"/>
      <c r="V8" s="11">
        <v>46027</v>
      </c>
      <c r="W8" s="33" t="s">
        <v>8</v>
      </c>
      <c r="X8" s="144" t="s">
        <v>31</v>
      </c>
      <c r="Y8" s="145">
        <v>120</v>
      </c>
      <c r="Z8" s="145">
        <v>0</v>
      </c>
      <c r="AA8" s="146">
        <v>0</v>
      </c>
      <c r="AC8" s="11">
        <v>46027</v>
      </c>
      <c r="AD8" s="33" t="s">
        <v>8</v>
      </c>
      <c r="AE8" s="144" t="s">
        <v>31</v>
      </c>
      <c r="AF8" s="145">
        <v>180</v>
      </c>
      <c r="AG8" s="145">
        <v>0</v>
      </c>
      <c r="AH8" s="146">
        <v>0</v>
      </c>
      <c r="AJ8" s="11">
        <v>46027</v>
      </c>
      <c r="AK8" s="33" t="s">
        <v>8</v>
      </c>
      <c r="AL8" s="144" t="s">
        <v>31</v>
      </c>
      <c r="AM8" s="145">
        <v>250</v>
      </c>
      <c r="AN8" s="145">
        <v>0</v>
      </c>
      <c r="AO8" s="146">
        <v>0</v>
      </c>
      <c r="AQ8" s="11">
        <v>46027</v>
      </c>
      <c r="AR8" s="33" t="s">
        <v>8</v>
      </c>
      <c r="AS8" s="144" t="s">
        <v>73</v>
      </c>
      <c r="AT8" s="145">
        <v>100</v>
      </c>
      <c r="AU8" s="145">
        <v>12</v>
      </c>
      <c r="AV8" s="146">
        <v>0</v>
      </c>
      <c r="AX8" s="11">
        <v>46027</v>
      </c>
      <c r="AY8" s="33" t="s">
        <v>8</v>
      </c>
      <c r="AZ8" s="144" t="s">
        <v>31</v>
      </c>
      <c r="BA8" s="145">
        <v>120</v>
      </c>
      <c r="BB8" s="145">
        <v>0</v>
      </c>
      <c r="BC8" s="146">
        <v>0</v>
      </c>
      <c r="BE8" s="11">
        <v>46027</v>
      </c>
      <c r="BF8" s="33" t="s">
        <v>8</v>
      </c>
      <c r="BG8" s="33" t="s">
        <v>37</v>
      </c>
      <c r="BH8" s="19"/>
      <c r="BI8" s="19"/>
      <c r="BJ8" s="20"/>
      <c r="BL8" s="11">
        <v>46027</v>
      </c>
      <c r="BM8" s="33" t="s">
        <v>8</v>
      </c>
      <c r="BN8" s="144" t="s">
        <v>73</v>
      </c>
      <c r="BO8" s="145">
        <v>100</v>
      </c>
      <c r="BP8" s="145">
        <v>12</v>
      </c>
      <c r="BQ8" s="146">
        <v>0</v>
      </c>
      <c r="BS8" s="11">
        <v>46027</v>
      </c>
      <c r="BT8" s="33" t="s">
        <v>8</v>
      </c>
      <c r="BU8" s="114" t="s">
        <v>73</v>
      </c>
      <c r="BV8" s="115">
        <v>100</v>
      </c>
      <c r="BW8" s="115">
        <v>12</v>
      </c>
      <c r="BX8" s="116">
        <v>0</v>
      </c>
      <c r="BZ8" s="11">
        <v>46027</v>
      </c>
      <c r="CA8" s="140" t="s">
        <v>8</v>
      </c>
      <c r="CB8" s="114"/>
      <c r="CC8" s="115"/>
      <c r="CD8" s="115"/>
      <c r="CE8" s="116"/>
      <c r="CG8" s="11">
        <v>46027</v>
      </c>
      <c r="CH8" s="140" t="s">
        <v>8</v>
      </c>
      <c r="CI8" s="114"/>
      <c r="CJ8" s="115"/>
      <c r="CK8" s="115"/>
      <c r="CL8" s="116"/>
      <c r="CN8" s="11">
        <v>46027</v>
      </c>
      <c r="CO8" s="140" t="s">
        <v>8</v>
      </c>
      <c r="CP8" s="114"/>
      <c r="CQ8" s="115"/>
      <c r="CR8" s="115"/>
      <c r="CS8" s="116"/>
      <c r="CU8" s="11">
        <v>46027</v>
      </c>
      <c r="CV8" s="140" t="s">
        <v>8</v>
      </c>
      <c r="CW8" s="114"/>
      <c r="CX8" s="115"/>
      <c r="CY8" s="115"/>
      <c r="CZ8" s="116"/>
      <c r="DB8" s="11">
        <v>46027</v>
      </c>
      <c r="DC8" s="140" t="s">
        <v>8</v>
      </c>
      <c r="DD8" s="114"/>
      <c r="DE8" s="115"/>
      <c r="DF8" s="115"/>
      <c r="DG8" s="116"/>
      <c r="DI8" s="11">
        <v>46027</v>
      </c>
      <c r="DJ8" s="140" t="s">
        <v>8</v>
      </c>
      <c r="DK8" s="114"/>
      <c r="DL8" s="115"/>
      <c r="DM8" s="115"/>
      <c r="DN8" s="116"/>
      <c r="DP8" s="11">
        <v>46027</v>
      </c>
      <c r="DQ8" s="140" t="s">
        <v>8</v>
      </c>
      <c r="DR8" s="114"/>
      <c r="DS8" s="115"/>
      <c r="DT8" s="115"/>
      <c r="DU8" s="116"/>
      <c r="DW8" s="11">
        <v>46027</v>
      </c>
      <c r="DX8" s="140" t="s">
        <v>8</v>
      </c>
      <c r="DY8" s="114"/>
      <c r="DZ8" s="115"/>
      <c r="EA8" s="115"/>
      <c r="EB8" s="116"/>
    </row>
    <row r="9" spans="1:132" x14ac:dyDescent="0.25">
      <c r="A9" s="11">
        <v>46028</v>
      </c>
      <c r="B9" s="33" t="s">
        <v>9</v>
      </c>
      <c r="C9" s="144" t="s">
        <v>73</v>
      </c>
      <c r="D9" s="145">
        <v>180</v>
      </c>
      <c r="E9" s="145">
        <v>15</v>
      </c>
      <c r="F9" s="146">
        <v>19</v>
      </c>
      <c r="H9" s="11">
        <v>46028</v>
      </c>
      <c r="I9" s="33" t="s">
        <v>9</v>
      </c>
      <c r="J9" s="114" t="s">
        <v>73</v>
      </c>
      <c r="K9" s="115">
        <v>250</v>
      </c>
      <c r="L9" s="115">
        <v>20.5</v>
      </c>
      <c r="M9" s="116">
        <v>0</v>
      </c>
      <c r="O9" s="11">
        <v>46028</v>
      </c>
      <c r="P9" s="33" t="s">
        <v>9</v>
      </c>
      <c r="Q9" s="114"/>
      <c r="R9" s="115"/>
      <c r="S9" s="115"/>
      <c r="T9" s="116"/>
      <c r="V9" s="11">
        <v>46028</v>
      </c>
      <c r="W9" s="33" t="s">
        <v>9</v>
      </c>
      <c r="X9" s="144" t="s">
        <v>31</v>
      </c>
      <c r="Y9" s="145">
        <v>120</v>
      </c>
      <c r="Z9" s="145">
        <v>0</v>
      </c>
      <c r="AA9" s="146">
        <v>0</v>
      </c>
      <c r="AC9" s="11">
        <v>46028</v>
      </c>
      <c r="AD9" s="33" t="s">
        <v>9</v>
      </c>
      <c r="AE9" s="144" t="s">
        <v>31</v>
      </c>
      <c r="AF9" s="145">
        <v>180</v>
      </c>
      <c r="AG9" s="145">
        <v>0</v>
      </c>
      <c r="AH9" s="146">
        <v>0</v>
      </c>
      <c r="AJ9" s="11">
        <v>46028</v>
      </c>
      <c r="AK9" s="33" t="s">
        <v>9</v>
      </c>
      <c r="AL9" s="144" t="s">
        <v>31</v>
      </c>
      <c r="AM9" s="145">
        <v>250</v>
      </c>
      <c r="AN9" s="145">
        <v>0</v>
      </c>
      <c r="AO9" s="146">
        <v>0</v>
      </c>
      <c r="AQ9" s="11">
        <v>46028</v>
      </c>
      <c r="AR9" s="33" t="s">
        <v>9</v>
      </c>
      <c r="AS9" s="144" t="s">
        <v>73</v>
      </c>
      <c r="AT9" s="145">
        <v>100</v>
      </c>
      <c r="AU9" s="145">
        <v>12</v>
      </c>
      <c r="AV9" s="146">
        <v>0</v>
      </c>
      <c r="AX9" s="11">
        <v>46028</v>
      </c>
      <c r="AY9" s="33" t="s">
        <v>9</v>
      </c>
      <c r="AZ9" s="144" t="s">
        <v>31</v>
      </c>
      <c r="BA9" s="145">
        <v>120</v>
      </c>
      <c r="BB9" s="145">
        <v>0</v>
      </c>
      <c r="BC9" s="146">
        <v>0</v>
      </c>
      <c r="BE9" s="11">
        <v>46028</v>
      </c>
      <c r="BF9" s="33" t="s">
        <v>9</v>
      </c>
      <c r="BG9" s="33" t="s">
        <v>37</v>
      </c>
      <c r="BH9" s="19"/>
      <c r="BI9" s="19"/>
      <c r="BJ9" s="20"/>
      <c r="BL9" s="11">
        <v>46028</v>
      </c>
      <c r="BM9" s="33" t="s">
        <v>9</v>
      </c>
      <c r="BN9" s="144" t="s">
        <v>73</v>
      </c>
      <c r="BO9" s="145">
        <v>100</v>
      </c>
      <c r="BP9" s="145">
        <v>12</v>
      </c>
      <c r="BQ9" s="146">
        <v>0</v>
      </c>
      <c r="BS9" s="11">
        <v>46028</v>
      </c>
      <c r="BT9" s="33" t="s">
        <v>9</v>
      </c>
      <c r="BU9" s="114" t="s">
        <v>36</v>
      </c>
      <c r="BV9" s="115"/>
      <c r="BW9" s="115"/>
      <c r="BX9" s="116"/>
      <c r="BZ9" s="11">
        <v>46028</v>
      </c>
      <c r="CA9" s="140" t="s">
        <v>9</v>
      </c>
      <c r="CB9" s="114"/>
      <c r="CC9" s="115"/>
      <c r="CD9" s="115"/>
      <c r="CE9" s="116"/>
      <c r="CG9" s="11">
        <v>46028</v>
      </c>
      <c r="CH9" s="140" t="s">
        <v>9</v>
      </c>
      <c r="CI9" s="114"/>
      <c r="CJ9" s="115"/>
      <c r="CK9" s="115"/>
      <c r="CL9" s="116"/>
      <c r="CN9" s="11">
        <v>46028</v>
      </c>
      <c r="CO9" s="140" t="s">
        <v>9</v>
      </c>
      <c r="CP9" s="114"/>
      <c r="CQ9" s="115"/>
      <c r="CR9" s="115"/>
      <c r="CS9" s="116"/>
      <c r="CU9" s="11">
        <v>46028</v>
      </c>
      <c r="CV9" s="140" t="s">
        <v>9</v>
      </c>
      <c r="CW9" s="114"/>
      <c r="CX9" s="115"/>
      <c r="CY9" s="115"/>
      <c r="CZ9" s="116"/>
      <c r="DB9" s="11">
        <v>46028</v>
      </c>
      <c r="DC9" s="140" t="s">
        <v>9</v>
      </c>
      <c r="DD9" s="114"/>
      <c r="DE9" s="115"/>
      <c r="DF9" s="115"/>
      <c r="DG9" s="116"/>
      <c r="DI9" s="11">
        <v>46028</v>
      </c>
      <c r="DJ9" s="140" t="s">
        <v>9</v>
      </c>
      <c r="DK9" s="114"/>
      <c r="DL9" s="115"/>
      <c r="DM9" s="115"/>
      <c r="DN9" s="116"/>
      <c r="DP9" s="11">
        <v>46028</v>
      </c>
      <c r="DQ9" s="140" t="s">
        <v>9</v>
      </c>
      <c r="DR9" s="114"/>
      <c r="DS9" s="115"/>
      <c r="DT9" s="115"/>
      <c r="DU9" s="116"/>
      <c r="DW9" s="11">
        <v>46028</v>
      </c>
      <c r="DX9" s="140" t="s">
        <v>9</v>
      </c>
      <c r="DY9" s="114"/>
      <c r="DZ9" s="115"/>
      <c r="EA9" s="115"/>
      <c r="EB9" s="116"/>
    </row>
    <row r="10" spans="1:132" x14ac:dyDescent="0.25">
      <c r="A10" s="11">
        <v>46029</v>
      </c>
      <c r="B10" s="33" t="s">
        <v>3</v>
      </c>
      <c r="C10" s="144" t="s">
        <v>73</v>
      </c>
      <c r="D10" s="145">
        <v>180</v>
      </c>
      <c r="E10" s="145">
        <v>15</v>
      </c>
      <c r="F10" s="146">
        <v>19</v>
      </c>
      <c r="H10" s="11">
        <v>46029</v>
      </c>
      <c r="I10" s="33" t="s">
        <v>3</v>
      </c>
      <c r="J10" s="114" t="s">
        <v>73</v>
      </c>
      <c r="K10" s="115">
        <v>250</v>
      </c>
      <c r="L10" s="115">
        <v>20.5</v>
      </c>
      <c r="M10" s="116">
        <v>0</v>
      </c>
      <c r="O10" s="11">
        <v>46029</v>
      </c>
      <c r="P10" s="33" t="s">
        <v>3</v>
      </c>
      <c r="Q10" s="114"/>
      <c r="R10" s="115"/>
      <c r="S10" s="115"/>
      <c r="T10" s="116"/>
      <c r="V10" s="11">
        <v>46029</v>
      </c>
      <c r="W10" s="33" t="s">
        <v>3</v>
      </c>
      <c r="X10" s="144" t="s">
        <v>31</v>
      </c>
      <c r="Y10" s="145">
        <v>120</v>
      </c>
      <c r="Z10" s="145">
        <v>0</v>
      </c>
      <c r="AA10" s="146">
        <v>0</v>
      </c>
      <c r="AC10" s="11">
        <v>46029</v>
      </c>
      <c r="AD10" s="33" t="s">
        <v>3</v>
      </c>
      <c r="AE10" s="144" t="s">
        <v>31</v>
      </c>
      <c r="AF10" s="145">
        <v>180</v>
      </c>
      <c r="AG10" s="145">
        <v>0</v>
      </c>
      <c r="AH10" s="146">
        <v>0</v>
      </c>
      <c r="AJ10" s="11">
        <v>46029</v>
      </c>
      <c r="AK10" s="33" t="s">
        <v>3</v>
      </c>
      <c r="AL10" s="144" t="s">
        <v>31</v>
      </c>
      <c r="AM10" s="145">
        <v>250</v>
      </c>
      <c r="AN10" s="145">
        <v>0</v>
      </c>
      <c r="AO10" s="146">
        <v>0</v>
      </c>
      <c r="AQ10" s="11">
        <v>46029</v>
      </c>
      <c r="AR10" s="33" t="s">
        <v>3</v>
      </c>
      <c r="AS10" s="144" t="s">
        <v>73</v>
      </c>
      <c r="AT10" s="145">
        <v>100</v>
      </c>
      <c r="AU10" s="145">
        <v>12</v>
      </c>
      <c r="AV10" s="146">
        <v>0</v>
      </c>
      <c r="AX10" s="11">
        <v>46029</v>
      </c>
      <c r="AY10" s="33" t="s">
        <v>3</v>
      </c>
      <c r="AZ10" s="144" t="s">
        <v>31</v>
      </c>
      <c r="BA10" s="145">
        <v>120</v>
      </c>
      <c r="BB10" s="145">
        <v>0</v>
      </c>
      <c r="BC10" s="146">
        <v>0</v>
      </c>
      <c r="BE10" s="11">
        <v>46029</v>
      </c>
      <c r="BF10" s="33" t="s">
        <v>3</v>
      </c>
      <c r="BG10" s="33" t="s">
        <v>37</v>
      </c>
      <c r="BH10" s="19"/>
      <c r="BI10" s="19"/>
      <c r="BJ10" s="20"/>
      <c r="BL10" s="11">
        <v>46029</v>
      </c>
      <c r="BM10" s="33" t="s">
        <v>3</v>
      </c>
      <c r="BN10" s="144" t="s">
        <v>73</v>
      </c>
      <c r="BO10" s="145">
        <v>100</v>
      </c>
      <c r="BP10" s="145">
        <v>12</v>
      </c>
      <c r="BQ10" s="146">
        <v>0</v>
      </c>
      <c r="BS10" s="11">
        <v>46029</v>
      </c>
      <c r="BT10" s="33" t="s">
        <v>3</v>
      </c>
      <c r="BU10" s="114" t="s">
        <v>36</v>
      </c>
      <c r="BV10" s="115"/>
      <c r="BW10" s="115"/>
      <c r="BX10" s="116"/>
      <c r="BZ10" s="11">
        <v>46029</v>
      </c>
      <c r="CA10" s="140" t="s">
        <v>3</v>
      </c>
      <c r="CB10" s="114"/>
      <c r="CC10" s="115"/>
      <c r="CD10" s="115"/>
      <c r="CE10" s="142"/>
      <c r="CG10" s="11">
        <v>46029</v>
      </c>
      <c r="CH10" s="140" t="s">
        <v>3</v>
      </c>
      <c r="CI10" s="114"/>
      <c r="CJ10" s="115"/>
      <c r="CK10" s="115"/>
      <c r="CL10" s="142"/>
      <c r="CN10" s="11">
        <v>46029</v>
      </c>
      <c r="CO10" s="140" t="s">
        <v>3</v>
      </c>
      <c r="CP10" s="114"/>
      <c r="CQ10" s="115"/>
      <c r="CR10" s="115"/>
      <c r="CS10" s="142"/>
      <c r="CU10" s="11">
        <v>46029</v>
      </c>
      <c r="CV10" s="140" t="s">
        <v>3</v>
      </c>
      <c r="CW10" s="114"/>
      <c r="CX10" s="115"/>
      <c r="CY10" s="115"/>
      <c r="CZ10" s="142"/>
      <c r="DB10" s="11">
        <v>46029</v>
      </c>
      <c r="DC10" s="140" t="s">
        <v>3</v>
      </c>
      <c r="DD10" s="114"/>
      <c r="DE10" s="115"/>
      <c r="DF10" s="115"/>
      <c r="DG10" s="142"/>
      <c r="DI10" s="11">
        <v>46029</v>
      </c>
      <c r="DJ10" s="140" t="s">
        <v>3</v>
      </c>
      <c r="DK10" s="114"/>
      <c r="DL10" s="115"/>
      <c r="DM10" s="115"/>
      <c r="DN10" s="142"/>
      <c r="DP10" s="11">
        <v>46029</v>
      </c>
      <c r="DQ10" s="140" t="s">
        <v>3</v>
      </c>
      <c r="DR10" s="114"/>
      <c r="DS10" s="115"/>
      <c r="DT10" s="115"/>
      <c r="DU10" s="142"/>
      <c r="DW10" s="11">
        <v>46029</v>
      </c>
      <c r="DX10" s="140" t="s">
        <v>3</v>
      </c>
      <c r="DY10" s="114"/>
      <c r="DZ10" s="115"/>
      <c r="EA10" s="115"/>
      <c r="EB10" s="142"/>
    </row>
    <row r="11" spans="1:132" x14ac:dyDescent="0.25">
      <c r="A11" s="11">
        <v>46030</v>
      </c>
      <c r="B11" s="33" t="s">
        <v>4</v>
      </c>
      <c r="C11" s="144" t="s">
        <v>30</v>
      </c>
      <c r="D11" s="145">
        <v>180</v>
      </c>
      <c r="E11" s="145">
        <v>15</v>
      </c>
      <c r="F11" s="146">
        <v>19</v>
      </c>
      <c r="H11" s="11">
        <v>46030</v>
      </c>
      <c r="I11" s="33" t="s">
        <v>4</v>
      </c>
      <c r="J11" s="114" t="s">
        <v>76</v>
      </c>
      <c r="K11" s="115">
        <v>250</v>
      </c>
      <c r="L11" s="115">
        <v>20.5</v>
      </c>
      <c r="M11" s="116">
        <v>0</v>
      </c>
      <c r="O11" s="11">
        <v>46030</v>
      </c>
      <c r="P11" s="33" t="s">
        <v>4</v>
      </c>
      <c r="Q11" s="114"/>
      <c r="R11" s="115"/>
      <c r="S11" s="115"/>
      <c r="T11" s="116"/>
      <c r="V11" s="11">
        <v>46030</v>
      </c>
      <c r="W11" s="33" t="s">
        <v>4</v>
      </c>
      <c r="X11" s="144" t="s">
        <v>31</v>
      </c>
      <c r="Y11" s="145">
        <v>120</v>
      </c>
      <c r="Z11" s="145">
        <v>0</v>
      </c>
      <c r="AA11" s="146">
        <v>0</v>
      </c>
      <c r="AC11" s="11">
        <v>46030</v>
      </c>
      <c r="AD11" s="33" t="s">
        <v>4</v>
      </c>
      <c r="AE11" s="144" t="s">
        <v>31</v>
      </c>
      <c r="AF11" s="145">
        <v>180</v>
      </c>
      <c r="AG11" s="145">
        <v>0</v>
      </c>
      <c r="AH11" s="146">
        <v>0</v>
      </c>
      <c r="AJ11" s="11">
        <v>46030</v>
      </c>
      <c r="AK11" s="33" t="s">
        <v>4</v>
      </c>
      <c r="AL11" s="144" t="s">
        <v>31</v>
      </c>
      <c r="AM11" s="145">
        <v>250</v>
      </c>
      <c r="AN11" s="145">
        <v>0</v>
      </c>
      <c r="AO11" s="146">
        <v>0</v>
      </c>
      <c r="AQ11" s="11">
        <v>46030</v>
      </c>
      <c r="AR11" s="33" t="s">
        <v>4</v>
      </c>
      <c r="AS11" s="144" t="s">
        <v>76</v>
      </c>
      <c r="AT11" s="145">
        <v>100</v>
      </c>
      <c r="AU11" s="145">
        <v>12</v>
      </c>
      <c r="AV11" s="146">
        <v>0</v>
      </c>
      <c r="AX11" s="11">
        <v>46030</v>
      </c>
      <c r="AY11" s="33" t="s">
        <v>4</v>
      </c>
      <c r="AZ11" s="144" t="s">
        <v>31</v>
      </c>
      <c r="BA11" s="145">
        <v>120</v>
      </c>
      <c r="BB11" s="145">
        <v>0</v>
      </c>
      <c r="BC11" s="146">
        <v>0</v>
      </c>
      <c r="BE11" s="11">
        <v>46030</v>
      </c>
      <c r="BF11" s="33" t="s">
        <v>4</v>
      </c>
      <c r="BG11" s="33" t="s">
        <v>37</v>
      </c>
      <c r="BH11" s="19"/>
      <c r="BI11" s="19"/>
      <c r="BJ11" s="20"/>
      <c r="BL11" s="11">
        <v>46030</v>
      </c>
      <c r="BM11" s="33" t="s">
        <v>4</v>
      </c>
      <c r="BN11" s="144" t="s">
        <v>30</v>
      </c>
      <c r="BO11" s="145">
        <v>100</v>
      </c>
      <c r="BP11" s="145">
        <v>12</v>
      </c>
      <c r="BQ11" s="146">
        <v>0</v>
      </c>
      <c r="BS11" s="11">
        <v>46030</v>
      </c>
      <c r="BT11" s="33" t="s">
        <v>4</v>
      </c>
      <c r="BU11" s="114" t="s">
        <v>36</v>
      </c>
      <c r="BV11" s="115"/>
      <c r="BW11" s="115"/>
      <c r="BX11" s="116"/>
      <c r="BZ11" s="11">
        <v>46030</v>
      </c>
      <c r="CA11" s="140" t="s">
        <v>4</v>
      </c>
      <c r="CB11" s="114"/>
      <c r="CC11" s="115"/>
      <c r="CD11" s="115"/>
      <c r="CE11" s="142"/>
      <c r="CG11" s="11">
        <v>46030</v>
      </c>
      <c r="CH11" s="140" t="s">
        <v>4</v>
      </c>
      <c r="CI11" s="114"/>
      <c r="CJ11" s="115"/>
      <c r="CK11" s="115"/>
      <c r="CL11" s="142"/>
      <c r="CN11" s="11">
        <v>46030</v>
      </c>
      <c r="CO11" s="140" t="s">
        <v>4</v>
      </c>
      <c r="CP11" s="114"/>
      <c r="CQ11" s="115"/>
      <c r="CR11" s="115"/>
      <c r="CS11" s="142"/>
      <c r="CU11" s="11">
        <v>46030</v>
      </c>
      <c r="CV11" s="140" t="s">
        <v>4</v>
      </c>
      <c r="CW11" s="114"/>
      <c r="CX11" s="115"/>
      <c r="CY11" s="115"/>
      <c r="CZ11" s="142"/>
      <c r="DB11" s="11">
        <v>46030</v>
      </c>
      <c r="DC11" s="140" t="s">
        <v>4</v>
      </c>
      <c r="DD11" s="114"/>
      <c r="DE11" s="115"/>
      <c r="DF11" s="115"/>
      <c r="DG11" s="142"/>
      <c r="DI11" s="11">
        <v>46030</v>
      </c>
      <c r="DJ11" s="140" t="s">
        <v>4</v>
      </c>
      <c r="DK11" s="114"/>
      <c r="DL11" s="115"/>
      <c r="DM11" s="115"/>
      <c r="DN11" s="142"/>
      <c r="DP11" s="11">
        <v>46030</v>
      </c>
      <c r="DQ11" s="140" t="s">
        <v>4</v>
      </c>
      <c r="DR11" s="114"/>
      <c r="DS11" s="115"/>
      <c r="DT11" s="115"/>
      <c r="DU11" s="142"/>
      <c r="DW11" s="11">
        <v>46030</v>
      </c>
      <c r="DX11" s="140" t="s">
        <v>4</v>
      </c>
      <c r="DY11" s="114"/>
      <c r="DZ11" s="115"/>
      <c r="EA11" s="115"/>
      <c r="EB11" s="142"/>
    </row>
    <row r="12" spans="1:132" x14ac:dyDescent="0.25">
      <c r="A12" s="11">
        <v>46031</v>
      </c>
      <c r="B12" s="33" t="s">
        <v>5</v>
      </c>
      <c r="C12" s="144" t="s">
        <v>76</v>
      </c>
      <c r="D12" s="145">
        <v>180</v>
      </c>
      <c r="E12" s="145">
        <v>15</v>
      </c>
      <c r="F12" s="146">
        <v>19</v>
      </c>
      <c r="H12" s="11">
        <v>46031</v>
      </c>
      <c r="I12" s="33" t="s">
        <v>5</v>
      </c>
      <c r="J12" s="114" t="s">
        <v>32</v>
      </c>
      <c r="K12" s="115">
        <v>250</v>
      </c>
      <c r="L12" s="115">
        <v>20.5</v>
      </c>
      <c r="M12" s="116">
        <v>0</v>
      </c>
      <c r="O12" s="11">
        <v>46031</v>
      </c>
      <c r="P12" s="33" t="s">
        <v>5</v>
      </c>
      <c r="Q12" s="114"/>
      <c r="R12" s="115"/>
      <c r="S12" s="115"/>
      <c r="T12" s="116"/>
      <c r="V12" s="11">
        <v>46031</v>
      </c>
      <c r="W12" s="33" t="s">
        <v>5</v>
      </c>
      <c r="X12" s="144" t="s">
        <v>31</v>
      </c>
      <c r="Y12" s="145">
        <v>120</v>
      </c>
      <c r="Z12" s="145">
        <v>0</v>
      </c>
      <c r="AA12" s="146">
        <v>0</v>
      </c>
      <c r="AC12" s="11">
        <v>46031</v>
      </c>
      <c r="AD12" s="33" t="s">
        <v>5</v>
      </c>
      <c r="AE12" s="144" t="s">
        <v>31</v>
      </c>
      <c r="AF12" s="145">
        <v>180</v>
      </c>
      <c r="AG12" s="145">
        <v>0</v>
      </c>
      <c r="AH12" s="146">
        <v>0</v>
      </c>
      <c r="AJ12" s="11">
        <v>46031</v>
      </c>
      <c r="AK12" s="33" t="s">
        <v>5</v>
      </c>
      <c r="AL12" s="144" t="s">
        <v>31</v>
      </c>
      <c r="AM12" s="145">
        <v>250</v>
      </c>
      <c r="AN12" s="145">
        <v>0</v>
      </c>
      <c r="AO12" s="146">
        <v>0</v>
      </c>
      <c r="AQ12" s="11">
        <v>46031</v>
      </c>
      <c r="AR12" s="33" t="s">
        <v>5</v>
      </c>
      <c r="AS12" s="144" t="s">
        <v>32</v>
      </c>
      <c r="AT12" s="145">
        <v>100</v>
      </c>
      <c r="AU12" s="145">
        <v>12</v>
      </c>
      <c r="AV12" s="146">
        <v>0</v>
      </c>
      <c r="AX12" s="11">
        <v>46031</v>
      </c>
      <c r="AY12" s="33" t="s">
        <v>5</v>
      </c>
      <c r="AZ12" s="144" t="s">
        <v>31</v>
      </c>
      <c r="BA12" s="145">
        <v>120</v>
      </c>
      <c r="BB12" s="145">
        <v>0</v>
      </c>
      <c r="BC12" s="146">
        <v>0</v>
      </c>
      <c r="BE12" s="11">
        <v>46031</v>
      </c>
      <c r="BF12" s="33" t="s">
        <v>5</v>
      </c>
      <c r="BG12" s="33" t="s">
        <v>37</v>
      </c>
      <c r="BH12" s="19"/>
      <c r="BI12" s="19"/>
      <c r="BJ12" s="20"/>
      <c r="BL12" s="11">
        <v>46031</v>
      </c>
      <c r="BM12" s="33" t="s">
        <v>5</v>
      </c>
      <c r="BN12" s="144" t="s">
        <v>76</v>
      </c>
      <c r="BO12" s="145">
        <v>100</v>
      </c>
      <c r="BP12" s="145">
        <v>12</v>
      </c>
      <c r="BQ12" s="146">
        <v>0</v>
      </c>
      <c r="BS12" s="11">
        <v>46031</v>
      </c>
      <c r="BT12" s="33" t="s">
        <v>5</v>
      </c>
      <c r="BU12" s="114" t="s">
        <v>36</v>
      </c>
      <c r="BV12" s="115"/>
      <c r="BW12" s="115"/>
      <c r="BX12" s="116"/>
      <c r="BZ12" s="11">
        <v>46031</v>
      </c>
      <c r="CA12" s="140" t="s">
        <v>5</v>
      </c>
      <c r="CB12" s="114"/>
      <c r="CC12" s="115"/>
      <c r="CD12" s="115"/>
      <c r="CE12" s="116"/>
      <c r="CG12" s="11">
        <v>46031</v>
      </c>
      <c r="CH12" s="140" t="s">
        <v>5</v>
      </c>
      <c r="CI12" s="114"/>
      <c r="CJ12" s="115"/>
      <c r="CK12" s="115"/>
      <c r="CL12" s="116"/>
      <c r="CN12" s="11">
        <v>46031</v>
      </c>
      <c r="CO12" s="140" t="s">
        <v>5</v>
      </c>
      <c r="CP12" s="114"/>
      <c r="CQ12" s="115"/>
      <c r="CR12" s="115"/>
      <c r="CS12" s="116"/>
      <c r="CU12" s="11">
        <v>46031</v>
      </c>
      <c r="CV12" s="140" t="s">
        <v>5</v>
      </c>
      <c r="CW12" s="114"/>
      <c r="CX12" s="115"/>
      <c r="CY12" s="115"/>
      <c r="CZ12" s="116"/>
      <c r="DB12" s="11">
        <v>46031</v>
      </c>
      <c r="DC12" s="140" t="s">
        <v>5</v>
      </c>
      <c r="DD12" s="114"/>
      <c r="DE12" s="115"/>
      <c r="DF12" s="115"/>
      <c r="DG12" s="116"/>
      <c r="DI12" s="11">
        <v>46031</v>
      </c>
      <c r="DJ12" s="140" t="s">
        <v>5</v>
      </c>
      <c r="DK12" s="114"/>
      <c r="DL12" s="115"/>
      <c r="DM12" s="115"/>
      <c r="DN12" s="116"/>
      <c r="DP12" s="11">
        <v>46031</v>
      </c>
      <c r="DQ12" s="140" t="s">
        <v>5</v>
      </c>
      <c r="DR12" s="114"/>
      <c r="DS12" s="115"/>
      <c r="DT12" s="115"/>
      <c r="DU12" s="116"/>
      <c r="DW12" s="11">
        <v>46031</v>
      </c>
      <c r="DX12" s="140" t="s">
        <v>5</v>
      </c>
      <c r="DY12" s="114"/>
      <c r="DZ12" s="115"/>
      <c r="EA12" s="115"/>
      <c r="EB12" s="116"/>
    </row>
    <row r="13" spans="1:132" x14ac:dyDescent="0.25">
      <c r="A13" s="11">
        <v>46032</v>
      </c>
      <c r="B13" s="33" t="s">
        <v>6</v>
      </c>
      <c r="C13" s="144"/>
      <c r="D13" s="145"/>
      <c r="E13" s="145"/>
      <c r="F13" s="146"/>
      <c r="H13" s="11">
        <v>46032</v>
      </c>
      <c r="I13" s="33" t="s">
        <v>6</v>
      </c>
      <c r="J13" s="114"/>
      <c r="K13" s="115"/>
      <c r="L13" s="115"/>
      <c r="M13" s="116"/>
      <c r="O13" s="11">
        <v>46032</v>
      </c>
      <c r="P13" s="33" t="s">
        <v>6</v>
      </c>
      <c r="Q13" s="114"/>
      <c r="R13" s="115"/>
      <c r="S13" s="115"/>
      <c r="T13" s="116"/>
      <c r="V13" s="11">
        <v>46032</v>
      </c>
      <c r="W13" s="33" t="s">
        <v>6</v>
      </c>
      <c r="X13" s="144"/>
      <c r="Y13" s="145"/>
      <c r="Z13" s="145"/>
      <c r="AA13" s="146"/>
      <c r="AC13" s="11">
        <v>46032</v>
      </c>
      <c r="AD13" s="33" t="s">
        <v>6</v>
      </c>
      <c r="AE13" s="144"/>
      <c r="AF13" s="145"/>
      <c r="AG13" s="145"/>
      <c r="AH13" s="146"/>
      <c r="AJ13" s="11">
        <v>46032</v>
      </c>
      <c r="AK13" s="33" t="s">
        <v>6</v>
      </c>
      <c r="AL13" s="144"/>
      <c r="AM13" s="145"/>
      <c r="AN13" s="145"/>
      <c r="AO13" s="146"/>
      <c r="AQ13" s="11">
        <v>46032</v>
      </c>
      <c r="AR13" s="33" t="s">
        <v>6</v>
      </c>
      <c r="AS13" s="144"/>
      <c r="AT13" s="145"/>
      <c r="AU13" s="145"/>
      <c r="AV13" s="146"/>
      <c r="AX13" s="11">
        <v>46032</v>
      </c>
      <c r="AY13" s="33" t="s">
        <v>6</v>
      </c>
      <c r="AZ13" s="144"/>
      <c r="BA13" s="145"/>
      <c r="BB13" s="145"/>
      <c r="BC13" s="146"/>
      <c r="BE13" s="11">
        <v>46032</v>
      </c>
      <c r="BF13" s="33" t="s">
        <v>6</v>
      </c>
      <c r="BG13" s="33"/>
      <c r="BH13" s="19"/>
      <c r="BI13" s="19"/>
      <c r="BJ13" s="20"/>
      <c r="BL13" s="11">
        <v>46032</v>
      </c>
      <c r="BM13" s="33" t="s">
        <v>6</v>
      </c>
      <c r="BN13" s="144"/>
      <c r="BO13" s="145"/>
      <c r="BP13" s="145"/>
      <c r="BQ13" s="146"/>
      <c r="BS13" s="11">
        <v>46032</v>
      </c>
      <c r="BT13" s="33" t="s">
        <v>6</v>
      </c>
      <c r="BU13" s="114"/>
      <c r="BV13" s="115"/>
      <c r="BW13" s="115"/>
      <c r="BX13" s="116"/>
      <c r="BZ13" s="11">
        <v>46032</v>
      </c>
      <c r="CA13" s="140" t="s">
        <v>6</v>
      </c>
      <c r="CB13" s="114"/>
      <c r="CC13" s="115"/>
      <c r="CD13" s="115"/>
      <c r="CE13" s="142"/>
      <c r="CG13" s="11">
        <v>46032</v>
      </c>
      <c r="CH13" s="140" t="s">
        <v>6</v>
      </c>
      <c r="CI13" s="114"/>
      <c r="CJ13" s="115"/>
      <c r="CK13" s="115"/>
      <c r="CL13" s="142"/>
      <c r="CN13" s="11">
        <v>46032</v>
      </c>
      <c r="CO13" s="140" t="s">
        <v>6</v>
      </c>
      <c r="CP13" s="114"/>
      <c r="CQ13" s="115"/>
      <c r="CR13" s="115"/>
      <c r="CS13" s="142"/>
      <c r="CU13" s="11">
        <v>46032</v>
      </c>
      <c r="CV13" s="140" t="s">
        <v>6</v>
      </c>
      <c r="CW13" s="114"/>
      <c r="CX13" s="115"/>
      <c r="CY13" s="115"/>
      <c r="CZ13" s="142"/>
      <c r="DB13" s="11">
        <v>46032</v>
      </c>
      <c r="DC13" s="140" t="s">
        <v>6</v>
      </c>
      <c r="DD13" s="114"/>
      <c r="DE13" s="115"/>
      <c r="DF13" s="115"/>
      <c r="DG13" s="142"/>
      <c r="DI13" s="11">
        <v>46032</v>
      </c>
      <c r="DJ13" s="140" t="s">
        <v>6</v>
      </c>
      <c r="DK13" s="114"/>
      <c r="DL13" s="115"/>
      <c r="DM13" s="115"/>
      <c r="DN13" s="142"/>
      <c r="DP13" s="11">
        <v>46032</v>
      </c>
      <c r="DQ13" s="140" t="s">
        <v>6</v>
      </c>
      <c r="DR13" s="114"/>
      <c r="DS13" s="115"/>
      <c r="DT13" s="115"/>
      <c r="DU13" s="142"/>
      <c r="DW13" s="11">
        <v>46032</v>
      </c>
      <c r="DX13" s="140" t="s">
        <v>6</v>
      </c>
      <c r="DY13" s="114"/>
      <c r="DZ13" s="115"/>
      <c r="EA13" s="115"/>
      <c r="EB13" s="142"/>
    </row>
    <row r="14" spans="1:132" x14ac:dyDescent="0.25">
      <c r="A14" s="11">
        <v>46033</v>
      </c>
      <c r="B14" s="33" t="s">
        <v>7</v>
      </c>
      <c r="C14" s="144"/>
      <c r="D14" s="145"/>
      <c r="E14" s="145"/>
      <c r="F14" s="146"/>
      <c r="H14" s="11">
        <v>46033</v>
      </c>
      <c r="I14" s="33" t="s">
        <v>7</v>
      </c>
      <c r="J14" s="114"/>
      <c r="K14" s="115"/>
      <c r="L14" s="115"/>
      <c r="M14" s="116"/>
      <c r="O14" s="11">
        <v>46033</v>
      </c>
      <c r="P14" s="33" t="s">
        <v>7</v>
      </c>
      <c r="Q14" s="114"/>
      <c r="R14" s="115"/>
      <c r="S14" s="115"/>
      <c r="T14" s="116"/>
      <c r="V14" s="11">
        <v>46033</v>
      </c>
      <c r="W14" s="33" t="s">
        <v>7</v>
      </c>
      <c r="X14" s="144"/>
      <c r="Y14" s="145"/>
      <c r="Z14" s="145"/>
      <c r="AA14" s="146"/>
      <c r="AC14" s="11">
        <v>46033</v>
      </c>
      <c r="AD14" s="33" t="s">
        <v>7</v>
      </c>
      <c r="AE14" s="144"/>
      <c r="AF14" s="145"/>
      <c r="AG14" s="145"/>
      <c r="AH14" s="146"/>
      <c r="AJ14" s="11">
        <v>46033</v>
      </c>
      <c r="AK14" s="33" t="s">
        <v>7</v>
      </c>
      <c r="AL14" s="144"/>
      <c r="AM14" s="145"/>
      <c r="AN14" s="145"/>
      <c r="AO14" s="146"/>
      <c r="AQ14" s="11">
        <v>46033</v>
      </c>
      <c r="AR14" s="33" t="s">
        <v>7</v>
      </c>
      <c r="AS14" s="144"/>
      <c r="AT14" s="145"/>
      <c r="AU14" s="145"/>
      <c r="AV14" s="146"/>
      <c r="AX14" s="11">
        <v>46033</v>
      </c>
      <c r="AY14" s="33" t="s">
        <v>7</v>
      </c>
      <c r="AZ14" s="144"/>
      <c r="BA14" s="145"/>
      <c r="BB14" s="145"/>
      <c r="BC14" s="146"/>
      <c r="BE14" s="11">
        <v>46033</v>
      </c>
      <c r="BF14" s="33" t="s">
        <v>7</v>
      </c>
      <c r="BG14" s="33"/>
      <c r="BH14" s="19"/>
      <c r="BI14" s="19"/>
      <c r="BJ14" s="20"/>
      <c r="BL14" s="11">
        <v>46033</v>
      </c>
      <c r="BM14" s="33" t="s">
        <v>7</v>
      </c>
      <c r="BN14" s="144"/>
      <c r="BO14" s="145"/>
      <c r="BP14" s="145"/>
      <c r="BQ14" s="146"/>
      <c r="BS14" s="11">
        <v>46033</v>
      </c>
      <c r="BT14" s="33" t="s">
        <v>7</v>
      </c>
      <c r="BU14" s="114"/>
      <c r="BV14" s="115"/>
      <c r="BW14" s="115"/>
      <c r="BX14" s="116"/>
      <c r="BZ14" s="11">
        <v>46033</v>
      </c>
      <c r="CA14" s="140" t="s">
        <v>7</v>
      </c>
      <c r="CB14" s="114"/>
      <c r="CC14" s="115"/>
      <c r="CD14" s="115"/>
      <c r="CE14" s="142"/>
      <c r="CG14" s="11">
        <v>46033</v>
      </c>
      <c r="CH14" s="140" t="s">
        <v>7</v>
      </c>
      <c r="CI14" s="114"/>
      <c r="CJ14" s="115"/>
      <c r="CK14" s="115"/>
      <c r="CL14" s="142"/>
      <c r="CN14" s="11">
        <v>46033</v>
      </c>
      <c r="CO14" s="140" t="s">
        <v>7</v>
      </c>
      <c r="CP14" s="114"/>
      <c r="CQ14" s="115"/>
      <c r="CR14" s="115"/>
      <c r="CS14" s="142"/>
      <c r="CU14" s="11">
        <v>46033</v>
      </c>
      <c r="CV14" s="140" t="s">
        <v>7</v>
      </c>
      <c r="CW14" s="114"/>
      <c r="CX14" s="115"/>
      <c r="CY14" s="115"/>
      <c r="CZ14" s="142"/>
      <c r="DB14" s="11">
        <v>46033</v>
      </c>
      <c r="DC14" s="140" t="s">
        <v>7</v>
      </c>
      <c r="DD14" s="114"/>
      <c r="DE14" s="115"/>
      <c r="DF14" s="115"/>
      <c r="DG14" s="142"/>
      <c r="DI14" s="11">
        <v>46033</v>
      </c>
      <c r="DJ14" s="140" t="s">
        <v>7</v>
      </c>
      <c r="DK14" s="114"/>
      <c r="DL14" s="115"/>
      <c r="DM14" s="115"/>
      <c r="DN14" s="142"/>
      <c r="DP14" s="11">
        <v>46033</v>
      </c>
      <c r="DQ14" s="140" t="s">
        <v>7</v>
      </c>
      <c r="DR14" s="114"/>
      <c r="DS14" s="115"/>
      <c r="DT14" s="115"/>
      <c r="DU14" s="142"/>
      <c r="DW14" s="11">
        <v>46033</v>
      </c>
      <c r="DX14" s="140" t="s">
        <v>7</v>
      </c>
      <c r="DY14" s="114"/>
      <c r="DZ14" s="115"/>
      <c r="EA14" s="115"/>
      <c r="EB14" s="142"/>
    </row>
    <row r="15" spans="1:132" x14ac:dyDescent="0.25">
      <c r="A15" s="11">
        <v>46034</v>
      </c>
      <c r="B15" s="33" t="s">
        <v>8</v>
      </c>
      <c r="C15" s="144" t="s">
        <v>36</v>
      </c>
      <c r="D15" s="145"/>
      <c r="E15" s="145"/>
      <c r="F15" s="146"/>
      <c r="H15" s="11">
        <v>46034</v>
      </c>
      <c r="I15" s="33" t="s">
        <v>8</v>
      </c>
      <c r="J15" s="114" t="s">
        <v>76</v>
      </c>
      <c r="K15" s="115">
        <v>250</v>
      </c>
      <c r="L15" s="115">
        <v>20.5</v>
      </c>
      <c r="M15" s="116">
        <v>0</v>
      </c>
      <c r="O15" s="11">
        <v>46034</v>
      </c>
      <c r="P15" s="33" t="s">
        <v>8</v>
      </c>
      <c r="Q15" s="114"/>
      <c r="R15" s="115"/>
      <c r="S15" s="115"/>
      <c r="T15" s="116"/>
      <c r="V15" s="11">
        <v>46034</v>
      </c>
      <c r="W15" s="33" t="s">
        <v>8</v>
      </c>
      <c r="X15" s="144" t="s">
        <v>76</v>
      </c>
      <c r="Y15" s="145">
        <v>100</v>
      </c>
      <c r="Z15" s="145">
        <v>12.6</v>
      </c>
      <c r="AA15" s="146">
        <v>0</v>
      </c>
      <c r="AC15" s="11">
        <v>46034</v>
      </c>
      <c r="AD15" s="33" t="s">
        <v>8</v>
      </c>
      <c r="AE15" s="144" t="s">
        <v>76</v>
      </c>
      <c r="AF15" s="145">
        <v>160</v>
      </c>
      <c r="AG15" s="145">
        <v>12</v>
      </c>
      <c r="AH15" s="146">
        <v>0</v>
      </c>
      <c r="AJ15" s="11">
        <v>46034</v>
      </c>
      <c r="AK15" s="33" t="s">
        <v>8</v>
      </c>
      <c r="AL15" s="144" t="s">
        <v>76</v>
      </c>
      <c r="AM15" s="145">
        <v>250</v>
      </c>
      <c r="AN15" s="145">
        <v>12</v>
      </c>
      <c r="AO15" s="146">
        <v>0</v>
      </c>
      <c r="AQ15" s="11">
        <v>46034</v>
      </c>
      <c r="AR15" s="33" t="s">
        <v>8</v>
      </c>
      <c r="AS15" s="144" t="s">
        <v>36</v>
      </c>
      <c r="AT15" s="145"/>
      <c r="AU15" s="145"/>
      <c r="AV15" s="146"/>
      <c r="AX15" s="11">
        <v>46034</v>
      </c>
      <c r="AY15" s="33" t="s">
        <v>8</v>
      </c>
      <c r="AZ15" s="144" t="s">
        <v>76</v>
      </c>
      <c r="BA15" s="145">
        <v>100</v>
      </c>
      <c r="BB15" s="145">
        <v>0</v>
      </c>
      <c r="BC15" s="146">
        <v>0</v>
      </c>
      <c r="BE15" s="11">
        <v>46034</v>
      </c>
      <c r="BF15" s="33" t="s">
        <v>8</v>
      </c>
      <c r="BG15" s="33"/>
      <c r="BH15" s="19"/>
      <c r="BI15" s="19"/>
      <c r="BJ15" s="20"/>
      <c r="BL15" s="11">
        <v>46034</v>
      </c>
      <c r="BM15" s="33" t="s">
        <v>8</v>
      </c>
      <c r="BN15" s="144" t="s">
        <v>73</v>
      </c>
      <c r="BO15" s="145">
        <v>100</v>
      </c>
      <c r="BP15" s="145">
        <v>12</v>
      </c>
      <c r="BQ15" s="146">
        <v>0</v>
      </c>
      <c r="BS15" s="11">
        <v>46034</v>
      </c>
      <c r="BT15" s="33" t="s">
        <v>8</v>
      </c>
      <c r="BU15" s="114" t="s">
        <v>36</v>
      </c>
      <c r="BV15" s="115"/>
      <c r="BW15" s="115"/>
      <c r="BX15" s="116"/>
      <c r="BZ15" s="11">
        <v>46034</v>
      </c>
      <c r="CA15" s="140" t="s">
        <v>8</v>
      </c>
      <c r="CB15" s="114"/>
      <c r="CC15" s="115"/>
      <c r="CD15" s="115"/>
      <c r="CE15" s="142"/>
      <c r="CG15" s="11">
        <v>46034</v>
      </c>
      <c r="CH15" s="140" t="s">
        <v>8</v>
      </c>
      <c r="CI15" s="114"/>
      <c r="CJ15" s="115"/>
      <c r="CK15" s="115"/>
      <c r="CL15" s="142"/>
      <c r="CN15" s="11">
        <v>46034</v>
      </c>
      <c r="CO15" s="140" t="s">
        <v>8</v>
      </c>
      <c r="CP15" s="114"/>
      <c r="CQ15" s="115"/>
      <c r="CR15" s="115"/>
      <c r="CS15" s="142"/>
      <c r="CU15" s="11">
        <v>46034</v>
      </c>
      <c r="CV15" s="140" t="s">
        <v>8</v>
      </c>
      <c r="CW15" s="114"/>
      <c r="CX15" s="115"/>
      <c r="CY15" s="115"/>
      <c r="CZ15" s="142"/>
      <c r="DB15" s="11">
        <v>46034</v>
      </c>
      <c r="DC15" s="140" t="s">
        <v>8</v>
      </c>
      <c r="DD15" s="114"/>
      <c r="DE15" s="115"/>
      <c r="DF15" s="115"/>
      <c r="DG15" s="142"/>
      <c r="DI15" s="11">
        <v>46034</v>
      </c>
      <c r="DJ15" s="140" t="s">
        <v>8</v>
      </c>
      <c r="DK15" s="114"/>
      <c r="DL15" s="115"/>
      <c r="DM15" s="115"/>
      <c r="DN15" s="142"/>
      <c r="DP15" s="11">
        <v>46034</v>
      </c>
      <c r="DQ15" s="140" t="s">
        <v>8</v>
      </c>
      <c r="DR15" s="114"/>
      <c r="DS15" s="115"/>
      <c r="DT15" s="115"/>
      <c r="DU15" s="142"/>
      <c r="DW15" s="11">
        <v>46034</v>
      </c>
      <c r="DX15" s="140" t="s">
        <v>8</v>
      </c>
      <c r="DY15" s="114"/>
      <c r="DZ15" s="115"/>
      <c r="EA15" s="115"/>
      <c r="EB15" s="142"/>
    </row>
    <row r="16" spans="1:132" x14ac:dyDescent="0.25">
      <c r="A16" s="11">
        <v>46035</v>
      </c>
      <c r="B16" s="33" t="s">
        <v>9</v>
      </c>
      <c r="C16" s="144" t="s">
        <v>73</v>
      </c>
      <c r="D16" s="145">
        <v>180</v>
      </c>
      <c r="E16" s="145">
        <v>15</v>
      </c>
      <c r="F16" s="146">
        <v>19</v>
      </c>
      <c r="H16" s="11">
        <v>46035</v>
      </c>
      <c r="I16" s="33" t="s">
        <v>9</v>
      </c>
      <c r="J16" s="114" t="s">
        <v>73</v>
      </c>
      <c r="K16" s="115">
        <v>250</v>
      </c>
      <c r="L16" s="115">
        <v>20.5</v>
      </c>
      <c r="M16" s="116">
        <v>0</v>
      </c>
      <c r="O16" s="11">
        <v>46035</v>
      </c>
      <c r="P16" s="33" t="s">
        <v>9</v>
      </c>
      <c r="Q16" s="114"/>
      <c r="R16" s="115"/>
      <c r="S16" s="115"/>
      <c r="T16" s="116"/>
      <c r="V16" s="11">
        <v>46035</v>
      </c>
      <c r="W16" s="33" t="s">
        <v>9</v>
      </c>
      <c r="X16" s="144" t="s">
        <v>73</v>
      </c>
      <c r="Y16" s="145">
        <v>100</v>
      </c>
      <c r="Z16" s="145">
        <v>12.6</v>
      </c>
      <c r="AA16" s="146">
        <v>0</v>
      </c>
      <c r="AC16" s="11">
        <v>46035</v>
      </c>
      <c r="AD16" s="33" t="s">
        <v>9</v>
      </c>
      <c r="AE16" s="144" t="s">
        <v>73</v>
      </c>
      <c r="AF16" s="145">
        <v>160</v>
      </c>
      <c r="AG16" s="145">
        <v>12</v>
      </c>
      <c r="AH16" s="146">
        <v>0</v>
      </c>
      <c r="AJ16" s="11">
        <v>46035</v>
      </c>
      <c r="AK16" s="33" t="s">
        <v>9</v>
      </c>
      <c r="AL16" s="144" t="s">
        <v>37</v>
      </c>
      <c r="AM16" s="145">
        <v>250</v>
      </c>
      <c r="AN16" s="145"/>
      <c r="AO16" s="146"/>
      <c r="AQ16" s="11">
        <v>46035</v>
      </c>
      <c r="AR16" s="33" t="s">
        <v>9</v>
      </c>
      <c r="AS16" s="144" t="s">
        <v>73</v>
      </c>
      <c r="AT16" s="145">
        <v>100</v>
      </c>
      <c r="AU16" s="145">
        <v>12</v>
      </c>
      <c r="AV16" s="146">
        <v>0</v>
      </c>
      <c r="AX16" s="11">
        <v>46035</v>
      </c>
      <c r="AY16" s="33" t="s">
        <v>9</v>
      </c>
      <c r="AZ16" s="144" t="s">
        <v>73</v>
      </c>
      <c r="BA16" s="145">
        <v>100</v>
      </c>
      <c r="BB16" s="145">
        <v>0</v>
      </c>
      <c r="BC16" s="146">
        <v>0</v>
      </c>
      <c r="BE16" s="11">
        <v>46035</v>
      </c>
      <c r="BF16" s="33" t="s">
        <v>9</v>
      </c>
      <c r="BG16" s="33"/>
      <c r="BH16" s="19"/>
      <c r="BI16" s="19"/>
      <c r="BJ16" s="20"/>
      <c r="BL16" s="11">
        <v>46035</v>
      </c>
      <c r="BM16" s="33" t="s">
        <v>9</v>
      </c>
      <c r="BN16" s="144" t="s">
        <v>37</v>
      </c>
      <c r="BO16" s="145"/>
      <c r="BP16" s="145"/>
      <c r="BQ16" s="146"/>
      <c r="BS16" s="11">
        <v>46035</v>
      </c>
      <c r="BT16" s="33" t="s">
        <v>9</v>
      </c>
      <c r="BU16" s="114"/>
      <c r="BV16" s="115"/>
      <c r="BW16" s="115"/>
      <c r="BX16" s="116"/>
      <c r="BZ16" s="11">
        <v>46035</v>
      </c>
      <c r="CA16" s="140" t="s">
        <v>9</v>
      </c>
      <c r="CB16" s="114"/>
      <c r="CC16" s="115"/>
      <c r="CD16" s="115"/>
      <c r="CE16" s="142"/>
      <c r="CG16" s="11">
        <v>46035</v>
      </c>
      <c r="CH16" s="140" t="s">
        <v>9</v>
      </c>
      <c r="CI16" s="114"/>
      <c r="CJ16" s="115"/>
      <c r="CK16" s="115"/>
      <c r="CL16" s="142"/>
      <c r="CN16" s="11">
        <v>46035</v>
      </c>
      <c r="CO16" s="140" t="s">
        <v>9</v>
      </c>
      <c r="CP16" s="114"/>
      <c r="CQ16" s="115"/>
      <c r="CR16" s="115"/>
      <c r="CS16" s="142"/>
      <c r="CU16" s="11">
        <v>46035</v>
      </c>
      <c r="CV16" s="140" t="s">
        <v>9</v>
      </c>
      <c r="CW16" s="114"/>
      <c r="CX16" s="115"/>
      <c r="CY16" s="115"/>
      <c r="CZ16" s="142"/>
      <c r="DB16" s="11">
        <v>46035</v>
      </c>
      <c r="DC16" s="140" t="s">
        <v>9</v>
      </c>
      <c r="DD16" s="114"/>
      <c r="DE16" s="115"/>
      <c r="DF16" s="115"/>
      <c r="DG16" s="142"/>
      <c r="DI16" s="11">
        <v>46035</v>
      </c>
      <c r="DJ16" s="140" t="s">
        <v>9</v>
      </c>
      <c r="DK16" s="114"/>
      <c r="DL16" s="115"/>
      <c r="DM16" s="115"/>
      <c r="DN16" s="142"/>
      <c r="DP16" s="11">
        <v>46035</v>
      </c>
      <c r="DQ16" s="140" t="s">
        <v>9</v>
      </c>
      <c r="DR16" s="114"/>
      <c r="DS16" s="115"/>
      <c r="DT16" s="115"/>
      <c r="DU16" s="142"/>
      <c r="DW16" s="11">
        <v>46035</v>
      </c>
      <c r="DX16" s="140" t="s">
        <v>9</v>
      </c>
      <c r="DY16" s="114"/>
      <c r="DZ16" s="115"/>
      <c r="EA16" s="115"/>
      <c r="EB16" s="142"/>
    </row>
    <row r="17" spans="1:132" x14ac:dyDescent="0.25">
      <c r="A17" s="11">
        <v>46036</v>
      </c>
      <c r="B17" s="33" t="s">
        <v>3</v>
      </c>
      <c r="C17" s="144" t="s">
        <v>73</v>
      </c>
      <c r="D17" s="145">
        <v>180</v>
      </c>
      <c r="E17" s="145">
        <v>15</v>
      </c>
      <c r="F17" s="146">
        <v>19</v>
      </c>
      <c r="H17" s="11">
        <v>46036</v>
      </c>
      <c r="I17" s="33" t="s">
        <v>3</v>
      </c>
      <c r="J17" s="114" t="s">
        <v>73</v>
      </c>
      <c r="K17" s="115">
        <v>250</v>
      </c>
      <c r="L17" s="115">
        <v>20.5</v>
      </c>
      <c r="M17" s="116">
        <v>0</v>
      </c>
      <c r="O17" s="11">
        <v>46036</v>
      </c>
      <c r="P17" s="33" t="s">
        <v>3</v>
      </c>
      <c r="Q17" s="114"/>
      <c r="R17" s="115"/>
      <c r="S17" s="115"/>
      <c r="T17" s="116"/>
      <c r="V17" s="11">
        <v>46036</v>
      </c>
      <c r="W17" s="33" t="s">
        <v>3</v>
      </c>
      <c r="X17" s="144" t="s">
        <v>32</v>
      </c>
      <c r="Y17" s="145">
        <v>100</v>
      </c>
      <c r="Z17" s="145">
        <v>12.6</v>
      </c>
      <c r="AA17" s="146">
        <v>0</v>
      </c>
      <c r="AC17" s="11">
        <v>46036</v>
      </c>
      <c r="AD17" s="33" t="s">
        <v>3</v>
      </c>
      <c r="AE17" s="144" t="s">
        <v>73</v>
      </c>
      <c r="AF17" s="145">
        <v>160</v>
      </c>
      <c r="AG17" s="145">
        <v>12</v>
      </c>
      <c r="AH17" s="146">
        <v>0</v>
      </c>
      <c r="AJ17" s="11">
        <v>46036</v>
      </c>
      <c r="AK17" s="33" t="s">
        <v>3</v>
      </c>
      <c r="AL17" s="144" t="s">
        <v>32</v>
      </c>
      <c r="AM17" s="145">
        <v>250</v>
      </c>
      <c r="AN17" s="145">
        <v>12</v>
      </c>
      <c r="AO17" s="146">
        <v>0</v>
      </c>
      <c r="AQ17" s="11">
        <v>46036</v>
      </c>
      <c r="AR17" s="33" t="s">
        <v>3</v>
      </c>
      <c r="AS17" s="144" t="s">
        <v>73</v>
      </c>
      <c r="AT17" s="145">
        <v>100</v>
      </c>
      <c r="AU17" s="145">
        <v>12</v>
      </c>
      <c r="AV17" s="146">
        <v>0</v>
      </c>
      <c r="AX17" s="11">
        <v>46036</v>
      </c>
      <c r="AY17" s="33" t="s">
        <v>3</v>
      </c>
      <c r="AZ17" s="144" t="s">
        <v>32</v>
      </c>
      <c r="BA17" s="145">
        <v>100</v>
      </c>
      <c r="BB17" s="145">
        <v>6</v>
      </c>
      <c r="BC17" s="146">
        <v>0</v>
      </c>
      <c r="BE17" s="11">
        <v>46036</v>
      </c>
      <c r="BF17" s="33" t="s">
        <v>3</v>
      </c>
      <c r="BG17" s="33" t="s">
        <v>32</v>
      </c>
      <c r="BH17" s="19"/>
      <c r="BI17" s="19"/>
      <c r="BJ17" s="20"/>
      <c r="BL17" s="11">
        <v>46036</v>
      </c>
      <c r="BM17" s="33" t="s">
        <v>3</v>
      </c>
      <c r="BN17" s="144" t="s">
        <v>73</v>
      </c>
      <c r="BO17" s="145">
        <v>100</v>
      </c>
      <c r="BP17" s="145">
        <v>12</v>
      </c>
      <c r="BQ17" s="146">
        <v>0</v>
      </c>
      <c r="BS17" s="11">
        <v>46036</v>
      </c>
      <c r="BT17" s="33" t="s">
        <v>3</v>
      </c>
      <c r="BU17" s="114"/>
      <c r="BV17" s="115"/>
      <c r="BW17" s="115"/>
      <c r="BX17" s="116"/>
      <c r="BZ17" s="11">
        <v>46036</v>
      </c>
      <c r="CA17" s="33" t="s">
        <v>3</v>
      </c>
      <c r="CB17" s="144" t="s">
        <v>32</v>
      </c>
      <c r="CC17" s="145">
        <v>100</v>
      </c>
      <c r="CD17" s="145">
        <v>12</v>
      </c>
      <c r="CE17" s="146">
        <v>0</v>
      </c>
      <c r="CG17" s="11">
        <v>46036</v>
      </c>
      <c r="CH17" s="140" t="s">
        <v>3</v>
      </c>
      <c r="CI17" s="114"/>
      <c r="CJ17" s="115"/>
      <c r="CK17" s="115"/>
      <c r="CL17" s="116"/>
      <c r="CN17" s="11">
        <v>46036</v>
      </c>
      <c r="CO17" s="140" t="s">
        <v>3</v>
      </c>
      <c r="CP17" s="114"/>
      <c r="CQ17" s="115"/>
      <c r="CR17" s="115"/>
      <c r="CS17" s="116"/>
      <c r="CU17" s="11">
        <v>46036</v>
      </c>
      <c r="CV17" s="140" t="s">
        <v>3</v>
      </c>
      <c r="CW17" s="114"/>
      <c r="CX17" s="115"/>
      <c r="CY17" s="115"/>
      <c r="CZ17" s="116"/>
      <c r="DB17" s="11">
        <v>46036</v>
      </c>
      <c r="DC17" s="140" t="s">
        <v>3</v>
      </c>
      <c r="DD17" s="114"/>
      <c r="DE17" s="115"/>
      <c r="DF17" s="115"/>
      <c r="DG17" s="116"/>
      <c r="DI17" s="11">
        <v>46036</v>
      </c>
      <c r="DJ17" s="140" t="s">
        <v>3</v>
      </c>
      <c r="DK17" s="114"/>
      <c r="DL17" s="115"/>
      <c r="DM17" s="115"/>
      <c r="DN17" s="116"/>
      <c r="DP17" s="11">
        <v>46036</v>
      </c>
      <c r="DQ17" s="140" t="s">
        <v>3</v>
      </c>
      <c r="DR17" s="114"/>
      <c r="DS17" s="115"/>
      <c r="DT17" s="115"/>
      <c r="DU17" s="116"/>
      <c r="DW17" s="11">
        <v>46036</v>
      </c>
      <c r="DX17" s="140" t="s">
        <v>3</v>
      </c>
      <c r="DY17" s="114"/>
      <c r="DZ17" s="115"/>
      <c r="EA17" s="115"/>
      <c r="EB17" s="116"/>
    </row>
    <row r="18" spans="1:132" x14ac:dyDescent="0.25">
      <c r="A18" s="11">
        <v>46037</v>
      </c>
      <c r="B18" s="33" t="s">
        <v>4</v>
      </c>
      <c r="C18" s="144" t="s">
        <v>73</v>
      </c>
      <c r="D18" s="145">
        <v>180</v>
      </c>
      <c r="E18" s="145">
        <v>15</v>
      </c>
      <c r="F18" s="146">
        <v>19</v>
      </c>
      <c r="H18" s="11">
        <v>46037</v>
      </c>
      <c r="I18" s="33" t="s">
        <v>4</v>
      </c>
      <c r="J18" s="114" t="s">
        <v>43</v>
      </c>
      <c r="K18" s="115">
        <v>250</v>
      </c>
      <c r="L18" s="115">
        <v>20.5</v>
      </c>
      <c r="M18" s="116">
        <v>0</v>
      </c>
      <c r="O18" s="11">
        <v>46037</v>
      </c>
      <c r="P18" s="33" t="s">
        <v>4</v>
      </c>
      <c r="Q18" s="114"/>
      <c r="R18" s="115"/>
      <c r="S18" s="115"/>
      <c r="T18" s="116"/>
      <c r="V18" s="11">
        <v>46037</v>
      </c>
      <c r="W18" s="33" t="s">
        <v>4</v>
      </c>
      <c r="X18" s="144" t="s">
        <v>32</v>
      </c>
      <c r="Y18" s="145">
        <v>100</v>
      </c>
      <c r="Z18" s="145">
        <v>12.6</v>
      </c>
      <c r="AA18" s="146">
        <v>0</v>
      </c>
      <c r="AC18" s="11">
        <v>46037</v>
      </c>
      <c r="AD18" s="33" t="s">
        <v>4</v>
      </c>
      <c r="AE18" s="144" t="s">
        <v>73</v>
      </c>
      <c r="AF18" s="145">
        <v>160</v>
      </c>
      <c r="AG18" s="145">
        <v>12</v>
      </c>
      <c r="AH18" s="146">
        <v>0</v>
      </c>
      <c r="AJ18" s="11">
        <v>46037</v>
      </c>
      <c r="AK18" s="33" t="s">
        <v>4</v>
      </c>
      <c r="AL18" s="144" t="s">
        <v>32</v>
      </c>
      <c r="AM18" s="145">
        <v>250</v>
      </c>
      <c r="AN18" s="145">
        <v>12</v>
      </c>
      <c r="AO18" s="146">
        <v>0</v>
      </c>
      <c r="AQ18" s="11">
        <v>46037</v>
      </c>
      <c r="AR18" s="33" t="s">
        <v>4</v>
      </c>
      <c r="AS18" s="144" t="s">
        <v>43</v>
      </c>
      <c r="AT18" s="145">
        <v>100</v>
      </c>
      <c r="AU18" s="145">
        <v>12</v>
      </c>
      <c r="AV18" s="146">
        <v>0</v>
      </c>
      <c r="AX18" s="11">
        <v>46037</v>
      </c>
      <c r="AY18" s="33" t="s">
        <v>4</v>
      </c>
      <c r="AZ18" s="144" t="s">
        <v>32</v>
      </c>
      <c r="BA18" s="145">
        <v>100</v>
      </c>
      <c r="BB18" s="145">
        <v>12</v>
      </c>
      <c r="BC18" s="146">
        <v>0</v>
      </c>
      <c r="BE18" s="11">
        <v>46037</v>
      </c>
      <c r="BF18" s="33" t="s">
        <v>4</v>
      </c>
      <c r="BG18" s="33" t="s">
        <v>32</v>
      </c>
      <c r="BH18" s="19"/>
      <c r="BI18" s="19"/>
      <c r="BJ18" s="20"/>
      <c r="BL18" s="11">
        <v>46037</v>
      </c>
      <c r="BM18" s="33" t="s">
        <v>4</v>
      </c>
      <c r="BN18" s="144" t="s">
        <v>73</v>
      </c>
      <c r="BO18" s="145">
        <v>100</v>
      </c>
      <c r="BP18" s="145">
        <v>12</v>
      </c>
      <c r="BQ18" s="146">
        <v>0</v>
      </c>
      <c r="BS18" s="11">
        <v>46037</v>
      </c>
      <c r="BT18" s="33" t="s">
        <v>4</v>
      </c>
      <c r="BU18" s="114"/>
      <c r="BV18" s="115"/>
      <c r="BW18" s="115"/>
      <c r="BX18" s="116"/>
      <c r="BZ18" s="11">
        <v>46037</v>
      </c>
      <c r="CA18" s="33" t="s">
        <v>4</v>
      </c>
      <c r="CB18" s="144" t="s">
        <v>32</v>
      </c>
      <c r="CC18" s="145">
        <v>100</v>
      </c>
      <c r="CD18" s="145">
        <v>12</v>
      </c>
      <c r="CE18" s="146">
        <v>0</v>
      </c>
      <c r="CG18" s="11">
        <v>46037</v>
      </c>
      <c r="CH18" s="140" t="s">
        <v>4</v>
      </c>
      <c r="CI18" s="114"/>
      <c r="CJ18" s="115"/>
      <c r="CK18" s="115"/>
      <c r="CL18" s="116"/>
      <c r="CN18" s="11">
        <v>46037</v>
      </c>
      <c r="CO18" s="140" t="s">
        <v>4</v>
      </c>
      <c r="CP18" s="114"/>
      <c r="CQ18" s="115"/>
      <c r="CR18" s="115"/>
      <c r="CS18" s="116"/>
      <c r="CU18" s="11">
        <v>46037</v>
      </c>
      <c r="CV18" s="140" t="s">
        <v>4</v>
      </c>
      <c r="CW18" s="114"/>
      <c r="CX18" s="115"/>
      <c r="CY18" s="115"/>
      <c r="CZ18" s="116"/>
      <c r="DB18" s="11">
        <v>46037</v>
      </c>
      <c r="DC18" s="140" t="s">
        <v>4</v>
      </c>
      <c r="DD18" s="114"/>
      <c r="DE18" s="115"/>
      <c r="DF18" s="115"/>
      <c r="DG18" s="116"/>
      <c r="DI18" s="11">
        <v>46037</v>
      </c>
      <c r="DJ18" s="140" t="s">
        <v>4</v>
      </c>
      <c r="DK18" s="114"/>
      <c r="DL18" s="115"/>
      <c r="DM18" s="115"/>
      <c r="DN18" s="116"/>
      <c r="DP18" s="11">
        <v>46037</v>
      </c>
      <c r="DQ18" s="140" t="s">
        <v>4</v>
      </c>
      <c r="DR18" s="114"/>
      <c r="DS18" s="115"/>
      <c r="DT18" s="115"/>
      <c r="DU18" s="116"/>
      <c r="DW18" s="11">
        <v>46037</v>
      </c>
      <c r="DX18" s="140" t="s">
        <v>4</v>
      </c>
      <c r="DY18" s="114"/>
      <c r="DZ18" s="115"/>
      <c r="EA18" s="115"/>
      <c r="EB18" s="116"/>
    </row>
    <row r="19" spans="1:132" x14ac:dyDescent="0.25">
      <c r="A19" s="11">
        <v>46038</v>
      </c>
      <c r="B19" s="33" t="s">
        <v>5</v>
      </c>
      <c r="C19" s="144" t="s">
        <v>73</v>
      </c>
      <c r="D19" s="145">
        <v>180</v>
      </c>
      <c r="E19" s="145">
        <v>15</v>
      </c>
      <c r="F19" s="146">
        <v>19</v>
      </c>
      <c r="H19" s="11">
        <v>46038</v>
      </c>
      <c r="I19" s="33" t="s">
        <v>5</v>
      </c>
      <c r="J19" s="114" t="s">
        <v>43</v>
      </c>
      <c r="K19" s="115">
        <v>250</v>
      </c>
      <c r="L19" s="115">
        <v>20.5</v>
      </c>
      <c r="M19" s="116">
        <v>0</v>
      </c>
      <c r="O19" s="11">
        <v>46038</v>
      </c>
      <c r="P19" s="33" t="s">
        <v>5</v>
      </c>
      <c r="Q19" s="114"/>
      <c r="R19" s="115"/>
      <c r="S19" s="115"/>
      <c r="T19" s="116"/>
      <c r="V19" s="11">
        <v>46038</v>
      </c>
      <c r="W19" s="33" t="s">
        <v>5</v>
      </c>
      <c r="X19" s="144" t="s">
        <v>32</v>
      </c>
      <c r="Y19" s="145">
        <v>100</v>
      </c>
      <c r="Z19" s="145">
        <v>12.6</v>
      </c>
      <c r="AA19" s="146">
        <v>0</v>
      </c>
      <c r="AC19" s="11">
        <v>46038</v>
      </c>
      <c r="AD19" s="33" t="s">
        <v>5</v>
      </c>
      <c r="AE19" s="144" t="s">
        <v>73</v>
      </c>
      <c r="AF19" s="145">
        <v>160</v>
      </c>
      <c r="AG19" s="145">
        <v>12</v>
      </c>
      <c r="AH19" s="146">
        <v>0</v>
      </c>
      <c r="AJ19" s="11">
        <v>46038</v>
      </c>
      <c r="AK19" s="33" t="s">
        <v>5</v>
      </c>
      <c r="AL19" s="144" t="s">
        <v>32</v>
      </c>
      <c r="AM19" s="145">
        <v>250</v>
      </c>
      <c r="AN19" s="145">
        <v>12</v>
      </c>
      <c r="AO19" s="146">
        <v>0</v>
      </c>
      <c r="AQ19" s="11">
        <v>46038</v>
      </c>
      <c r="AR19" s="33" t="s">
        <v>5</v>
      </c>
      <c r="AS19" s="144" t="s">
        <v>43</v>
      </c>
      <c r="AT19" s="145">
        <v>100</v>
      </c>
      <c r="AU19" s="145">
        <v>12</v>
      </c>
      <c r="AV19" s="146">
        <v>0</v>
      </c>
      <c r="AX19" s="11">
        <v>46038</v>
      </c>
      <c r="AY19" s="33" t="s">
        <v>5</v>
      </c>
      <c r="AZ19" s="144" t="s">
        <v>32</v>
      </c>
      <c r="BA19" s="145">
        <v>100</v>
      </c>
      <c r="BB19" s="145">
        <v>12</v>
      </c>
      <c r="BC19" s="146">
        <v>0</v>
      </c>
      <c r="BE19" s="11">
        <v>46038</v>
      </c>
      <c r="BF19" s="33" t="s">
        <v>5</v>
      </c>
      <c r="BG19" s="33"/>
      <c r="BH19" s="19"/>
      <c r="BI19" s="19"/>
      <c r="BJ19" s="20"/>
      <c r="BL19" s="11">
        <v>46038</v>
      </c>
      <c r="BM19" s="33" t="s">
        <v>5</v>
      </c>
      <c r="BN19" s="144" t="s">
        <v>73</v>
      </c>
      <c r="BO19" s="145">
        <v>100</v>
      </c>
      <c r="BP19" s="145">
        <v>12</v>
      </c>
      <c r="BQ19" s="146">
        <v>0</v>
      </c>
      <c r="BS19" s="11">
        <v>46038</v>
      </c>
      <c r="BT19" s="33" t="s">
        <v>5</v>
      </c>
      <c r="BU19" s="114"/>
      <c r="BV19" s="115"/>
      <c r="BW19" s="115"/>
      <c r="BX19" s="116"/>
      <c r="BZ19" s="11">
        <v>46038</v>
      </c>
      <c r="CA19" s="33" t="s">
        <v>5</v>
      </c>
      <c r="CB19" s="144" t="s">
        <v>32</v>
      </c>
      <c r="CC19" s="145">
        <v>100</v>
      </c>
      <c r="CD19" s="145">
        <v>12</v>
      </c>
      <c r="CE19" s="146">
        <v>0</v>
      </c>
      <c r="CG19" s="11">
        <v>46038</v>
      </c>
      <c r="CH19" s="140" t="s">
        <v>5</v>
      </c>
      <c r="CI19" s="114"/>
      <c r="CJ19" s="115"/>
      <c r="CK19" s="115"/>
      <c r="CL19" s="116"/>
      <c r="CN19" s="11">
        <v>46038</v>
      </c>
      <c r="CO19" s="140" t="s">
        <v>5</v>
      </c>
      <c r="CP19" s="114"/>
      <c r="CQ19" s="115"/>
      <c r="CR19" s="115"/>
      <c r="CS19" s="116"/>
      <c r="CU19" s="11">
        <v>46038</v>
      </c>
      <c r="CV19" s="140" t="s">
        <v>5</v>
      </c>
      <c r="CW19" s="114"/>
      <c r="CX19" s="115"/>
      <c r="CY19" s="115"/>
      <c r="CZ19" s="116"/>
      <c r="DB19" s="11">
        <v>46038</v>
      </c>
      <c r="DC19" s="140" t="s">
        <v>5</v>
      </c>
      <c r="DD19" s="114"/>
      <c r="DE19" s="115"/>
      <c r="DF19" s="115"/>
      <c r="DG19" s="116"/>
      <c r="DI19" s="11">
        <v>46038</v>
      </c>
      <c r="DJ19" s="140" t="s">
        <v>5</v>
      </c>
      <c r="DK19" s="114"/>
      <c r="DL19" s="115"/>
      <c r="DM19" s="115"/>
      <c r="DN19" s="116"/>
      <c r="DP19" s="11">
        <v>46038</v>
      </c>
      <c r="DQ19" s="140" t="s">
        <v>5</v>
      </c>
      <c r="DR19" s="114"/>
      <c r="DS19" s="115"/>
      <c r="DT19" s="115"/>
      <c r="DU19" s="116"/>
      <c r="DW19" s="11">
        <v>46038</v>
      </c>
      <c r="DX19" s="140" t="s">
        <v>5</v>
      </c>
      <c r="DY19" s="114"/>
      <c r="DZ19" s="115"/>
      <c r="EA19" s="115"/>
      <c r="EB19" s="116"/>
    </row>
    <row r="20" spans="1:132" x14ac:dyDescent="0.25">
      <c r="A20" s="11">
        <v>46039</v>
      </c>
      <c r="B20" s="33" t="s">
        <v>6</v>
      </c>
      <c r="C20" s="144"/>
      <c r="D20" s="145"/>
      <c r="E20" s="145"/>
      <c r="F20" s="146"/>
      <c r="H20" s="11">
        <v>46039</v>
      </c>
      <c r="I20" s="33" t="s">
        <v>6</v>
      </c>
      <c r="J20" s="114"/>
      <c r="K20" s="115"/>
      <c r="L20" s="115"/>
      <c r="M20" s="116"/>
      <c r="O20" s="11">
        <v>46039</v>
      </c>
      <c r="P20" s="33" t="s">
        <v>6</v>
      </c>
      <c r="Q20" s="114"/>
      <c r="R20" s="115"/>
      <c r="S20" s="115"/>
      <c r="T20" s="116"/>
      <c r="V20" s="11">
        <v>46039</v>
      </c>
      <c r="W20" s="33" t="s">
        <v>6</v>
      </c>
      <c r="X20" s="144"/>
      <c r="Y20" s="145"/>
      <c r="Z20" s="145"/>
      <c r="AA20" s="146"/>
      <c r="AC20" s="11">
        <v>46039</v>
      </c>
      <c r="AD20" s="33" t="s">
        <v>6</v>
      </c>
      <c r="AE20" s="144"/>
      <c r="AF20" s="145"/>
      <c r="AG20" s="145"/>
      <c r="AH20" s="146"/>
      <c r="AJ20" s="11">
        <v>46039</v>
      </c>
      <c r="AK20" s="33" t="s">
        <v>6</v>
      </c>
      <c r="AL20" s="144"/>
      <c r="AM20" s="145"/>
      <c r="AN20" s="145"/>
      <c r="AO20" s="146"/>
      <c r="AQ20" s="11">
        <v>46039</v>
      </c>
      <c r="AR20" s="33" t="s">
        <v>6</v>
      </c>
      <c r="AS20" s="144"/>
      <c r="AT20" s="145"/>
      <c r="AU20" s="145"/>
      <c r="AV20" s="146"/>
      <c r="AX20" s="11">
        <v>46039</v>
      </c>
      <c r="AY20" s="33" t="s">
        <v>6</v>
      </c>
      <c r="AZ20" s="144"/>
      <c r="BA20" s="145"/>
      <c r="BB20" s="145"/>
      <c r="BC20" s="146"/>
      <c r="BE20" s="11">
        <v>46039</v>
      </c>
      <c r="BF20" s="33" t="s">
        <v>6</v>
      </c>
      <c r="BG20" s="33"/>
      <c r="BH20" s="19"/>
      <c r="BI20" s="19"/>
      <c r="BJ20" s="20"/>
      <c r="BL20" s="11">
        <v>46039</v>
      </c>
      <c r="BM20" s="33" t="s">
        <v>6</v>
      </c>
      <c r="BN20" s="144"/>
      <c r="BO20" s="145"/>
      <c r="BP20" s="145"/>
      <c r="BQ20" s="146"/>
      <c r="BS20" s="11">
        <v>46039</v>
      </c>
      <c r="BT20" s="33" t="s">
        <v>6</v>
      </c>
      <c r="BU20" s="114"/>
      <c r="BV20" s="115"/>
      <c r="BW20" s="115"/>
      <c r="BX20" s="116"/>
      <c r="BZ20" s="11">
        <v>46039</v>
      </c>
      <c r="CA20" s="33" t="s">
        <v>6</v>
      </c>
      <c r="CB20" s="144"/>
      <c r="CC20" s="145"/>
      <c r="CD20" s="145"/>
      <c r="CE20" s="146"/>
      <c r="CG20" s="11">
        <v>46039</v>
      </c>
      <c r="CH20" s="140" t="s">
        <v>6</v>
      </c>
      <c r="CI20" s="114"/>
      <c r="CJ20" s="115"/>
      <c r="CK20" s="115"/>
      <c r="CL20" s="116"/>
      <c r="CN20" s="11">
        <v>46039</v>
      </c>
      <c r="CO20" s="140" t="s">
        <v>6</v>
      </c>
      <c r="CP20" s="114"/>
      <c r="CQ20" s="115"/>
      <c r="CR20" s="115"/>
      <c r="CS20" s="116"/>
      <c r="CU20" s="11">
        <v>46039</v>
      </c>
      <c r="CV20" s="140" t="s">
        <v>6</v>
      </c>
      <c r="CW20" s="114"/>
      <c r="CX20" s="115"/>
      <c r="CY20" s="115"/>
      <c r="CZ20" s="116"/>
      <c r="DB20" s="11">
        <v>46039</v>
      </c>
      <c r="DC20" s="140" t="s">
        <v>6</v>
      </c>
      <c r="DD20" s="114"/>
      <c r="DE20" s="115"/>
      <c r="DF20" s="115"/>
      <c r="DG20" s="116"/>
      <c r="DI20" s="11">
        <v>46039</v>
      </c>
      <c r="DJ20" s="140" t="s">
        <v>6</v>
      </c>
      <c r="DK20" s="114"/>
      <c r="DL20" s="115"/>
      <c r="DM20" s="115"/>
      <c r="DN20" s="116"/>
      <c r="DP20" s="11">
        <v>46039</v>
      </c>
      <c r="DQ20" s="140" t="s">
        <v>6</v>
      </c>
      <c r="DR20" s="114"/>
      <c r="DS20" s="115"/>
      <c r="DT20" s="115"/>
      <c r="DU20" s="116"/>
      <c r="DW20" s="11">
        <v>46039</v>
      </c>
      <c r="DX20" s="140" t="s">
        <v>6</v>
      </c>
      <c r="DY20" s="114"/>
      <c r="DZ20" s="115"/>
      <c r="EA20" s="115"/>
      <c r="EB20" s="116"/>
    </row>
    <row r="21" spans="1:132" x14ac:dyDescent="0.25">
      <c r="A21" s="11">
        <v>46040</v>
      </c>
      <c r="B21" s="33" t="s">
        <v>7</v>
      </c>
      <c r="C21" s="144"/>
      <c r="D21" s="145"/>
      <c r="E21" s="145"/>
      <c r="F21" s="146"/>
      <c r="H21" s="11">
        <v>46040</v>
      </c>
      <c r="I21" s="33" t="s">
        <v>7</v>
      </c>
      <c r="J21" s="114"/>
      <c r="K21" s="115"/>
      <c r="L21" s="115"/>
      <c r="M21" s="116"/>
      <c r="O21" s="11">
        <v>46040</v>
      </c>
      <c r="P21" s="33" t="s">
        <v>7</v>
      </c>
      <c r="Q21" s="114"/>
      <c r="R21" s="115"/>
      <c r="S21" s="115"/>
      <c r="T21" s="116"/>
      <c r="V21" s="11">
        <v>46040</v>
      </c>
      <c r="W21" s="33" t="s">
        <v>7</v>
      </c>
      <c r="X21" s="144"/>
      <c r="Y21" s="145"/>
      <c r="Z21" s="145"/>
      <c r="AA21" s="146"/>
      <c r="AC21" s="11">
        <v>46040</v>
      </c>
      <c r="AD21" s="33" t="s">
        <v>7</v>
      </c>
      <c r="AE21" s="144"/>
      <c r="AF21" s="145"/>
      <c r="AG21" s="145"/>
      <c r="AH21" s="146"/>
      <c r="AJ21" s="11">
        <v>46040</v>
      </c>
      <c r="AK21" s="33" t="s">
        <v>7</v>
      </c>
      <c r="AL21" s="144"/>
      <c r="AM21" s="145"/>
      <c r="AN21" s="145"/>
      <c r="AO21" s="146"/>
      <c r="AQ21" s="11">
        <v>46040</v>
      </c>
      <c r="AR21" s="33" t="s">
        <v>7</v>
      </c>
      <c r="AS21" s="144"/>
      <c r="AT21" s="145"/>
      <c r="AU21" s="145"/>
      <c r="AV21" s="146"/>
      <c r="AX21" s="11">
        <v>46040</v>
      </c>
      <c r="AY21" s="33" t="s">
        <v>7</v>
      </c>
      <c r="AZ21" s="144"/>
      <c r="BA21" s="145"/>
      <c r="BB21" s="145"/>
      <c r="BC21" s="146"/>
      <c r="BE21" s="11">
        <v>46040</v>
      </c>
      <c r="BF21" s="33" t="s">
        <v>7</v>
      </c>
      <c r="BG21" s="33"/>
      <c r="BH21" s="19"/>
      <c r="BI21" s="19"/>
      <c r="BJ21" s="20"/>
      <c r="BL21" s="11">
        <v>46040</v>
      </c>
      <c r="BM21" s="33" t="s">
        <v>7</v>
      </c>
      <c r="BN21" s="144"/>
      <c r="BO21" s="145"/>
      <c r="BP21" s="145"/>
      <c r="BQ21" s="146"/>
      <c r="BS21" s="11">
        <v>46040</v>
      </c>
      <c r="BT21" s="33" t="s">
        <v>7</v>
      </c>
      <c r="BU21" s="114"/>
      <c r="BV21" s="115"/>
      <c r="BW21" s="115"/>
      <c r="BX21" s="116"/>
      <c r="BZ21" s="11">
        <v>46040</v>
      </c>
      <c r="CA21" s="33" t="s">
        <v>7</v>
      </c>
      <c r="CB21" s="144"/>
      <c r="CC21" s="145"/>
      <c r="CD21" s="145"/>
      <c r="CE21" s="146"/>
      <c r="CG21" s="11">
        <v>46040</v>
      </c>
      <c r="CH21" s="143" t="s">
        <v>7</v>
      </c>
      <c r="CI21" s="114"/>
      <c r="CJ21" s="115"/>
      <c r="CK21" s="115"/>
      <c r="CL21" s="116"/>
      <c r="CN21" s="11">
        <v>46040</v>
      </c>
      <c r="CO21" s="140" t="s">
        <v>7</v>
      </c>
      <c r="CP21" s="114"/>
      <c r="CQ21" s="115"/>
      <c r="CR21" s="115"/>
      <c r="CS21" s="116"/>
      <c r="CU21" s="11">
        <v>46040</v>
      </c>
      <c r="CV21" s="140" t="s">
        <v>7</v>
      </c>
      <c r="CW21" s="114"/>
      <c r="CX21" s="115"/>
      <c r="CY21" s="115"/>
      <c r="CZ21" s="116"/>
      <c r="DB21" s="11">
        <v>46040</v>
      </c>
      <c r="DC21" s="140" t="s">
        <v>7</v>
      </c>
      <c r="DD21" s="114"/>
      <c r="DE21" s="115"/>
      <c r="DF21" s="115"/>
      <c r="DG21" s="116"/>
      <c r="DI21" s="11">
        <v>46040</v>
      </c>
      <c r="DJ21" s="140" t="s">
        <v>7</v>
      </c>
      <c r="DK21" s="114"/>
      <c r="DL21" s="115"/>
      <c r="DM21" s="115"/>
      <c r="DN21" s="116"/>
      <c r="DP21" s="11">
        <v>46040</v>
      </c>
      <c r="DQ21" s="140" t="s">
        <v>7</v>
      </c>
      <c r="DR21" s="114"/>
      <c r="DS21" s="115"/>
      <c r="DT21" s="115"/>
      <c r="DU21" s="116"/>
      <c r="DW21" s="11">
        <v>46040</v>
      </c>
      <c r="DX21" s="140" t="s">
        <v>7</v>
      </c>
      <c r="DY21" s="114"/>
      <c r="DZ21" s="115"/>
      <c r="EA21" s="115"/>
      <c r="EB21" s="116"/>
    </row>
    <row r="22" spans="1:132" x14ac:dyDescent="0.25">
      <c r="A22" s="11">
        <v>46041</v>
      </c>
      <c r="B22" s="33" t="s">
        <v>8</v>
      </c>
      <c r="C22" s="144" t="s">
        <v>73</v>
      </c>
      <c r="D22" s="145">
        <v>180</v>
      </c>
      <c r="E22" s="145">
        <v>15</v>
      </c>
      <c r="F22" s="146">
        <v>19</v>
      </c>
      <c r="H22" s="11">
        <v>46041</v>
      </c>
      <c r="I22" s="33" t="s">
        <v>8</v>
      </c>
      <c r="J22" s="114" t="s">
        <v>73</v>
      </c>
      <c r="K22" s="115">
        <v>250</v>
      </c>
      <c r="L22" s="115">
        <v>20.5</v>
      </c>
      <c r="M22" s="116">
        <v>0</v>
      </c>
      <c r="O22" s="11">
        <v>46041</v>
      </c>
      <c r="P22" s="33" t="s">
        <v>8</v>
      </c>
      <c r="Q22" s="114"/>
      <c r="R22" s="115"/>
      <c r="S22" s="115"/>
      <c r="T22" s="116"/>
      <c r="V22" s="11">
        <v>46041</v>
      </c>
      <c r="W22" s="33" t="s">
        <v>8</v>
      </c>
      <c r="X22" s="144" t="s">
        <v>32</v>
      </c>
      <c r="Y22" s="145">
        <v>100</v>
      </c>
      <c r="Z22" s="145">
        <v>12.6</v>
      </c>
      <c r="AA22" s="146">
        <v>0</v>
      </c>
      <c r="AC22" s="11">
        <v>46041</v>
      </c>
      <c r="AD22" s="33" t="s">
        <v>8</v>
      </c>
      <c r="AE22" s="144" t="s">
        <v>73</v>
      </c>
      <c r="AF22" s="145">
        <v>160</v>
      </c>
      <c r="AG22" s="145">
        <v>12</v>
      </c>
      <c r="AH22" s="146">
        <v>0</v>
      </c>
      <c r="AJ22" s="11">
        <v>46041</v>
      </c>
      <c r="AK22" s="33" t="s">
        <v>8</v>
      </c>
      <c r="AL22" s="144" t="s">
        <v>32</v>
      </c>
      <c r="AM22" s="145">
        <v>250</v>
      </c>
      <c r="AN22" s="145">
        <v>12</v>
      </c>
      <c r="AO22" s="146">
        <v>0</v>
      </c>
      <c r="AQ22" s="11">
        <v>46041</v>
      </c>
      <c r="AR22" s="33" t="s">
        <v>8</v>
      </c>
      <c r="AS22" s="144" t="s">
        <v>73</v>
      </c>
      <c r="AT22" s="145">
        <v>100</v>
      </c>
      <c r="AU22" s="145">
        <v>12</v>
      </c>
      <c r="AV22" s="146">
        <v>0</v>
      </c>
      <c r="AX22" s="11">
        <v>46041</v>
      </c>
      <c r="AY22" s="33" t="s">
        <v>8</v>
      </c>
      <c r="AZ22" s="144" t="s">
        <v>32</v>
      </c>
      <c r="BA22" s="145">
        <v>100</v>
      </c>
      <c r="BB22" s="145">
        <v>12</v>
      </c>
      <c r="BC22" s="146">
        <v>0</v>
      </c>
      <c r="BE22" s="11">
        <v>46041</v>
      </c>
      <c r="BF22" s="33" t="s">
        <v>8</v>
      </c>
      <c r="BG22" s="33"/>
      <c r="BH22" s="19"/>
      <c r="BI22" s="19"/>
      <c r="BJ22" s="20"/>
      <c r="BL22" s="11">
        <v>46041</v>
      </c>
      <c r="BM22" s="33" t="s">
        <v>8</v>
      </c>
      <c r="BN22" s="144" t="s">
        <v>73</v>
      </c>
      <c r="BO22" s="145">
        <v>100</v>
      </c>
      <c r="BP22" s="145">
        <v>12</v>
      </c>
      <c r="BQ22" s="146">
        <v>0</v>
      </c>
      <c r="BS22" s="11">
        <v>46041</v>
      </c>
      <c r="BT22" s="33" t="s">
        <v>8</v>
      </c>
      <c r="BU22" s="114"/>
      <c r="BV22" s="115"/>
      <c r="BW22" s="115"/>
      <c r="BX22" s="116"/>
      <c r="BZ22" s="11">
        <v>46041</v>
      </c>
      <c r="CA22" s="33" t="s">
        <v>8</v>
      </c>
      <c r="CB22" s="144" t="s">
        <v>32</v>
      </c>
      <c r="CC22" s="145">
        <v>100</v>
      </c>
      <c r="CD22" s="145">
        <v>12</v>
      </c>
      <c r="CE22" s="146">
        <v>0</v>
      </c>
      <c r="CG22" s="11">
        <v>46041</v>
      </c>
      <c r="CH22" s="33" t="s">
        <v>8</v>
      </c>
      <c r="CI22" s="144" t="s">
        <v>73</v>
      </c>
      <c r="CJ22" s="145">
        <v>100</v>
      </c>
      <c r="CK22" s="145">
        <v>12</v>
      </c>
      <c r="CL22" s="146">
        <v>0</v>
      </c>
      <c r="CN22" s="11">
        <v>46041</v>
      </c>
      <c r="CO22" s="140" t="s">
        <v>8</v>
      </c>
      <c r="CP22" s="144"/>
      <c r="CQ22" s="145"/>
      <c r="CR22" s="145"/>
      <c r="CS22" s="146"/>
      <c r="CU22" s="11">
        <v>46041</v>
      </c>
      <c r="CV22" s="140" t="s">
        <v>8</v>
      </c>
      <c r="CW22" s="144"/>
      <c r="CX22" s="145"/>
      <c r="CY22" s="145"/>
      <c r="CZ22" s="146"/>
      <c r="DB22" s="11">
        <v>46041</v>
      </c>
      <c r="DC22" s="140" t="s">
        <v>8</v>
      </c>
      <c r="DD22" s="144"/>
      <c r="DE22" s="145"/>
      <c r="DF22" s="145"/>
      <c r="DG22" s="146"/>
      <c r="DI22" s="11">
        <v>46041</v>
      </c>
      <c r="DJ22" s="140" t="s">
        <v>8</v>
      </c>
      <c r="DK22" s="144"/>
      <c r="DL22" s="145"/>
      <c r="DM22" s="145"/>
      <c r="DN22" s="146"/>
      <c r="DP22" s="11">
        <v>46041</v>
      </c>
      <c r="DQ22" s="140" t="s">
        <v>8</v>
      </c>
      <c r="DR22" s="144"/>
      <c r="DS22" s="145"/>
      <c r="DT22" s="145"/>
      <c r="DU22" s="146"/>
      <c r="DW22" s="11">
        <v>46041</v>
      </c>
      <c r="DX22" s="140" t="s">
        <v>8</v>
      </c>
      <c r="DY22" s="144"/>
      <c r="DZ22" s="145"/>
      <c r="EA22" s="145"/>
      <c r="EB22" s="146"/>
    </row>
    <row r="23" spans="1:132" x14ac:dyDescent="0.25">
      <c r="A23" s="11">
        <v>46042</v>
      </c>
      <c r="B23" s="33" t="s">
        <v>9</v>
      </c>
      <c r="C23" s="144" t="s">
        <v>73</v>
      </c>
      <c r="D23" s="145">
        <v>180</v>
      </c>
      <c r="E23" s="145">
        <v>15</v>
      </c>
      <c r="F23" s="146">
        <v>19</v>
      </c>
      <c r="H23" s="11">
        <v>46042</v>
      </c>
      <c r="I23" s="33" t="s">
        <v>9</v>
      </c>
      <c r="J23" s="114" t="s">
        <v>73</v>
      </c>
      <c r="K23" s="115">
        <v>250</v>
      </c>
      <c r="L23" s="115">
        <v>20.5</v>
      </c>
      <c r="M23" s="116">
        <v>0</v>
      </c>
      <c r="O23" s="11">
        <v>46042</v>
      </c>
      <c r="P23" s="33" t="s">
        <v>9</v>
      </c>
      <c r="Q23" s="114"/>
      <c r="R23" s="115"/>
      <c r="S23" s="115"/>
      <c r="T23" s="116"/>
      <c r="V23" s="11">
        <v>46042</v>
      </c>
      <c r="W23" s="33" t="s">
        <v>9</v>
      </c>
      <c r="X23" s="144" t="s">
        <v>32</v>
      </c>
      <c r="Y23" s="145">
        <v>100</v>
      </c>
      <c r="Z23" s="145">
        <v>12.6</v>
      </c>
      <c r="AA23" s="146">
        <v>0</v>
      </c>
      <c r="AC23" s="11">
        <v>46042</v>
      </c>
      <c r="AD23" s="33" t="s">
        <v>9</v>
      </c>
      <c r="AE23" s="144" t="s">
        <v>73</v>
      </c>
      <c r="AF23" s="145">
        <v>160</v>
      </c>
      <c r="AG23" s="145">
        <v>12</v>
      </c>
      <c r="AH23" s="146">
        <v>0</v>
      </c>
      <c r="AJ23" s="11">
        <v>46042</v>
      </c>
      <c r="AK23" s="33" t="s">
        <v>9</v>
      </c>
      <c r="AL23" s="144" t="s">
        <v>32</v>
      </c>
      <c r="AM23" s="145">
        <v>250</v>
      </c>
      <c r="AN23" s="145">
        <v>12</v>
      </c>
      <c r="AO23" s="146">
        <v>0</v>
      </c>
      <c r="AQ23" s="11">
        <v>46042</v>
      </c>
      <c r="AR23" s="33" t="s">
        <v>9</v>
      </c>
      <c r="AS23" s="144" t="s">
        <v>73</v>
      </c>
      <c r="AT23" s="145">
        <v>100</v>
      </c>
      <c r="AU23" s="145">
        <v>12</v>
      </c>
      <c r="AV23" s="146">
        <v>0</v>
      </c>
      <c r="AX23" s="11">
        <v>46042</v>
      </c>
      <c r="AY23" s="33" t="s">
        <v>9</v>
      </c>
      <c r="AZ23" s="144" t="s">
        <v>32</v>
      </c>
      <c r="BA23" s="145">
        <v>100</v>
      </c>
      <c r="BB23" s="145">
        <v>12</v>
      </c>
      <c r="BC23" s="146">
        <v>0</v>
      </c>
      <c r="BE23" s="11">
        <v>46042</v>
      </c>
      <c r="BF23" s="33" t="s">
        <v>9</v>
      </c>
      <c r="BG23" s="33"/>
      <c r="BH23" s="19"/>
      <c r="BI23" s="19"/>
      <c r="BJ23" s="20"/>
      <c r="BL23" s="11">
        <v>46042</v>
      </c>
      <c r="BM23" s="33" t="s">
        <v>9</v>
      </c>
      <c r="BN23" s="144" t="s">
        <v>73</v>
      </c>
      <c r="BO23" s="145">
        <v>100</v>
      </c>
      <c r="BP23" s="145">
        <v>12</v>
      </c>
      <c r="BQ23" s="146">
        <v>0</v>
      </c>
      <c r="BS23" s="11">
        <v>46042</v>
      </c>
      <c r="BT23" s="33" t="s">
        <v>9</v>
      </c>
      <c r="BU23" s="114"/>
      <c r="BV23" s="115"/>
      <c r="BW23" s="115"/>
      <c r="BX23" s="116"/>
      <c r="BZ23" s="11">
        <v>46042</v>
      </c>
      <c r="CA23" s="33" t="s">
        <v>9</v>
      </c>
      <c r="CB23" s="144" t="s">
        <v>32</v>
      </c>
      <c r="CC23" s="145">
        <v>100</v>
      </c>
      <c r="CD23" s="145">
        <v>12</v>
      </c>
      <c r="CE23" s="146">
        <v>0</v>
      </c>
      <c r="CG23" s="11">
        <v>46042</v>
      </c>
      <c r="CH23" s="33" t="s">
        <v>9</v>
      </c>
      <c r="CI23" s="144" t="s">
        <v>73</v>
      </c>
      <c r="CJ23" s="145">
        <v>100</v>
      </c>
      <c r="CK23" s="145">
        <v>12</v>
      </c>
      <c r="CL23" s="146">
        <v>0</v>
      </c>
      <c r="CN23" s="11">
        <v>46042</v>
      </c>
      <c r="CO23" s="140" t="s">
        <v>9</v>
      </c>
      <c r="CP23" s="144"/>
      <c r="CQ23" s="145"/>
      <c r="CR23" s="145"/>
      <c r="CS23" s="146"/>
      <c r="CU23" s="11">
        <v>46042</v>
      </c>
      <c r="CV23" s="140" t="s">
        <v>9</v>
      </c>
      <c r="CW23" s="144"/>
      <c r="CX23" s="145"/>
      <c r="CY23" s="145"/>
      <c r="CZ23" s="146"/>
      <c r="DB23" s="11">
        <v>46042</v>
      </c>
      <c r="DC23" s="140" t="s">
        <v>9</v>
      </c>
      <c r="DD23" s="144"/>
      <c r="DE23" s="145"/>
      <c r="DF23" s="145"/>
      <c r="DG23" s="146"/>
      <c r="DI23" s="11">
        <v>46042</v>
      </c>
      <c r="DJ23" s="140" t="s">
        <v>9</v>
      </c>
      <c r="DK23" s="144"/>
      <c r="DL23" s="145"/>
      <c r="DM23" s="145"/>
      <c r="DN23" s="146"/>
      <c r="DP23" s="11">
        <v>46042</v>
      </c>
      <c r="DQ23" s="140" t="s">
        <v>9</v>
      </c>
      <c r="DR23" s="144"/>
      <c r="DS23" s="145"/>
      <c r="DT23" s="145"/>
      <c r="DU23" s="146"/>
      <c r="DW23" s="11">
        <v>46042</v>
      </c>
      <c r="DX23" s="140" t="s">
        <v>9</v>
      </c>
      <c r="DY23" s="144"/>
      <c r="DZ23" s="145"/>
      <c r="EA23" s="145"/>
      <c r="EB23" s="146"/>
    </row>
    <row r="24" spans="1:132" x14ac:dyDescent="0.25">
      <c r="A24" s="11">
        <v>46043</v>
      </c>
      <c r="B24" s="33" t="s">
        <v>3</v>
      </c>
      <c r="C24" s="144" t="s">
        <v>73</v>
      </c>
      <c r="D24" s="145">
        <v>180</v>
      </c>
      <c r="E24" s="145">
        <v>15</v>
      </c>
      <c r="F24" s="146">
        <v>19</v>
      </c>
      <c r="H24" s="11">
        <v>46043</v>
      </c>
      <c r="I24" s="33" t="s">
        <v>3</v>
      </c>
      <c r="J24" s="114" t="s">
        <v>73</v>
      </c>
      <c r="K24" s="115">
        <v>250</v>
      </c>
      <c r="L24" s="115">
        <v>20.5</v>
      </c>
      <c r="M24" s="116">
        <v>0</v>
      </c>
      <c r="O24" s="11">
        <v>46043</v>
      </c>
      <c r="P24" s="33" t="s">
        <v>3</v>
      </c>
      <c r="Q24" s="114"/>
      <c r="R24" s="115"/>
      <c r="S24" s="115"/>
      <c r="T24" s="116"/>
      <c r="V24" s="11">
        <v>46043</v>
      </c>
      <c r="W24" s="33" t="s">
        <v>3</v>
      </c>
      <c r="X24" s="144" t="s">
        <v>75</v>
      </c>
      <c r="Y24" s="145">
        <v>100</v>
      </c>
      <c r="Z24" s="145">
        <v>12.6</v>
      </c>
      <c r="AA24" s="146">
        <v>0</v>
      </c>
      <c r="AC24" s="11">
        <v>46043</v>
      </c>
      <c r="AD24" s="33" t="s">
        <v>3</v>
      </c>
      <c r="AE24" s="144" t="s">
        <v>73</v>
      </c>
      <c r="AF24" s="145">
        <v>160</v>
      </c>
      <c r="AG24" s="145">
        <v>12</v>
      </c>
      <c r="AH24" s="146">
        <v>0</v>
      </c>
      <c r="AJ24" s="11">
        <v>46043</v>
      </c>
      <c r="AK24" s="33" t="s">
        <v>3</v>
      </c>
      <c r="AL24" s="144" t="s">
        <v>75</v>
      </c>
      <c r="AM24" s="145">
        <v>250</v>
      </c>
      <c r="AN24" s="145">
        <v>12</v>
      </c>
      <c r="AO24" s="146">
        <v>0</v>
      </c>
      <c r="AQ24" s="11">
        <v>46043</v>
      </c>
      <c r="AR24" s="33" t="s">
        <v>3</v>
      </c>
      <c r="AS24" s="144" t="s">
        <v>73</v>
      </c>
      <c r="AT24" s="145">
        <v>100</v>
      </c>
      <c r="AU24" s="145">
        <v>12</v>
      </c>
      <c r="AV24" s="146">
        <v>0</v>
      </c>
      <c r="AX24" s="11">
        <v>46043</v>
      </c>
      <c r="AY24" s="33" t="s">
        <v>3</v>
      </c>
      <c r="AZ24" s="144" t="s">
        <v>75</v>
      </c>
      <c r="BA24" s="145">
        <v>100</v>
      </c>
      <c r="BB24" s="145">
        <v>12</v>
      </c>
      <c r="BC24" s="146">
        <v>0</v>
      </c>
      <c r="BE24" s="11">
        <v>46043</v>
      </c>
      <c r="BF24" s="33" t="s">
        <v>3</v>
      </c>
      <c r="BG24" s="33"/>
      <c r="BH24" s="19"/>
      <c r="BI24" s="19"/>
      <c r="BJ24" s="20"/>
      <c r="BL24" s="11">
        <v>46043</v>
      </c>
      <c r="BM24" s="33" t="s">
        <v>3</v>
      </c>
      <c r="BN24" s="144" t="s">
        <v>73</v>
      </c>
      <c r="BO24" s="145">
        <v>100</v>
      </c>
      <c r="BP24" s="145">
        <v>12</v>
      </c>
      <c r="BQ24" s="146">
        <v>0</v>
      </c>
      <c r="BS24" s="11">
        <v>46043</v>
      </c>
      <c r="BT24" s="33" t="s">
        <v>3</v>
      </c>
      <c r="BU24" s="114"/>
      <c r="BV24" s="115"/>
      <c r="BW24" s="115"/>
      <c r="BX24" s="116"/>
      <c r="BZ24" s="11">
        <v>46043</v>
      </c>
      <c r="CA24" s="33" t="s">
        <v>3</v>
      </c>
      <c r="CB24" s="144" t="s">
        <v>36</v>
      </c>
      <c r="CC24" s="145">
        <v>0</v>
      </c>
      <c r="CD24" s="145">
        <v>0</v>
      </c>
      <c r="CE24" s="146"/>
      <c r="CG24" s="11">
        <v>46043</v>
      </c>
      <c r="CH24" s="33" t="s">
        <v>3</v>
      </c>
      <c r="CI24" s="144" t="s">
        <v>73</v>
      </c>
      <c r="CJ24" s="145">
        <v>100</v>
      </c>
      <c r="CK24" s="145">
        <v>12</v>
      </c>
      <c r="CL24" s="146">
        <v>0</v>
      </c>
      <c r="CN24" s="11">
        <v>46043</v>
      </c>
      <c r="CO24" s="140" t="s">
        <v>3</v>
      </c>
      <c r="CP24" s="114"/>
      <c r="CQ24" s="115"/>
      <c r="CR24" s="115"/>
      <c r="CS24" s="116"/>
      <c r="CU24" s="11">
        <v>46043</v>
      </c>
      <c r="CV24" s="140" t="s">
        <v>3</v>
      </c>
      <c r="CW24" s="114"/>
      <c r="CX24" s="115"/>
      <c r="CY24" s="115"/>
      <c r="CZ24" s="116"/>
      <c r="DB24" s="11">
        <v>46043</v>
      </c>
      <c r="DC24" s="140" t="s">
        <v>3</v>
      </c>
      <c r="DD24" s="114"/>
      <c r="DE24" s="115"/>
      <c r="DF24" s="115"/>
      <c r="DG24" s="116"/>
      <c r="DI24" s="11">
        <v>46043</v>
      </c>
      <c r="DJ24" s="140" t="s">
        <v>3</v>
      </c>
      <c r="DK24" s="114"/>
      <c r="DL24" s="115"/>
      <c r="DM24" s="115"/>
      <c r="DN24" s="116"/>
      <c r="DP24" s="11">
        <v>46043</v>
      </c>
      <c r="DQ24" s="140" t="s">
        <v>3</v>
      </c>
      <c r="DR24" s="114"/>
      <c r="DS24" s="115"/>
      <c r="DT24" s="115"/>
      <c r="DU24" s="116"/>
      <c r="DW24" s="11">
        <v>46043</v>
      </c>
      <c r="DX24" s="140" t="s">
        <v>3</v>
      </c>
      <c r="DY24" s="114"/>
      <c r="DZ24" s="115"/>
      <c r="EA24" s="115"/>
      <c r="EB24" s="116"/>
    </row>
    <row r="25" spans="1:132" x14ac:dyDescent="0.25">
      <c r="A25" s="11">
        <v>46044</v>
      </c>
      <c r="B25" s="33" t="s">
        <v>4</v>
      </c>
      <c r="C25" s="144" t="s">
        <v>73</v>
      </c>
      <c r="D25" s="145">
        <v>180</v>
      </c>
      <c r="E25" s="145">
        <v>15</v>
      </c>
      <c r="F25" s="146">
        <v>19</v>
      </c>
      <c r="H25" s="11">
        <v>46044</v>
      </c>
      <c r="I25" s="33" t="s">
        <v>4</v>
      </c>
      <c r="J25" s="114" t="s">
        <v>73</v>
      </c>
      <c r="K25" s="115">
        <v>250</v>
      </c>
      <c r="L25" s="115">
        <v>20.5</v>
      </c>
      <c r="M25" s="116">
        <v>0</v>
      </c>
      <c r="O25" s="11">
        <v>46044</v>
      </c>
      <c r="P25" s="33" t="s">
        <v>4</v>
      </c>
      <c r="Q25" s="114"/>
      <c r="R25" s="115"/>
      <c r="S25" s="115"/>
      <c r="T25" s="116"/>
      <c r="V25" s="11">
        <v>46044</v>
      </c>
      <c r="W25" s="33" t="s">
        <v>4</v>
      </c>
      <c r="X25" s="144" t="s">
        <v>75</v>
      </c>
      <c r="Y25" s="145">
        <v>100</v>
      </c>
      <c r="Z25" s="145">
        <v>12.6</v>
      </c>
      <c r="AA25" s="146">
        <v>0</v>
      </c>
      <c r="AC25" s="11">
        <v>46044</v>
      </c>
      <c r="AD25" s="33" t="s">
        <v>4</v>
      </c>
      <c r="AE25" s="144" t="s">
        <v>73</v>
      </c>
      <c r="AF25" s="145">
        <v>160</v>
      </c>
      <c r="AG25" s="145">
        <v>12</v>
      </c>
      <c r="AH25" s="146">
        <v>0</v>
      </c>
      <c r="AJ25" s="11">
        <v>46044</v>
      </c>
      <c r="AK25" s="33" t="s">
        <v>4</v>
      </c>
      <c r="AL25" s="144" t="s">
        <v>75</v>
      </c>
      <c r="AM25" s="145">
        <v>250</v>
      </c>
      <c r="AN25" s="145">
        <v>12</v>
      </c>
      <c r="AO25" s="146">
        <v>0</v>
      </c>
      <c r="AQ25" s="11">
        <v>46044</v>
      </c>
      <c r="AR25" s="33" t="s">
        <v>4</v>
      </c>
      <c r="AS25" s="144" t="s">
        <v>73</v>
      </c>
      <c r="AT25" s="145">
        <v>100</v>
      </c>
      <c r="AU25" s="145">
        <v>12</v>
      </c>
      <c r="AV25" s="146">
        <v>0</v>
      </c>
      <c r="AX25" s="11">
        <v>46044</v>
      </c>
      <c r="AY25" s="33" t="s">
        <v>4</v>
      </c>
      <c r="AZ25" s="144" t="s">
        <v>75</v>
      </c>
      <c r="BA25" s="145">
        <v>100</v>
      </c>
      <c r="BB25" s="145">
        <v>12</v>
      </c>
      <c r="BC25" s="146">
        <v>0</v>
      </c>
      <c r="BE25" s="11">
        <v>46044</v>
      </c>
      <c r="BF25" s="33" t="s">
        <v>4</v>
      </c>
      <c r="BG25" s="33"/>
      <c r="BH25" s="19"/>
      <c r="BI25" s="19"/>
      <c r="BJ25" s="20"/>
      <c r="BL25" s="11">
        <v>46044</v>
      </c>
      <c r="BM25" s="33" t="s">
        <v>4</v>
      </c>
      <c r="BN25" s="144" t="s">
        <v>73</v>
      </c>
      <c r="BO25" s="145">
        <v>100</v>
      </c>
      <c r="BP25" s="145">
        <v>12</v>
      </c>
      <c r="BQ25" s="146">
        <v>0</v>
      </c>
      <c r="BS25" s="11">
        <v>46044</v>
      </c>
      <c r="BT25" s="33" t="s">
        <v>4</v>
      </c>
      <c r="BU25" s="114"/>
      <c r="BV25" s="115"/>
      <c r="BW25" s="115"/>
      <c r="BX25" s="116"/>
      <c r="BZ25" s="11">
        <v>46044</v>
      </c>
      <c r="CA25" s="33" t="s">
        <v>4</v>
      </c>
      <c r="CB25" s="144" t="s">
        <v>75</v>
      </c>
      <c r="CC25" s="145">
        <v>100</v>
      </c>
      <c r="CD25" s="145">
        <v>12</v>
      </c>
      <c r="CE25" s="146"/>
      <c r="CG25" s="11">
        <v>46044</v>
      </c>
      <c r="CH25" s="33" t="s">
        <v>4</v>
      </c>
      <c r="CI25" s="144" t="s">
        <v>73</v>
      </c>
      <c r="CJ25" s="145">
        <v>100</v>
      </c>
      <c r="CK25" s="145">
        <v>12</v>
      </c>
      <c r="CL25" s="146">
        <v>0</v>
      </c>
      <c r="CN25" s="11">
        <v>46044</v>
      </c>
      <c r="CO25" s="140" t="s">
        <v>4</v>
      </c>
      <c r="CP25" s="114"/>
      <c r="CQ25" s="115"/>
      <c r="CR25" s="115"/>
      <c r="CS25" s="116"/>
      <c r="CU25" s="11">
        <v>46044</v>
      </c>
      <c r="CV25" s="140" t="s">
        <v>4</v>
      </c>
      <c r="CW25" s="114"/>
      <c r="CX25" s="115"/>
      <c r="CY25" s="115"/>
      <c r="CZ25" s="116"/>
      <c r="DB25" s="11">
        <v>46044</v>
      </c>
      <c r="DC25" s="140" t="s">
        <v>4</v>
      </c>
      <c r="DD25" s="114"/>
      <c r="DE25" s="115"/>
      <c r="DF25" s="115"/>
      <c r="DG25" s="116"/>
      <c r="DI25" s="11">
        <v>46044</v>
      </c>
      <c r="DJ25" s="140" t="s">
        <v>4</v>
      </c>
      <c r="DK25" s="114"/>
      <c r="DL25" s="115"/>
      <c r="DM25" s="115"/>
      <c r="DN25" s="116"/>
      <c r="DP25" s="11">
        <v>46044</v>
      </c>
      <c r="DQ25" s="140" t="s">
        <v>4</v>
      </c>
      <c r="DR25" s="114"/>
      <c r="DS25" s="115"/>
      <c r="DT25" s="115"/>
      <c r="DU25" s="116"/>
      <c r="DW25" s="11">
        <v>46044</v>
      </c>
      <c r="DX25" s="140" t="s">
        <v>4</v>
      </c>
      <c r="DY25" s="114"/>
      <c r="DZ25" s="115"/>
      <c r="EA25" s="115"/>
      <c r="EB25" s="116"/>
    </row>
    <row r="26" spans="1:132" x14ac:dyDescent="0.25">
      <c r="A26" s="11">
        <v>46045</v>
      </c>
      <c r="B26" s="33" t="s">
        <v>5</v>
      </c>
      <c r="C26" s="144" t="s">
        <v>73</v>
      </c>
      <c r="D26" s="145">
        <v>180</v>
      </c>
      <c r="E26" s="145">
        <v>15</v>
      </c>
      <c r="F26" s="146">
        <v>19</v>
      </c>
      <c r="H26" s="11">
        <v>46045</v>
      </c>
      <c r="I26" s="33" t="s">
        <v>5</v>
      </c>
      <c r="J26" s="114" t="s">
        <v>73</v>
      </c>
      <c r="K26" s="115">
        <v>250</v>
      </c>
      <c r="L26" s="115">
        <v>20.5</v>
      </c>
      <c r="M26" s="116">
        <v>0</v>
      </c>
      <c r="O26" s="11">
        <v>46045</v>
      </c>
      <c r="P26" s="33" t="s">
        <v>5</v>
      </c>
      <c r="Q26" s="114"/>
      <c r="R26" s="115"/>
      <c r="S26" s="115"/>
      <c r="T26" s="116"/>
      <c r="V26" s="11">
        <v>46045</v>
      </c>
      <c r="W26" s="33" t="s">
        <v>5</v>
      </c>
      <c r="X26" s="144" t="s">
        <v>75</v>
      </c>
      <c r="Y26" s="145">
        <v>100</v>
      </c>
      <c r="Z26" s="145">
        <v>12.6</v>
      </c>
      <c r="AA26" s="146">
        <v>0</v>
      </c>
      <c r="AC26" s="11">
        <v>46045</v>
      </c>
      <c r="AD26" s="33" t="s">
        <v>5</v>
      </c>
      <c r="AE26" s="144" t="s">
        <v>73</v>
      </c>
      <c r="AF26" s="145">
        <v>160</v>
      </c>
      <c r="AG26" s="145">
        <v>12</v>
      </c>
      <c r="AH26" s="146">
        <v>0</v>
      </c>
      <c r="AJ26" s="11">
        <v>46045</v>
      </c>
      <c r="AK26" s="33" t="s">
        <v>5</v>
      </c>
      <c r="AL26" s="144" t="s">
        <v>75</v>
      </c>
      <c r="AM26" s="145">
        <v>250</v>
      </c>
      <c r="AN26" s="145">
        <v>12</v>
      </c>
      <c r="AO26" s="146">
        <v>0</v>
      </c>
      <c r="AQ26" s="11">
        <v>46045</v>
      </c>
      <c r="AR26" s="33" t="s">
        <v>5</v>
      </c>
      <c r="AS26" s="144" t="s">
        <v>73</v>
      </c>
      <c r="AT26" s="145">
        <v>100</v>
      </c>
      <c r="AU26" s="145">
        <v>12</v>
      </c>
      <c r="AV26" s="146">
        <v>0</v>
      </c>
      <c r="AX26" s="11">
        <v>46045</v>
      </c>
      <c r="AY26" s="33" t="s">
        <v>5</v>
      </c>
      <c r="AZ26" s="144" t="s">
        <v>75</v>
      </c>
      <c r="BA26" s="145">
        <v>100</v>
      </c>
      <c r="BB26" s="145">
        <v>12</v>
      </c>
      <c r="BC26" s="146">
        <v>0</v>
      </c>
      <c r="BE26" s="11">
        <v>46045</v>
      </c>
      <c r="BF26" s="33" t="s">
        <v>5</v>
      </c>
      <c r="BG26" s="33"/>
      <c r="BH26" s="19"/>
      <c r="BI26" s="19"/>
      <c r="BJ26" s="20"/>
      <c r="BL26" s="11">
        <v>46045</v>
      </c>
      <c r="BM26" s="33" t="s">
        <v>5</v>
      </c>
      <c r="BN26" s="144" t="s">
        <v>73</v>
      </c>
      <c r="BO26" s="145">
        <v>100</v>
      </c>
      <c r="BP26" s="145">
        <v>12</v>
      </c>
      <c r="BQ26" s="146">
        <v>0</v>
      </c>
      <c r="BS26" s="11">
        <v>46045</v>
      </c>
      <c r="BT26" s="33" t="s">
        <v>5</v>
      </c>
      <c r="BU26" s="114"/>
      <c r="BV26" s="115"/>
      <c r="BW26" s="115"/>
      <c r="BX26" s="116"/>
      <c r="BZ26" s="11">
        <v>46045</v>
      </c>
      <c r="CA26" s="33" t="s">
        <v>5</v>
      </c>
      <c r="CB26" s="144" t="s">
        <v>75</v>
      </c>
      <c r="CC26" s="145">
        <v>100</v>
      </c>
      <c r="CD26" s="145">
        <v>12</v>
      </c>
      <c r="CE26" s="146"/>
      <c r="CG26" s="11">
        <v>46045</v>
      </c>
      <c r="CH26" s="33" t="s">
        <v>5</v>
      </c>
      <c r="CI26" s="144" t="s">
        <v>73</v>
      </c>
      <c r="CJ26" s="145">
        <v>100</v>
      </c>
      <c r="CK26" s="145">
        <v>12</v>
      </c>
      <c r="CL26" s="146">
        <v>0</v>
      </c>
      <c r="CN26" s="11">
        <v>46045</v>
      </c>
      <c r="CO26" s="140" t="s">
        <v>5</v>
      </c>
      <c r="CP26" s="114"/>
      <c r="CQ26" s="115"/>
      <c r="CR26" s="115"/>
      <c r="CS26" s="116"/>
      <c r="CU26" s="11">
        <v>46045</v>
      </c>
      <c r="CV26" s="140" t="s">
        <v>5</v>
      </c>
      <c r="CW26" s="114"/>
      <c r="CX26" s="115"/>
      <c r="CY26" s="115"/>
      <c r="CZ26" s="116"/>
      <c r="DB26" s="11">
        <v>46045</v>
      </c>
      <c r="DC26" s="140" t="s">
        <v>5</v>
      </c>
      <c r="DD26" s="114"/>
      <c r="DE26" s="115"/>
      <c r="DF26" s="115"/>
      <c r="DG26" s="116"/>
      <c r="DI26" s="11">
        <v>46045</v>
      </c>
      <c r="DJ26" s="140" t="s">
        <v>5</v>
      </c>
      <c r="DK26" s="114"/>
      <c r="DL26" s="115"/>
      <c r="DM26" s="115"/>
      <c r="DN26" s="116"/>
      <c r="DP26" s="11">
        <v>46045</v>
      </c>
      <c r="DQ26" s="140" t="s">
        <v>5</v>
      </c>
      <c r="DR26" s="114"/>
      <c r="DS26" s="115"/>
      <c r="DT26" s="115"/>
      <c r="DU26" s="116"/>
      <c r="DW26" s="11">
        <v>46045</v>
      </c>
      <c r="DX26" s="140" t="s">
        <v>5</v>
      </c>
      <c r="DY26" s="114"/>
      <c r="DZ26" s="115"/>
      <c r="EA26" s="115"/>
      <c r="EB26" s="116"/>
    </row>
    <row r="27" spans="1:132" x14ac:dyDescent="0.25">
      <c r="A27" s="11">
        <v>46046</v>
      </c>
      <c r="B27" s="33" t="s">
        <v>6</v>
      </c>
      <c r="C27" s="144"/>
      <c r="D27" s="145"/>
      <c r="E27" s="145"/>
      <c r="F27" s="146"/>
      <c r="H27" s="11">
        <v>46046</v>
      </c>
      <c r="I27" s="33" t="s">
        <v>6</v>
      </c>
      <c r="J27" s="114"/>
      <c r="K27" s="115"/>
      <c r="L27" s="115"/>
      <c r="M27" s="116"/>
      <c r="O27" s="11">
        <v>46046</v>
      </c>
      <c r="P27" s="33" t="s">
        <v>6</v>
      </c>
      <c r="Q27" s="114"/>
      <c r="R27" s="115"/>
      <c r="S27" s="115"/>
      <c r="T27" s="116"/>
      <c r="V27" s="11">
        <v>46046</v>
      </c>
      <c r="W27" s="33" t="s">
        <v>6</v>
      </c>
      <c r="X27" s="144"/>
      <c r="Y27" s="145"/>
      <c r="Z27" s="145"/>
      <c r="AA27" s="146"/>
      <c r="AC27" s="11">
        <v>46046</v>
      </c>
      <c r="AD27" s="33" t="s">
        <v>6</v>
      </c>
      <c r="AE27" s="144"/>
      <c r="AF27" s="145"/>
      <c r="AG27" s="145"/>
      <c r="AH27" s="146"/>
      <c r="AJ27" s="11">
        <v>46046</v>
      </c>
      <c r="AK27" s="33" t="s">
        <v>6</v>
      </c>
      <c r="AL27" s="144"/>
      <c r="AM27" s="145"/>
      <c r="AN27" s="145"/>
      <c r="AO27" s="146"/>
      <c r="AQ27" s="11">
        <v>46046</v>
      </c>
      <c r="AR27" s="33" t="s">
        <v>6</v>
      </c>
      <c r="AS27" s="114"/>
      <c r="AT27" s="115"/>
      <c r="AU27" s="115"/>
      <c r="AV27" s="116"/>
      <c r="AX27" s="11">
        <v>46046</v>
      </c>
      <c r="AY27" s="33" t="s">
        <v>6</v>
      </c>
      <c r="AZ27" s="144"/>
      <c r="BA27" s="145"/>
      <c r="BB27" s="145"/>
      <c r="BC27" s="146"/>
      <c r="BE27" s="11">
        <v>46046</v>
      </c>
      <c r="BF27" s="33" t="s">
        <v>6</v>
      </c>
      <c r="BG27" s="33"/>
      <c r="BH27" s="19"/>
      <c r="BI27" s="19"/>
      <c r="BJ27" s="20"/>
      <c r="BL27" s="11">
        <v>46046</v>
      </c>
      <c r="BM27" s="33" t="s">
        <v>6</v>
      </c>
      <c r="BN27" s="144"/>
      <c r="BO27" s="145"/>
      <c r="BP27" s="145"/>
      <c r="BQ27" s="146"/>
      <c r="BS27" s="11">
        <v>46046</v>
      </c>
      <c r="BT27" s="33" t="s">
        <v>6</v>
      </c>
      <c r="BU27" s="114"/>
      <c r="BV27" s="115"/>
      <c r="BW27" s="115"/>
      <c r="BX27" s="116"/>
      <c r="BZ27" s="11">
        <v>46046</v>
      </c>
      <c r="CA27" s="33" t="s">
        <v>6</v>
      </c>
      <c r="CB27" s="144"/>
      <c r="CC27" s="145"/>
      <c r="CD27" s="145"/>
      <c r="CE27" s="146"/>
      <c r="CG27" s="11">
        <v>46046</v>
      </c>
      <c r="CH27" s="33" t="s">
        <v>6</v>
      </c>
      <c r="CI27" s="144"/>
      <c r="CJ27" s="145"/>
      <c r="CK27" s="145"/>
      <c r="CL27" s="146"/>
      <c r="CN27" s="11">
        <v>46046</v>
      </c>
      <c r="CO27" s="140" t="s">
        <v>6</v>
      </c>
      <c r="CP27" s="114"/>
      <c r="CQ27" s="115"/>
      <c r="CR27" s="115"/>
      <c r="CS27" s="116"/>
      <c r="CU27" s="11">
        <v>46046</v>
      </c>
      <c r="CV27" s="140" t="s">
        <v>6</v>
      </c>
      <c r="CW27" s="114"/>
      <c r="CX27" s="115"/>
      <c r="CY27" s="115"/>
      <c r="CZ27" s="116"/>
      <c r="DB27" s="11">
        <v>46046</v>
      </c>
      <c r="DC27" s="140" t="s">
        <v>6</v>
      </c>
      <c r="DD27" s="114"/>
      <c r="DE27" s="115"/>
      <c r="DF27" s="115"/>
      <c r="DG27" s="116"/>
      <c r="DI27" s="11">
        <v>46046</v>
      </c>
      <c r="DJ27" s="140" t="s">
        <v>6</v>
      </c>
      <c r="DK27" s="114"/>
      <c r="DL27" s="115"/>
      <c r="DM27" s="115"/>
      <c r="DN27" s="116"/>
      <c r="DP27" s="11">
        <v>46046</v>
      </c>
      <c r="DQ27" s="140" t="s">
        <v>6</v>
      </c>
      <c r="DR27" s="114"/>
      <c r="DS27" s="115"/>
      <c r="DT27" s="115"/>
      <c r="DU27" s="116"/>
      <c r="DW27" s="11">
        <v>46046</v>
      </c>
      <c r="DX27" s="140" t="s">
        <v>6</v>
      </c>
      <c r="DY27" s="114"/>
      <c r="DZ27" s="115"/>
      <c r="EA27" s="115"/>
      <c r="EB27" s="116"/>
    </row>
    <row r="28" spans="1:132" x14ac:dyDescent="0.25">
      <c r="A28" s="11">
        <v>46047</v>
      </c>
      <c r="B28" s="33" t="s">
        <v>7</v>
      </c>
      <c r="C28" s="144"/>
      <c r="D28" s="145"/>
      <c r="E28" s="145"/>
      <c r="F28" s="146"/>
      <c r="H28" s="11">
        <v>46047</v>
      </c>
      <c r="I28" s="33" t="s">
        <v>7</v>
      </c>
      <c r="J28" s="114"/>
      <c r="K28" s="115"/>
      <c r="L28" s="115"/>
      <c r="M28" s="116"/>
      <c r="O28" s="11">
        <v>46047</v>
      </c>
      <c r="P28" s="33" t="s">
        <v>7</v>
      </c>
      <c r="Q28" s="114"/>
      <c r="R28" s="115"/>
      <c r="S28" s="115"/>
      <c r="T28" s="116"/>
      <c r="V28" s="11">
        <v>46047</v>
      </c>
      <c r="W28" s="33" t="s">
        <v>7</v>
      </c>
      <c r="X28" s="144"/>
      <c r="Y28" s="145"/>
      <c r="Z28" s="145"/>
      <c r="AA28" s="146"/>
      <c r="AC28" s="11">
        <v>46047</v>
      </c>
      <c r="AD28" s="33" t="s">
        <v>7</v>
      </c>
      <c r="AE28" s="144"/>
      <c r="AF28" s="145"/>
      <c r="AG28" s="145"/>
      <c r="AH28" s="146"/>
      <c r="AJ28" s="11">
        <v>46047</v>
      </c>
      <c r="AK28" s="33" t="s">
        <v>7</v>
      </c>
      <c r="AL28" s="144"/>
      <c r="AM28" s="145"/>
      <c r="AN28" s="145"/>
      <c r="AO28" s="146"/>
      <c r="AQ28" s="11">
        <v>46047</v>
      </c>
      <c r="AR28" s="33" t="s">
        <v>7</v>
      </c>
      <c r="AS28" s="114"/>
      <c r="AT28" s="115"/>
      <c r="AU28" s="115"/>
      <c r="AV28" s="116"/>
      <c r="AX28" s="11">
        <v>46047</v>
      </c>
      <c r="AY28" s="33" t="s">
        <v>7</v>
      </c>
      <c r="AZ28" s="144"/>
      <c r="BA28" s="145"/>
      <c r="BB28" s="145"/>
      <c r="BC28" s="146"/>
      <c r="BE28" s="11">
        <v>46047</v>
      </c>
      <c r="BF28" s="33" t="s">
        <v>7</v>
      </c>
      <c r="BG28" s="33"/>
      <c r="BH28" s="19"/>
      <c r="BI28" s="19"/>
      <c r="BJ28" s="20"/>
      <c r="BL28" s="11">
        <v>46047</v>
      </c>
      <c r="BM28" s="33" t="s">
        <v>7</v>
      </c>
      <c r="BN28" s="144"/>
      <c r="BO28" s="145"/>
      <c r="BP28" s="145"/>
      <c r="BQ28" s="146"/>
      <c r="BS28" s="11">
        <v>46047</v>
      </c>
      <c r="BT28" s="33" t="s">
        <v>7</v>
      </c>
      <c r="BU28" s="114"/>
      <c r="BV28" s="115"/>
      <c r="BW28" s="115"/>
      <c r="BX28" s="116"/>
      <c r="BZ28" s="11">
        <v>46047</v>
      </c>
      <c r="CA28" s="33" t="s">
        <v>7</v>
      </c>
      <c r="CB28" s="144"/>
      <c r="CC28" s="145"/>
      <c r="CD28" s="145"/>
      <c r="CE28" s="146"/>
      <c r="CG28" s="11">
        <v>46047</v>
      </c>
      <c r="CH28" s="33" t="s">
        <v>7</v>
      </c>
      <c r="CI28" s="144"/>
      <c r="CJ28" s="145"/>
      <c r="CK28" s="145"/>
      <c r="CL28" s="146"/>
      <c r="CN28" s="11">
        <v>46047</v>
      </c>
      <c r="CO28" s="140" t="s">
        <v>7</v>
      </c>
      <c r="CP28" s="114"/>
      <c r="CQ28" s="115"/>
      <c r="CR28" s="115"/>
      <c r="CS28" s="116"/>
      <c r="CU28" s="11">
        <v>46047</v>
      </c>
      <c r="CV28" s="140" t="s">
        <v>7</v>
      </c>
      <c r="CW28" s="114"/>
      <c r="CX28" s="115"/>
      <c r="CY28" s="115"/>
      <c r="CZ28" s="116"/>
      <c r="DB28" s="11">
        <v>46047</v>
      </c>
      <c r="DC28" s="140" t="s">
        <v>7</v>
      </c>
      <c r="DD28" s="114"/>
      <c r="DE28" s="115"/>
      <c r="DF28" s="115"/>
      <c r="DG28" s="116"/>
      <c r="DI28" s="11">
        <v>46047</v>
      </c>
      <c r="DJ28" s="140" t="s">
        <v>7</v>
      </c>
      <c r="DK28" s="114"/>
      <c r="DL28" s="115"/>
      <c r="DM28" s="115"/>
      <c r="DN28" s="116"/>
      <c r="DP28" s="11">
        <v>46047</v>
      </c>
      <c r="DQ28" s="140" t="s">
        <v>7</v>
      </c>
      <c r="DR28" s="114"/>
      <c r="DS28" s="115"/>
      <c r="DT28" s="115"/>
      <c r="DU28" s="116"/>
      <c r="DW28" s="11">
        <v>46047</v>
      </c>
      <c r="DX28" s="140" t="s">
        <v>7</v>
      </c>
      <c r="DY28" s="114"/>
      <c r="DZ28" s="115"/>
      <c r="EA28" s="115"/>
      <c r="EB28" s="116"/>
    </row>
    <row r="29" spans="1:132" x14ac:dyDescent="0.25">
      <c r="A29" s="11">
        <v>46048</v>
      </c>
      <c r="B29" s="33" t="s">
        <v>8</v>
      </c>
      <c r="C29" s="144" t="s">
        <v>73</v>
      </c>
      <c r="D29" s="145">
        <v>180</v>
      </c>
      <c r="E29" s="145">
        <v>15</v>
      </c>
      <c r="F29" s="146">
        <v>19</v>
      </c>
      <c r="H29" s="11">
        <v>46048</v>
      </c>
      <c r="I29" s="33" t="s">
        <v>8</v>
      </c>
      <c r="J29" s="114" t="s">
        <v>73</v>
      </c>
      <c r="K29" s="115">
        <v>250</v>
      </c>
      <c r="L29" s="115">
        <v>20.5</v>
      </c>
      <c r="M29" s="116">
        <v>0</v>
      </c>
      <c r="O29" s="11">
        <v>46048</v>
      </c>
      <c r="P29" s="33" t="s">
        <v>8</v>
      </c>
      <c r="Q29" s="114"/>
      <c r="R29" s="115"/>
      <c r="S29" s="115"/>
      <c r="T29" s="116"/>
      <c r="V29" s="11">
        <v>46048</v>
      </c>
      <c r="W29" s="33" t="s">
        <v>8</v>
      </c>
      <c r="X29" s="144" t="s">
        <v>75</v>
      </c>
      <c r="Y29" s="145">
        <v>100</v>
      </c>
      <c r="Z29" s="145">
        <v>12.6</v>
      </c>
      <c r="AA29" s="146">
        <v>0</v>
      </c>
      <c r="AC29" s="11">
        <v>46048</v>
      </c>
      <c r="AD29" s="33" t="s">
        <v>8</v>
      </c>
      <c r="AE29" s="144" t="s">
        <v>73</v>
      </c>
      <c r="AF29" s="145">
        <v>160</v>
      </c>
      <c r="AG29" s="145">
        <v>12</v>
      </c>
      <c r="AH29" s="146">
        <v>0</v>
      </c>
      <c r="AJ29" s="11">
        <v>46048</v>
      </c>
      <c r="AK29" s="33" t="s">
        <v>8</v>
      </c>
      <c r="AL29" s="144" t="s">
        <v>75</v>
      </c>
      <c r="AM29" s="145">
        <v>250</v>
      </c>
      <c r="AN29" s="145">
        <v>12</v>
      </c>
      <c r="AO29" s="146">
        <v>0</v>
      </c>
      <c r="AQ29" s="11">
        <v>46048</v>
      </c>
      <c r="AR29" s="33" t="s">
        <v>8</v>
      </c>
      <c r="AS29" s="114" t="s">
        <v>36</v>
      </c>
      <c r="AT29" s="115"/>
      <c r="AU29" s="115"/>
      <c r="AV29" s="116"/>
      <c r="AX29" s="11">
        <v>46048</v>
      </c>
      <c r="AY29" s="33" t="s">
        <v>8</v>
      </c>
      <c r="AZ29" s="144" t="s">
        <v>36</v>
      </c>
      <c r="BA29" s="145"/>
      <c r="BB29" s="145"/>
      <c r="BC29" s="146"/>
      <c r="BE29" s="11">
        <v>46048</v>
      </c>
      <c r="BF29" s="33" t="s">
        <v>8</v>
      </c>
      <c r="BG29" s="33" t="s">
        <v>75</v>
      </c>
      <c r="BH29" s="19"/>
      <c r="BI29" s="19"/>
      <c r="BJ29" s="20"/>
      <c r="BL29" s="11">
        <v>46048</v>
      </c>
      <c r="BM29" s="33" t="s">
        <v>8</v>
      </c>
      <c r="BN29" s="144" t="s">
        <v>36</v>
      </c>
      <c r="BO29" s="145"/>
      <c r="BP29" s="145"/>
      <c r="BQ29" s="146"/>
      <c r="BS29" s="11">
        <v>46048</v>
      </c>
      <c r="BT29" s="33" t="s">
        <v>8</v>
      </c>
      <c r="BU29" s="114"/>
      <c r="BV29" s="115"/>
      <c r="BW29" s="115"/>
      <c r="BX29" s="116"/>
      <c r="BZ29" s="11">
        <v>46048</v>
      </c>
      <c r="CA29" s="33" t="s">
        <v>8</v>
      </c>
      <c r="CB29" s="144" t="s">
        <v>75</v>
      </c>
      <c r="CC29" s="145">
        <v>100</v>
      </c>
      <c r="CD29" s="145">
        <v>12</v>
      </c>
      <c r="CE29" s="146"/>
      <c r="CG29" s="11">
        <v>46048</v>
      </c>
      <c r="CH29" s="33" t="s">
        <v>8</v>
      </c>
      <c r="CI29" s="144" t="s">
        <v>73</v>
      </c>
      <c r="CJ29" s="145">
        <v>100</v>
      </c>
      <c r="CK29" s="145">
        <v>12</v>
      </c>
      <c r="CL29" s="146">
        <v>0</v>
      </c>
      <c r="CN29" s="11">
        <v>46048</v>
      </c>
      <c r="CO29" s="140" t="s">
        <v>8</v>
      </c>
      <c r="CP29" s="114"/>
      <c r="CQ29" s="115"/>
      <c r="CR29" s="115"/>
      <c r="CS29" s="116"/>
      <c r="CU29" s="11">
        <v>46048</v>
      </c>
      <c r="CV29" s="140" t="s">
        <v>8</v>
      </c>
      <c r="CW29" s="114"/>
      <c r="CX29" s="115"/>
      <c r="CY29" s="115"/>
      <c r="CZ29" s="116"/>
      <c r="DB29" s="11">
        <v>46048</v>
      </c>
      <c r="DC29" s="140" t="s">
        <v>8</v>
      </c>
      <c r="DD29" s="114"/>
      <c r="DE29" s="115"/>
      <c r="DF29" s="115"/>
      <c r="DG29" s="116"/>
      <c r="DI29" s="11">
        <v>46048</v>
      </c>
      <c r="DJ29" s="140" t="s">
        <v>8</v>
      </c>
      <c r="DK29" s="114"/>
      <c r="DL29" s="115"/>
      <c r="DM29" s="115"/>
      <c r="DN29" s="116"/>
      <c r="DP29" s="11">
        <v>46048</v>
      </c>
      <c r="DQ29" s="140" t="s">
        <v>8</v>
      </c>
      <c r="DR29" s="114"/>
      <c r="DS29" s="115"/>
      <c r="DT29" s="115"/>
      <c r="DU29" s="116"/>
      <c r="DW29" s="11">
        <v>46048</v>
      </c>
      <c r="DX29" s="140" t="s">
        <v>8</v>
      </c>
      <c r="DY29" s="114"/>
      <c r="DZ29" s="115"/>
      <c r="EA29" s="115"/>
      <c r="EB29" s="116"/>
    </row>
    <row r="30" spans="1:132" x14ac:dyDescent="0.25">
      <c r="A30" s="11">
        <v>46049</v>
      </c>
      <c r="B30" s="33" t="s">
        <v>9</v>
      </c>
      <c r="C30" s="144" t="s">
        <v>73</v>
      </c>
      <c r="D30" s="145">
        <v>180</v>
      </c>
      <c r="E30" s="145">
        <v>15</v>
      </c>
      <c r="F30" s="146">
        <v>19</v>
      </c>
      <c r="H30" s="11">
        <v>46049</v>
      </c>
      <c r="I30" s="33" t="s">
        <v>9</v>
      </c>
      <c r="J30" s="114" t="s">
        <v>73</v>
      </c>
      <c r="K30" s="115">
        <v>250</v>
      </c>
      <c r="L30" s="115">
        <v>20.5</v>
      </c>
      <c r="M30" s="116">
        <v>0</v>
      </c>
      <c r="O30" s="11">
        <v>46049</v>
      </c>
      <c r="P30" s="33" t="s">
        <v>9</v>
      </c>
      <c r="Q30" s="114"/>
      <c r="R30" s="115"/>
      <c r="S30" s="115"/>
      <c r="T30" s="116"/>
      <c r="V30" s="11">
        <v>46049</v>
      </c>
      <c r="W30" s="33" t="s">
        <v>9</v>
      </c>
      <c r="X30" s="144" t="s">
        <v>32</v>
      </c>
      <c r="Y30" s="145">
        <v>100</v>
      </c>
      <c r="Z30" s="145">
        <v>12.6</v>
      </c>
      <c r="AA30" s="146">
        <v>0</v>
      </c>
      <c r="AC30" s="11">
        <v>46049</v>
      </c>
      <c r="AD30" s="33" t="s">
        <v>9</v>
      </c>
      <c r="AE30" s="144" t="s">
        <v>73</v>
      </c>
      <c r="AF30" s="145">
        <v>160</v>
      </c>
      <c r="AG30" s="145">
        <v>12</v>
      </c>
      <c r="AH30" s="146">
        <v>0</v>
      </c>
      <c r="AJ30" s="11">
        <v>46049</v>
      </c>
      <c r="AK30" s="33" t="s">
        <v>9</v>
      </c>
      <c r="AL30" s="144" t="s">
        <v>32</v>
      </c>
      <c r="AM30" s="145">
        <v>250</v>
      </c>
      <c r="AN30" s="145">
        <v>12</v>
      </c>
      <c r="AO30" s="146">
        <v>0</v>
      </c>
      <c r="AQ30" s="11">
        <v>46049</v>
      </c>
      <c r="AR30" s="33" t="s">
        <v>9</v>
      </c>
      <c r="AS30" s="144" t="s">
        <v>73</v>
      </c>
      <c r="AT30" s="145">
        <v>100</v>
      </c>
      <c r="AU30" s="145">
        <v>12</v>
      </c>
      <c r="AV30" s="146">
        <v>0</v>
      </c>
      <c r="AX30" s="11">
        <v>46049</v>
      </c>
      <c r="AY30" s="33" t="s">
        <v>9</v>
      </c>
      <c r="AZ30" s="144" t="s">
        <v>36</v>
      </c>
      <c r="BA30" s="145"/>
      <c r="BB30" s="145"/>
      <c r="BC30" s="146"/>
      <c r="BE30" s="11">
        <v>46049</v>
      </c>
      <c r="BF30" s="33" t="s">
        <v>9</v>
      </c>
      <c r="BG30" s="33" t="s">
        <v>32</v>
      </c>
      <c r="BH30" s="19"/>
      <c r="BI30" s="19"/>
      <c r="BJ30" s="20"/>
      <c r="BL30" s="11">
        <v>46049</v>
      </c>
      <c r="BM30" s="33" t="s">
        <v>9</v>
      </c>
      <c r="BN30" s="144" t="s">
        <v>36</v>
      </c>
      <c r="BO30" s="145"/>
      <c r="BP30" s="145"/>
      <c r="BQ30" s="146"/>
      <c r="BS30" s="11">
        <v>46049</v>
      </c>
      <c r="BT30" s="33" t="s">
        <v>9</v>
      </c>
      <c r="BU30" s="114"/>
      <c r="BV30" s="115"/>
      <c r="BW30" s="115"/>
      <c r="BX30" s="116"/>
      <c r="BZ30" s="11">
        <v>46049</v>
      </c>
      <c r="CA30" s="33" t="s">
        <v>9</v>
      </c>
      <c r="CB30" s="144" t="s">
        <v>32</v>
      </c>
      <c r="CC30" s="145">
        <v>100</v>
      </c>
      <c r="CD30" s="145">
        <v>12</v>
      </c>
      <c r="CE30" s="146"/>
      <c r="CG30" s="11">
        <v>46049</v>
      </c>
      <c r="CH30" s="33" t="s">
        <v>9</v>
      </c>
      <c r="CI30" s="144" t="s">
        <v>73</v>
      </c>
      <c r="CJ30" s="145">
        <v>100</v>
      </c>
      <c r="CK30" s="145">
        <v>12</v>
      </c>
      <c r="CL30" s="146">
        <v>0</v>
      </c>
      <c r="CN30" s="11">
        <v>46049</v>
      </c>
      <c r="CO30" s="140" t="s">
        <v>9</v>
      </c>
      <c r="CP30" s="114"/>
      <c r="CQ30" s="115"/>
      <c r="CR30" s="115"/>
      <c r="CS30" s="116"/>
      <c r="CU30" s="11">
        <v>46049</v>
      </c>
      <c r="CV30" s="140" t="s">
        <v>9</v>
      </c>
      <c r="CW30" s="114"/>
      <c r="CX30" s="115"/>
      <c r="CY30" s="115"/>
      <c r="CZ30" s="116"/>
      <c r="DB30" s="11">
        <v>46049</v>
      </c>
      <c r="DC30" s="140" t="s">
        <v>9</v>
      </c>
      <c r="DD30" s="114"/>
      <c r="DE30" s="115"/>
      <c r="DF30" s="115"/>
      <c r="DG30" s="116"/>
      <c r="DI30" s="11">
        <v>46049</v>
      </c>
      <c r="DJ30" s="140" t="s">
        <v>9</v>
      </c>
      <c r="DK30" s="114"/>
      <c r="DL30" s="115"/>
      <c r="DM30" s="115"/>
      <c r="DN30" s="116"/>
      <c r="DP30" s="11">
        <v>46049</v>
      </c>
      <c r="DQ30" s="140" t="s">
        <v>9</v>
      </c>
      <c r="DR30" s="114"/>
      <c r="DS30" s="115"/>
      <c r="DT30" s="115"/>
      <c r="DU30" s="116"/>
      <c r="DW30" s="11">
        <v>46049</v>
      </c>
      <c r="DX30" s="140" t="s">
        <v>9</v>
      </c>
      <c r="DY30" s="114"/>
      <c r="DZ30" s="115"/>
      <c r="EA30" s="115"/>
      <c r="EB30" s="116"/>
    </row>
    <row r="31" spans="1:132" x14ac:dyDescent="0.25">
      <c r="A31" s="11">
        <v>46050</v>
      </c>
      <c r="B31" s="33" t="s">
        <v>3</v>
      </c>
      <c r="C31" s="144" t="s">
        <v>73</v>
      </c>
      <c r="D31" s="145">
        <v>180</v>
      </c>
      <c r="E31" s="145">
        <v>15</v>
      </c>
      <c r="F31" s="146">
        <v>19</v>
      </c>
      <c r="H31" s="11">
        <v>46050</v>
      </c>
      <c r="I31" s="33" t="s">
        <v>3</v>
      </c>
      <c r="J31" s="114" t="s">
        <v>73</v>
      </c>
      <c r="K31" s="115">
        <v>250</v>
      </c>
      <c r="L31" s="115">
        <v>20.5</v>
      </c>
      <c r="M31" s="116">
        <v>0</v>
      </c>
      <c r="O31" s="11">
        <v>46050</v>
      </c>
      <c r="P31" s="33" t="s">
        <v>3</v>
      </c>
      <c r="Q31" s="114"/>
      <c r="R31" s="115"/>
      <c r="S31" s="115"/>
      <c r="T31" s="116"/>
      <c r="V31" s="11">
        <v>46050</v>
      </c>
      <c r="W31" s="33" t="s">
        <v>3</v>
      </c>
      <c r="X31" s="144" t="s">
        <v>32</v>
      </c>
      <c r="Y31" s="145">
        <v>100</v>
      </c>
      <c r="Z31" s="145">
        <v>12.6</v>
      </c>
      <c r="AA31" s="146">
        <v>0</v>
      </c>
      <c r="AC31" s="11">
        <v>46050</v>
      </c>
      <c r="AD31" s="33" t="s">
        <v>3</v>
      </c>
      <c r="AE31" s="144" t="s">
        <v>73</v>
      </c>
      <c r="AF31" s="145">
        <v>160</v>
      </c>
      <c r="AG31" s="145">
        <v>12</v>
      </c>
      <c r="AH31" s="146">
        <v>0</v>
      </c>
      <c r="AJ31" s="11">
        <v>46050</v>
      </c>
      <c r="AK31" s="33" t="s">
        <v>3</v>
      </c>
      <c r="AL31" s="144" t="s">
        <v>32</v>
      </c>
      <c r="AM31" s="145">
        <v>250</v>
      </c>
      <c r="AN31" s="145">
        <v>12</v>
      </c>
      <c r="AO31" s="146">
        <v>0</v>
      </c>
      <c r="AQ31" s="11">
        <v>46050</v>
      </c>
      <c r="AR31" s="33" t="s">
        <v>3</v>
      </c>
      <c r="AS31" s="144" t="s">
        <v>73</v>
      </c>
      <c r="AT31" s="145">
        <v>100</v>
      </c>
      <c r="AU31" s="145">
        <v>12</v>
      </c>
      <c r="AV31" s="146">
        <v>0</v>
      </c>
      <c r="AX31" s="11">
        <v>46050</v>
      </c>
      <c r="AY31" s="33" t="s">
        <v>3</v>
      </c>
      <c r="AZ31" s="144" t="s">
        <v>32</v>
      </c>
      <c r="BA31" s="145">
        <v>100</v>
      </c>
      <c r="BB31" s="145">
        <v>12</v>
      </c>
      <c r="BC31" s="146">
        <v>0</v>
      </c>
      <c r="BE31" s="11">
        <v>46050</v>
      </c>
      <c r="BF31" s="33" t="s">
        <v>3</v>
      </c>
      <c r="BG31" s="33" t="s">
        <v>32</v>
      </c>
      <c r="BH31" s="19"/>
      <c r="BI31" s="19"/>
      <c r="BJ31" s="20"/>
      <c r="BL31" s="11">
        <v>46050</v>
      </c>
      <c r="BM31" s="33" t="s">
        <v>3</v>
      </c>
      <c r="BN31" s="144" t="s">
        <v>73</v>
      </c>
      <c r="BO31" s="145">
        <v>100</v>
      </c>
      <c r="BP31" s="145">
        <v>12</v>
      </c>
      <c r="BQ31" s="146">
        <v>0</v>
      </c>
      <c r="BS31" s="11">
        <v>46050</v>
      </c>
      <c r="BT31" s="33" t="s">
        <v>3</v>
      </c>
      <c r="BU31" s="114"/>
      <c r="BV31" s="115"/>
      <c r="BW31" s="115"/>
      <c r="BX31" s="116"/>
      <c r="BZ31" s="11">
        <v>46050</v>
      </c>
      <c r="CA31" s="33" t="s">
        <v>3</v>
      </c>
      <c r="CB31" s="144" t="s">
        <v>32</v>
      </c>
      <c r="CC31" s="145">
        <v>100</v>
      </c>
      <c r="CD31" s="145">
        <v>12</v>
      </c>
      <c r="CE31" s="146"/>
      <c r="CG31" s="11">
        <v>46050</v>
      </c>
      <c r="CH31" s="33" t="s">
        <v>3</v>
      </c>
      <c r="CI31" s="144" t="s">
        <v>73</v>
      </c>
      <c r="CJ31" s="145">
        <v>100</v>
      </c>
      <c r="CK31" s="145">
        <v>12</v>
      </c>
      <c r="CL31" s="146">
        <v>0</v>
      </c>
      <c r="CN31" s="11">
        <v>46050</v>
      </c>
      <c r="CO31" s="140" t="s">
        <v>3</v>
      </c>
      <c r="CP31" s="114"/>
      <c r="CQ31" s="115"/>
      <c r="CR31" s="115"/>
      <c r="CS31" s="116"/>
      <c r="CU31" s="11">
        <v>46050</v>
      </c>
      <c r="CV31" s="140" t="s">
        <v>3</v>
      </c>
      <c r="CW31" s="114"/>
      <c r="CX31" s="115"/>
      <c r="CY31" s="115"/>
      <c r="CZ31" s="116"/>
      <c r="DB31" s="11">
        <v>46050</v>
      </c>
      <c r="DC31" s="140" t="s">
        <v>3</v>
      </c>
      <c r="DD31" s="114"/>
      <c r="DE31" s="115"/>
      <c r="DF31" s="115"/>
      <c r="DG31" s="116"/>
      <c r="DI31" s="11">
        <v>46050</v>
      </c>
      <c r="DJ31" s="140" t="s">
        <v>3</v>
      </c>
      <c r="DK31" s="114"/>
      <c r="DL31" s="115"/>
      <c r="DM31" s="115"/>
      <c r="DN31" s="116"/>
      <c r="DP31" s="11">
        <v>46050</v>
      </c>
      <c r="DQ31" s="140" t="s">
        <v>3</v>
      </c>
      <c r="DR31" s="114"/>
      <c r="DS31" s="115"/>
      <c r="DT31" s="115"/>
      <c r="DU31" s="116"/>
      <c r="DW31" s="11">
        <v>46050</v>
      </c>
      <c r="DX31" s="140" t="s">
        <v>3</v>
      </c>
      <c r="DY31" s="114"/>
      <c r="DZ31" s="115"/>
      <c r="EA31" s="115"/>
      <c r="EB31" s="116"/>
    </row>
    <row r="32" spans="1:132" x14ac:dyDescent="0.25">
      <c r="A32" s="11">
        <v>46051</v>
      </c>
      <c r="B32" s="33" t="s">
        <v>4</v>
      </c>
      <c r="C32" s="144" t="s">
        <v>73</v>
      </c>
      <c r="D32" s="145">
        <v>180</v>
      </c>
      <c r="E32" s="145">
        <v>15</v>
      </c>
      <c r="F32" s="146">
        <v>19</v>
      </c>
      <c r="H32" s="11">
        <v>46051</v>
      </c>
      <c r="I32" s="33" t="s">
        <v>4</v>
      </c>
      <c r="J32" s="114" t="s">
        <v>73</v>
      </c>
      <c r="K32" s="115">
        <v>250</v>
      </c>
      <c r="L32" s="115">
        <v>20.5</v>
      </c>
      <c r="M32" s="116">
        <v>0</v>
      </c>
      <c r="O32" s="11">
        <v>46051</v>
      </c>
      <c r="P32" s="33" t="s">
        <v>4</v>
      </c>
      <c r="Q32" s="114"/>
      <c r="R32" s="115"/>
      <c r="S32" s="115"/>
      <c r="T32" s="116"/>
      <c r="V32" s="11">
        <v>46051</v>
      </c>
      <c r="W32" s="33" t="s">
        <v>4</v>
      </c>
      <c r="X32" s="144" t="s">
        <v>32</v>
      </c>
      <c r="Y32" s="145">
        <v>100</v>
      </c>
      <c r="Z32" s="145">
        <v>12.6</v>
      </c>
      <c r="AA32" s="146">
        <v>0</v>
      </c>
      <c r="AC32" s="11">
        <v>46051</v>
      </c>
      <c r="AD32" s="33" t="s">
        <v>4</v>
      </c>
      <c r="AE32" s="144" t="s">
        <v>73</v>
      </c>
      <c r="AF32" s="145">
        <v>160</v>
      </c>
      <c r="AG32" s="145">
        <v>13</v>
      </c>
      <c r="AH32" s="146">
        <v>0</v>
      </c>
      <c r="AJ32" s="11">
        <v>46051</v>
      </c>
      <c r="AK32" s="33" t="s">
        <v>4</v>
      </c>
      <c r="AL32" s="144" t="s">
        <v>32</v>
      </c>
      <c r="AM32" s="145">
        <v>250</v>
      </c>
      <c r="AN32" s="145">
        <v>13</v>
      </c>
      <c r="AO32" s="146">
        <v>0</v>
      </c>
      <c r="AQ32" s="11">
        <v>46051</v>
      </c>
      <c r="AR32" s="33" t="s">
        <v>4</v>
      </c>
      <c r="AS32" s="144" t="s">
        <v>73</v>
      </c>
      <c r="AT32" s="145">
        <v>100</v>
      </c>
      <c r="AU32" s="145">
        <v>13</v>
      </c>
      <c r="AV32" s="146">
        <v>0</v>
      </c>
      <c r="AX32" s="11">
        <v>46051</v>
      </c>
      <c r="AY32" s="33" t="s">
        <v>4</v>
      </c>
      <c r="AZ32" s="144" t="s">
        <v>32</v>
      </c>
      <c r="BA32" s="145">
        <v>100</v>
      </c>
      <c r="BB32" s="145">
        <v>13</v>
      </c>
      <c r="BC32" s="146">
        <v>0</v>
      </c>
      <c r="BE32" s="11">
        <v>46051</v>
      </c>
      <c r="BF32" s="33" t="s">
        <v>4</v>
      </c>
      <c r="BG32" s="33" t="s">
        <v>32</v>
      </c>
      <c r="BH32" s="19"/>
      <c r="BI32" s="19"/>
      <c r="BJ32" s="20"/>
      <c r="BL32" s="11">
        <v>46051</v>
      </c>
      <c r="BM32" s="33" t="s">
        <v>4</v>
      </c>
      <c r="BN32" s="144" t="s">
        <v>73</v>
      </c>
      <c r="BO32" s="145">
        <v>100</v>
      </c>
      <c r="BP32" s="145">
        <v>13</v>
      </c>
      <c r="BQ32" s="146">
        <v>0</v>
      </c>
      <c r="BS32" s="11">
        <v>46051</v>
      </c>
      <c r="BT32" s="33" t="s">
        <v>4</v>
      </c>
      <c r="BU32" s="114"/>
      <c r="BV32" s="115"/>
      <c r="BW32" s="115"/>
      <c r="BX32" s="116"/>
      <c r="BZ32" s="11">
        <v>46051</v>
      </c>
      <c r="CA32" s="33" t="s">
        <v>4</v>
      </c>
      <c r="CB32" s="144" t="s">
        <v>32</v>
      </c>
      <c r="CC32" s="145">
        <v>100</v>
      </c>
      <c r="CD32" s="145">
        <v>13</v>
      </c>
      <c r="CE32" s="146"/>
      <c r="CG32" s="11">
        <v>46051</v>
      </c>
      <c r="CH32" s="33" t="s">
        <v>4</v>
      </c>
      <c r="CI32" s="144" t="s">
        <v>36</v>
      </c>
      <c r="CJ32" s="145">
        <v>0</v>
      </c>
      <c r="CK32" s="145">
        <v>0</v>
      </c>
      <c r="CL32" s="146">
        <v>0</v>
      </c>
      <c r="CN32" s="11">
        <v>46051</v>
      </c>
      <c r="CO32" s="140" t="s">
        <v>4</v>
      </c>
      <c r="CP32" s="114"/>
      <c r="CQ32" s="115"/>
      <c r="CR32" s="115"/>
      <c r="CS32" s="116"/>
      <c r="CU32" s="11">
        <v>46051</v>
      </c>
      <c r="CV32" s="140" t="s">
        <v>4</v>
      </c>
      <c r="CW32" s="114"/>
      <c r="CX32" s="115"/>
      <c r="CY32" s="115"/>
      <c r="CZ32" s="116"/>
      <c r="DB32" s="11">
        <v>46051</v>
      </c>
      <c r="DC32" s="140" t="s">
        <v>4</v>
      </c>
      <c r="DD32" s="114"/>
      <c r="DE32" s="115"/>
      <c r="DF32" s="115"/>
      <c r="DG32" s="116"/>
      <c r="DI32" s="11">
        <v>46051</v>
      </c>
      <c r="DJ32" s="140" t="s">
        <v>4</v>
      </c>
      <c r="DK32" s="114"/>
      <c r="DL32" s="115"/>
      <c r="DM32" s="115"/>
      <c r="DN32" s="116"/>
      <c r="DP32" s="11">
        <v>46051</v>
      </c>
      <c r="DQ32" s="140" t="s">
        <v>4</v>
      </c>
      <c r="DR32" s="114"/>
      <c r="DS32" s="115"/>
      <c r="DT32" s="115"/>
      <c r="DU32" s="116"/>
      <c r="DW32" s="11">
        <v>46051</v>
      </c>
      <c r="DX32" s="140" t="s">
        <v>4</v>
      </c>
      <c r="DY32" s="114"/>
      <c r="DZ32" s="115"/>
      <c r="EA32" s="115"/>
      <c r="EB32" s="116"/>
    </row>
    <row r="33" spans="1:132" x14ac:dyDescent="0.25">
      <c r="A33" s="11">
        <v>46052</v>
      </c>
      <c r="B33" s="33" t="s">
        <v>5</v>
      </c>
      <c r="C33" s="158" t="s">
        <v>73</v>
      </c>
      <c r="D33" s="145">
        <v>180</v>
      </c>
      <c r="E33" s="145">
        <v>15</v>
      </c>
      <c r="F33" s="146">
        <v>19</v>
      </c>
      <c r="H33" s="11">
        <v>46052</v>
      </c>
      <c r="I33" s="33" t="s">
        <v>5</v>
      </c>
      <c r="J33" s="114" t="s">
        <v>73</v>
      </c>
      <c r="K33" s="115">
        <v>250</v>
      </c>
      <c r="L33" s="115">
        <v>20.5</v>
      </c>
      <c r="M33" s="116">
        <v>0</v>
      </c>
      <c r="O33" s="11">
        <v>46052</v>
      </c>
      <c r="P33" s="33" t="s">
        <v>5</v>
      </c>
      <c r="Q33" s="114"/>
      <c r="R33" s="115"/>
      <c r="S33" s="115"/>
      <c r="T33" s="116"/>
      <c r="V33" s="11">
        <v>46052</v>
      </c>
      <c r="W33" s="33" t="s">
        <v>5</v>
      </c>
      <c r="X33" s="144" t="s">
        <v>32</v>
      </c>
      <c r="Y33" s="145">
        <v>100</v>
      </c>
      <c r="Z33" s="145">
        <v>12.6</v>
      </c>
      <c r="AA33" s="146">
        <v>0</v>
      </c>
      <c r="AC33" s="11">
        <v>46052</v>
      </c>
      <c r="AD33" s="33" t="s">
        <v>5</v>
      </c>
      <c r="AE33" s="144" t="s">
        <v>73</v>
      </c>
      <c r="AF33" s="145">
        <v>160</v>
      </c>
      <c r="AG33" s="145">
        <v>13</v>
      </c>
      <c r="AH33" s="146">
        <v>0</v>
      </c>
      <c r="AJ33" s="11">
        <v>46052</v>
      </c>
      <c r="AK33" s="33" t="s">
        <v>5</v>
      </c>
      <c r="AL33" s="144" t="s">
        <v>32</v>
      </c>
      <c r="AM33" s="145">
        <v>250</v>
      </c>
      <c r="AN33" s="145">
        <v>13</v>
      </c>
      <c r="AO33" s="146">
        <v>0</v>
      </c>
      <c r="AQ33" s="11">
        <v>46052</v>
      </c>
      <c r="AR33" s="33" t="s">
        <v>5</v>
      </c>
      <c r="AS33" s="144" t="s">
        <v>73</v>
      </c>
      <c r="AT33" s="145">
        <v>100</v>
      </c>
      <c r="AU33" s="145">
        <v>13</v>
      </c>
      <c r="AV33" s="146">
        <v>0</v>
      </c>
      <c r="AX33" s="11">
        <v>46052</v>
      </c>
      <c r="AY33" s="33" t="s">
        <v>5</v>
      </c>
      <c r="AZ33" s="144" t="s">
        <v>32</v>
      </c>
      <c r="BA33" s="145">
        <v>100</v>
      </c>
      <c r="BB33" s="145">
        <v>13</v>
      </c>
      <c r="BC33" s="146">
        <v>0</v>
      </c>
      <c r="BE33" s="11">
        <v>46052</v>
      </c>
      <c r="BF33" s="33" t="s">
        <v>5</v>
      </c>
      <c r="BG33" s="33" t="s">
        <v>32</v>
      </c>
      <c r="BH33" s="19"/>
      <c r="BI33" s="19"/>
      <c r="BJ33" s="20"/>
      <c r="BL33" s="11">
        <v>46052</v>
      </c>
      <c r="BM33" s="33" t="s">
        <v>5</v>
      </c>
      <c r="BN33" s="144" t="s">
        <v>73</v>
      </c>
      <c r="BO33" s="145">
        <v>100</v>
      </c>
      <c r="BP33" s="145">
        <v>13</v>
      </c>
      <c r="BQ33" s="146">
        <v>0</v>
      </c>
      <c r="BS33" s="11">
        <v>46052</v>
      </c>
      <c r="BT33" s="33" t="s">
        <v>5</v>
      </c>
      <c r="BU33" s="114"/>
      <c r="BV33" s="115"/>
      <c r="BW33" s="115"/>
      <c r="BX33" s="116"/>
      <c r="BZ33" s="11">
        <v>46052</v>
      </c>
      <c r="CA33" s="33" t="s">
        <v>5</v>
      </c>
      <c r="CB33" s="144" t="s">
        <v>32</v>
      </c>
      <c r="CC33" s="145">
        <v>100</v>
      </c>
      <c r="CD33" s="145">
        <v>13</v>
      </c>
      <c r="CE33" s="146"/>
      <c r="CG33" s="153">
        <v>46052</v>
      </c>
      <c r="CH33" s="33" t="s">
        <v>5</v>
      </c>
      <c r="CI33" s="144" t="s">
        <v>73</v>
      </c>
      <c r="CJ33" s="145">
        <v>100</v>
      </c>
      <c r="CK33" s="145">
        <v>13</v>
      </c>
      <c r="CL33" s="146">
        <v>0</v>
      </c>
      <c r="CN33" s="11">
        <v>46052</v>
      </c>
      <c r="CO33" s="157" t="s">
        <v>5</v>
      </c>
      <c r="CP33" s="114"/>
      <c r="CQ33" s="115"/>
      <c r="CR33" s="115"/>
      <c r="CS33" s="116"/>
      <c r="CU33" s="11">
        <v>46052</v>
      </c>
      <c r="CV33" s="157" t="s">
        <v>5</v>
      </c>
      <c r="CW33" s="114"/>
      <c r="CX33" s="115"/>
      <c r="CY33" s="115"/>
      <c r="CZ33" s="116"/>
      <c r="DB33" s="11">
        <v>46052</v>
      </c>
      <c r="DC33" s="157" t="s">
        <v>5</v>
      </c>
      <c r="DD33" s="114"/>
      <c r="DE33" s="115"/>
      <c r="DF33" s="115"/>
      <c r="DG33" s="116"/>
      <c r="DI33" s="11">
        <v>46052</v>
      </c>
      <c r="DJ33" s="157" t="s">
        <v>5</v>
      </c>
      <c r="DK33" s="114"/>
      <c r="DL33" s="115"/>
      <c r="DM33" s="115"/>
      <c r="DN33" s="116"/>
      <c r="DP33" s="11">
        <v>46052</v>
      </c>
      <c r="DQ33" s="157" t="s">
        <v>5</v>
      </c>
      <c r="DR33" s="114"/>
      <c r="DS33" s="115"/>
      <c r="DT33" s="115"/>
      <c r="DU33" s="116"/>
      <c r="DW33" s="11">
        <v>46052</v>
      </c>
      <c r="DX33" s="157" t="s">
        <v>5</v>
      </c>
      <c r="DY33" s="114"/>
      <c r="DZ33" s="115"/>
      <c r="EA33" s="115"/>
      <c r="EB33" s="116"/>
    </row>
    <row r="34" spans="1:132" x14ac:dyDescent="0.25">
      <c r="A34" s="11">
        <v>46053</v>
      </c>
      <c r="B34" s="156" t="s">
        <v>6</v>
      </c>
      <c r="C34" s="158" t="s">
        <v>73</v>
      </c>
      <c r="D34" s="145">
        <v>180</v>
      </c>
      <c r="E34" s="145">
        <v>15</v>
      </c>
      <c r="F34" s="146">
        <v>19</v>
      </c>
      <c r="H34" s="11">
        <v>46053</v>
      </c>
      <c r="I34" s="33" t="s">
        <v>6</v>
      </c>
      <c r="J34" s="114" t="s">
        <v>73</v>
      </c>
      <c r="K34" s="115">
        <v>250</v>
      </c>
      <c r="L34" s="115">
        <v>20.5</v>
      </c>
      <c r="M34" s="116">
        <v>0</v>
      </c>
      <c r="O34" s="11">
        <v>46053</v>
      </c>
      <c r="P34" s="33" t="s">
        <v>6</v>
      </c>
      <c r="Q34" s="114"/>
      <c r="R34" s="115"/>
      <c r="S34" s="115"/>
      <c r="T34" s="116"/>
      <c r="V34" s="11">
        <v>46053</v>
      </c>
      <c r="W34" s="33" t="s">
        <v>6</v>
      </c>
      <c r="X34" s="144"/>
      <c r="Y34" s="145"/>
      <c r="Z34" s="145"/>
      <c r="AA34" s="146"/>
      <c r="AC34" s="11">
        <v>46053</v>
      </c>
      <c r="AD34" s="33" t="s">
        <v>6</v>
      </c>
      <c r="AE34" s="144"/>
      <c r="AF34" s="145"/>
      <c r="AG34" s="145"/>
      <c r="AH34" s="146"/>
      <c r="AJ34" s="11">
        <v>46053</v>
      </c>
      <c r="AK34" s="33" t="s">
        <v>6</v>
      </c>
      <c r="AL34" s="144"/>
      <c r="AM34" s="145"/>
      <c r="AN34" s="145"/>
      <c r="AO34" s="146"/>
      <c r="AQ34" s="11">
        <v>46053</v>
      </c>
      <c r="AR34" s="33" t="s">
        <v>6</v>
      </c>
      <c r="AS34" s="144" t="s">
        <v>73</v>
      </c>
      <c r="AT34" s="145">
        <v>100</v>
      </c>
      <c r="AU34" s="145">
        <v>13</v>
      </c>
      <c r="AV34" s="146">
        <v>0</v>
      </c>
      <c r="AX34" s="11">
        <v>46053</v>
      </c>
      <c r="AY34" s="33" t="s">
        <v>6</v>
      </c>
      <c r="AZ34" s="144"/>
      <c r="BA34" s="145"/>
      <c r="BB34" s="145"/>
      <c r="BC34" s="146"/>
      <c r="BE34" s="11">
        <v>46053</v>
      </c>
      <c r="BF34" s="33" t="s">
        <v>6</v>
      </c>
      <c r="BG34" s="33"/>
      <c r="BH34" s="19"/>
      <c r="BI34" s="19"/>
      <c r="BJ34" s="20"/>
      <c r="BL34" s="11">
        <v>46053</v>
      </c>
      <c r="BM34" s="33" t="s">
        <v>6</v>
      </c>
      <c r="BN34" s="144" t="s">
        <v>73</v>
      </c>
      <c r="BO34" s="145">
        <v>100</v>
      </c>
      <c r="BP34" s="145">
        <v>13</v>
      </c>
      <c r="BQ34" s="146">
        <v>0</v>
      </c>
      <c r="BS34" s="11">
        <v>46053</v>
      </c>
      <c r="BT34" s="33" t="s">
        <v>6</v>
      </c>
      <c r="BU34" s="114"/>
      <c r="BV34" s="115"/>
      <c r="BW34" s="115"/>
      <c r="BX34" s="116"/>
      <c r="BZ34" s="11">
        <v>46053</v>
      </c>
      <c r="CA34" s="33" t="s">
        <v>6</v>
      </c>
      <c r="CB34" s="144"/>
      <c r="CC34" s="145"/>
      <c r="CD34" s="145"/>
      <c r="CE34" s="146"/>
      <c r="CG34" s="153">
        <v>46053</v>
      </c>
      <c r="CH34" s="33" t="s">
        <v>6</v>
      </c>
      <c r="CI34" s="144"/>
      <c r="CJ34" s="145"/>
      <c r="CK34" s="145"/>
      <c r="CL34" s="146"/>
      <c r="CN34" s="11">
        <v>46053</v>
      </c>
      <c r="CO34" s="157" t="s">
        <v>6</v>
      </c>
      <c r="CP34" s="114"/>
      <c r="CQ34" s="115"/>
      <c r="CR34" s="115"/>
      <c r="CS34" s="116"/>
      <c r="CU34" s="11">
        <v>46053</v>
      </c>
      <c r="CV34" s="157" t="s">
        <v>6</v>
      </c>
      <c r="CW34" s="114"/>
      <c r="CX34" s="115"/>
      <c r="CY34" s="115"/>
      <c r="CZ34" s="116"/>
      <c r="DB34" s="11">
        <v>46053</v>
      </c>
      <c r="DC34" s="157" t="s">
        <v>6</v>
      </c>
      <c r="DD34" s="114"/>
      <c r="DE34" s="115"/>
      <c r="DF34" s="115"/>
      <c r="DG34" s="116"/>
      <c r="DI34" s="11">
        <v>46053</v>
      </c>
      <c r="DJ34" s="157" t="s">
        <v>6</v>
      </c>
      <c r="DK34" s="114"/>
      <c r="DL34" s="115"/>
      <c r="DM34" s="115"/>
      <c r="DN34" s="116"/>
      <c r="DP34" s="11">
        <v>46053</v>
      </c>
      <c r="DQ34" s="157" t="s">
        <v>6</v>
      </c>
      <c r="DR34" s="114"/>
      <c r="DS34" s="115"/>
      <c r="DT34" s="115"/>
      <c r="DU34" s="116"/>
      <c r="DW34" s="11">
        <v>46053</v>
      </c>
      <c r="DX34" s="157" t="s">
        <v>6</v>
      </c>
      <c r="DY34" s="114"/>
      <c r="DZ34" s="115"/>
      <c r="EA34" s="115"/>
      <c r="EB34" s="116"/>
    </row>
    <row r="35" spans="1:132" x14ac:dyDescent="0.25">
      <c r="A35" s="11">
        <v>46054</v>
      </c>
      <c r="B35" s="156" t="s">
        <v>7</v>
      </c>
      <c r="C35" s="158" t="s">
        <v>73</v>
      </c>
      <c r="D35" s="145">
        <v>180</v>
      </c>
      <c r="E35" s="145">
        <v>15</v>
      </c>
      <c r="F35" s="146">
        <v>19</v>
      </c>
      <c r="H35" s="11">
        <v>46054</v>
      </c>
      <c r="I35" s="33" t="s">
        <v>7</v>
      </c>
      <c r="J35" s="114" t="s">
        <v>73</v>
      </c>
      <c r="K35" s="115">
        <v>250</v>
      </c>
      <c r="L35" s="115">
        <v>20.5</v>
      </c>
      <c r="M35" s="116">
        <v>0</v>
      </c>
      <c r="O35" s="11">
        <v>46054</v>
      </c>
      <c r="P35" s="33" t="s">
        <v>7</v>
      </c>
      <c r="Q35" s="114"/>
      <c r="R35" s="115"/>
      <c r="S35" s="115"/>
      <c r="T35" s="116"/>
      <c r="V35" s="11">
        <v>46054</v>
      </c>
      <c r="W35" s="33" t="s">
        <v>7</v>
      </c>
      <c r="X35" s="144"/>
      <c r="Y35" s="145"/>
      <c r="Z35" s="145"/>
      <c r="AA35" s="146"/>
      <c r="AC35" s="11">
        <v>46054</v>
      </c>
      <c r="AD35" s="33" t="s">
        <v>7</v>
      </c>
      <c r="AE35" s="144"/>
      <c r="AF35" s="145"/>
      <c r="AG35" s="145"/>
      <c r="AH35" s="146"/>
      <c r="AJ35" s="11">
        <v>46054</v>
      </c>
      <c r="AK35" s="33" t="s">
        <v>7</v>
      </c>
      <c r="AL35" s="144"/>
      <c r="AM35" s="145"/>
      <c r="AN35" s="145"/>
      <c r="AO35" s="146"/>
      <c r="AQ35" s="11">
        <v>46054</v>
      </c>
      <c r="AR35" s="33" t="s">
        <v>7</v>
      </c>
      <c r="AS35" s="144"/>
      <c r="AT35" s="145"/>
      <c r="AU35" s="145"/>
      <c r="AV35" s="146"/>
      <c r="AX35" s="11">
        <v>46054</v>
      </c>
      <c r="AY35" s="33" t="s">
        <v>7</v>
      </c>
      <c r="AZ35" s="144"/>
      <c r="BA35" s="145"/>
      <c r="BB35" s="145"/>
      <c r="BC35" s="146"/>
      <c r="BE35" s="11">
        <v>46054</v>
      </c>
      <c r="BF35" s="33" t="s">
        <v>7</v>
      </c>
      <c r="BG35" s="33"/>
      <c r="BH35" s="19"/>
      <c r="BI35" s="19"/>
      <c r="BJ35" s="20"/>
      <c r="BL35" s="11">
        <v>46054</v>
      </c>
      <c r="BM35" s="33" t="s">
        <v>7</v>
      </c>
      <c r="BN35" s="144" t="s">
        <v>73</v>
      </c>
      <c r="BO35" s="145">
        <v>100</v>
      </c>
      <c r="BP35" s="145">
        <v>13</v>
      </c>
      <c r="BQ35" s="146">
        <v>0</v>
      </c>
      <c r="BS35" s="11">
        <v>46054</v>
      </c>
      <c r="BT35" s="33" t="s">
        <v>7</v>
      </c>
      <c r="BU35" s="114"/>
      <c r="BV35" s="115"/>
      <c r="BW35" s="115"/>
      <c r="BX35" s="116"/>
      <c r="BZ35" s="11">
        <v>46054</v>
      </c>
      <c r="CA35" s="33" t="s">
        <v>7</v>
      </c>
      <c r="CB35" s="144"/>
      <c r="CC35" s="145"/>
      <c r="CD35" s="145"/>
      <c r="CE35" s="146"/>
      <c r="CG35" s="155">
        <v>46054</v>
      </c>
      <c r="CH35" s="33" t="s">
        <v>7</v>
      </c>
      <c r="CI35" s="159"/>
      <c r="CJ35" s="145"/>
      <c r="CK35" s="145"/>
      <c r="CL35" s="146"/>
      <c r="CN35" s="11">
        <v>46054</v>
      </c>
      <c r="CO35" s="157" t="s">
        <v>7</v>
      </c>
      <c r="CP35" s="154"/>
      <c r="CQ35" s="115"/>
      <c r="CR35" s="115"/>
      <c r="CS35" s="116"/>
      <c r="CU35" s="11">
        <v>46054</v>
      </c>
      <c r="CV35" s="157" t="s">
        <v>7</v>
      </c>
      <c r="CW35" s="154"/>
      <c r="CX35" s="115"/>
      <c r="CY35" s="115"/>
      <c r="CZ35" s="116"/>
      <c r="DB35" s="11">
        <v>46054</v>
      </c>
      <c r="DC35" s="157" t="s">
        <v>7</v>
      </c>
      <c r="DD35" s="154"/>
      <c r="DE35" s="115"/>
      <c r="DF35" s="115"/>
      <c r="DG35" s="116"/>
      <c r="DI35" s="11">
        <v>46054</v>
      </c>
      <c r="DJ35" s="157" t="s">
        <v>7</v>
      </c>
      <c r="DK35" s="154"/>
      <c r="DL35" s="115"/>
      <c r="DM35" s="115"/>
      <c r="DN35" s="116"/>
      <c r="DP35" s="11">
        <v>46054</v>
      </c>
      <c r="DQ35" s="157" t="s">
        <v>7</v>
      </c>
      <c r="DR35" s="154"/>
      <c r="DS35" s="115"/>
      <c r="DT35" s="115"/>
      <c r="DU35" s="116"/>
      <c r="DW35" s="11">
        <v>46054</v>
      </c>
      <c r="DX35" s="157" t="s">
        <v>7</v>
      </c>
      <c r="DY35" s="154"/>
      <c r="DZ35" s="115"/>
      <c r="EA35" s="115"/>
      <c r="EB35" s="116"/>
    </row>
    <row r="36" spans="1:132" x14ac:dyDescent="0.25">
      <c r="A36" s="11">
        <v>46055</v>
      </c>
      <c r="B36" s="33" t="s">
        <v>8</v>
      </c>
      <c r="C36" s="158" t="s">
        <v>73</v>
      </c>
      <c r="D36" s="145">
        <v>180</v>
      </c>
      <c r="E36" s="145">
        <v>15</v>
      </c>
      <c r="F36" s="146">
        <v>19</v>
      </c>
      <c r="H36" s="11">
        <v>46055</v>
      </c>
      <c r="I36" s="33" t="s">
        <v>8</v>
      </c>
      <c r="J36" s="114" t="s">
        <v>43</v>
      </c>
      <c r="K36" s="115">
        <v>250</v>
      </c>
      <c r="L36" s="115">
        <v>20.5</v>
      </c>
      <c r="M36" s="116">
        <v>0</v>
      </c>
      <c r="O36" s="11">
        <v>46055</v>
      </c>
      <c r="P36" s="33" t="s">
        <v>8</v>
      </c>
      <c r="Q36" s="114"/>
      <c r="R36" s="115"/>
      <c r="S36" s="115"/>
      <c r="T36" s="116"/>
      <c r="V36" s="11">
        <v>46055</v>
      </c>
      <c r="W36" s="33" t="s">
        <v>8</v>
      </c>
      <c r="X36" s="144" t="s">
        <v>32</v>
      </c>
      <c r="Y36" s="145">
        <v>100</v>
      </c>
      <c r="Z36" s="145">
        <v>12.6</v>
      </c>
      <c r="AA36" s="146">
        <v>0</v>
      </c>
      <c r="AC36" s="11">
        <v>46055</v>
      </c>
      <c r="AD36" s="33" t="s">
        <v>8</v>
      </c>
      <c r="AE36" s="144" t="s">
        <v>73</v>
      </c>
      <c r="AF36" s="145">
        <v>160</v>
      </c>
      <c r="AG36" s="145">
        <v>13</v>
      </c>
      <c r="AH36" s="146">
        <v>0</v>
      </c>
      <c r="AJ36" s="11">
        <v>46055</v>
      </c>
      <c r="AK36" s="33" t="s">
        <v>8</v>
      </c>
      <c r="AL36" s="144" t="s">
        <v>32</v>
      </c>
      <c r="AM36" s="145">
        <v>250</v>
      </c>
      <c r="AN36" s="145">
        <v>6.5</v>
      </c>
      <c r="AO36" s="146">
        <v>0</v>
      </c>
      <c r="AQ36" s="11">
        <v>46055</v>
      </c>
      <c r="AR36" s="33" t="s">
        <v>8</v>
      </c>
      <c r="AS36" s="144" t="s">
        <v>73</v>
      </c>
      <c r="AT36" s="145">
        <v>100</v>
      </c>
      <c r="AU36" s="145">
        <v>13</v>
      </c>
      <c r="AV36" s="146">
        <v>0</v>
      </c>
      <c r="AX36" s="11">
        <v>46055</v>
      </c>
      <c r="AY36" s="33" t="s">
        <v>8</v>
      </c>
      <c r="AZ36" s="144" t="s">
        <v>32</v>
      </c>
      <c r="BA36" s="145">
        <v>100</v>
      </c>
      <c r="BB36" s="145">
        <v>13</v>
      </c>
      <c r="BC36" s="146">
        <v>0</v>
      </c>
      <c r="BE36" s="11">
        <v>46055</v>
      </c>
      <c r="BF36" s="33" t="s">
        <v>8</v>
      </c>
      <c r="BG36" s="33" t="s">
        <v>32</v>
      </c>
      <c r="BH36" s="19"/>
      <c r="BI36" s="19"/>
      <c r="BJ36" s="20"/>
      <c r="BL36" s="11">
        <v>46055</v>
      </c>
      <c r="BM36" s="33" t="s">
        <v>8</v>
      </c>
      <c r="BN36" s="144" t="s">
        <v>73</v>
      </c>
      <c r="BO36" s="145">
        <v>100</v>
      </c>
      <c r="BP36" s="145">
        <v>13</v>
      </c>
      <c r="BQ36" s="146">
        <v>0</v>
      </c>
      <c r="BS36" s="11">
        <v>46055</v>
      </c>
      <c r="BT36" s="33" t="s">
        <v>8</v>
      </c>
      <c r="BU36" s="114"/>
      <c r="BV36" s="115"/>
      <c r="BW36" s="115"/>
      <c r="BX36" s="116"/>
      <c r="BZ36" s="11">
        <v>46055</v>
      </c>
      <c r="CA36" s="33" t="s">
        <v>8</v>
      </c>
      <c r="CB36" s="144" t="s">
        <v>32</v>
      </c>
      <c r="CC36" s="145">
        <v>100</v>
      </c>
      <c r="CD36" s="145">
        <v>6.5</v>
      </c>
      <c r="CE36" s="146">
        <v>0</v>
      </c>
      <c r="CG36" s="152">
        <v>46055</v>
      </c>
      <c r="CH36" s="33" t="s">
        <v>8</v>
      </c>
      <c r="CI36" s="144" t="s">
        <v>73</v>
      </c>
      <c r="CJ36" s="145">
        <v>100</v>
      </c>
      <c r="CK36" s="145">
        <v>13</v>
      </c>
      <c r="CL36" s="146">
        <v>0</v>
      </c>
      <c r="CN36" s="11">
        <v>46055</v>
      </c>
      <c r="CO36" s="157" t="s">
        <v>8</v>
      </c>
      <c r="CP36" s="114"/>
      <c r="CQ36" s="115"/>
      <c r="CR36" s="115"/>
      <c r="CS36" s="116"/>
      <c r="CU36" s="11">
        <v>46055</v>
      </c>
      <c r="CV36" s="157" t="s">
        <v>8</v>
      </c>
      <c r="CW36" s="114"/>
      <c r="CX36" s="115"/>
      <c r="CY36" s="115"/>
      <c r="CZ36" s="116"/>
      <c r="DB36" s="11">
        <v>46055</v>
      </c>
      <c r="DC36" s="157" t="s">
        <v>8</v>
      </c>
      <c r="DD36" s="114"/>
      <c r="DE36" s="115"/>
      <c r="DF36" s="115"/>
      <c r="DG36" s="116"/>
      <c r="DI36" s="11">
        <v>46055</v>
      </c>
      <c r="DJ36" s="157" t="s">
        <v>8</v>
      </c>
      <c r="DK36" s="114"/>
      <c r="DL36" s="115"/>
      <c r="DM36" s="115"/>
      <c r="DN36" s="116"/>
      <c r="DP36" s="11">
        <v>46055</v>
      </c>
      <c r="DQ36" s="157" t="s">
        <v>8</v>
      </c>
      <c r="DR36" s="114"/>
      <c r="DS36" s="115"/>
      <c r="DT36" s="115"/>
      <c r="DU36" s="116"/>
      <c r="DW36" s="11">
        <v>46055</v>
      </c>
      <c r="DX36" s="157" t="s">
        <v>8</v>
      </c>
      <c r="DY36" s="114"/>
      <c r="DZ36" s="115"/>
      <c r="EA36" s="115"/>
      <c r="EB36" s="116"/>
    </row>
    <row r="37" spans="1:132" x14ac:dyDescent="0.25">
      <c r="A37" s="11">
        <v>46056</v>
      </c>
      <c r="B37" s="33" t="s">
        <v>9</v>
      </c>
      <c r="C37" s="158" t="s">
        <v>73</v>
      </c>
      <c r="D37" s="145">
        <v>180</v>
      </c>
      <c r="E37" s="145">
        <v>15</v>
      </c>
      <c r="F37" s="146">
        <v>19</v>
      </c>
      <c r="H37" s="11">
        <v>46056</v>
      </c>
      <c r="I37" s="33" t="s">
        <v>9</v>
      </c>
      <c r="J37" s="114" t="s">
        <v>73</v>
      </c>
      <c r="K37" s="115">
        <v>250</v>
      </c>
      <c r="L37" s="115">
        <v>20.5</v>
      </c>
      <c r="M37" s="116">
        <v>0</v>
      </c>
      <c r="O37" s="11">
        <v>46056</v>
      </c>
      <c r="P37" s="33" t="s">
        <v>9</v>
      </c>
      <c r="Q37" s="114"/>
      <c r="R37" s="115"/>
      <c r="S37" s="115"/>
      <c r="T37" s="116"/>
      <c r="V37" s="11">
        <v>46056</v>
      </c>
      <c r="W37" s="33" t="s">
        <v>9</v>
      </c>
      <c r="X37" s="144" t="s">
        <v>32</v>
      </c>
      <c r="Y37" s="145">
        <v>100</v>
      </c>
      <c r="Z37" s="145">
        <v>12.6</v>
      </c>
      <c r="AA37" s="146">
        <v>10</v>
      </c>
      <c r="AC37" s="11">
        <v>46056</v>
      </c>
      <c r="AD37" s="33" t="s">
        <v>9</v>
      </c>
      <c r="AE37" s="144" t="s">
        <v>73</v>
      </c>
      <c r="AF37" s="145">
        <v>160</v>
      </c>
      <c r="AG37" s="145">
        <v>13</v>
      </c>
      <c r="AH37" s="146">
        <v>0</v>
      </c>
      <c r="AJ37" s="11">
        <v>46056</v>
      </c>
      <c r="AK37" s="33" t="s">
        <v>9</v>
      </c>
      <c r="AL37" s="144" t="s">
        <v>32</v>
      </c>
      <c r="AM37" s="145">
        <v>250</v>
      </c>
      <c r="AN37" s="145">
        <v>0</v>
      </c>
      <c r="AO37" s="146">
        <v>10</v>
      </c>
      <c r="AQ37" s="11">
        <v>46056</v>
      </c>
      <c r="AR37" s="33" t="s">
        <v>9</v>
      </c>
      <c r="AS37" s="144" t="s">
        <v>73</v>
      </c>
      <c r="AT37" s="145">
        <v>100</v>
      </c>
      <c r="AU37" s="145">
        <v>13</v>
      </c>
      <c r="AV37" s="146">
        <v>0</v>
      </c>
      <c r="AX37" s="11">
        <v>46056</v>
      </c>
      <c r="AY37" s="33" t="s">
        <v>9</v>
      </c>
      <c r="AZ37" s="144" t="s">
        <v>32</v>
      </c>
      <c r="BA37" s="145">
        <v>100</v>
      </c>
      <c r="BB37" s="145">
        <v>13</v>
      </c>
      <c r="BC37" s="146">
        <v>10</v>
      </c>
      <c r="BE37" s="11">
        <v>46056</v>
      </c>
      <c r="BF37" s="33" t="s">
        <v>9</v>
      </c>
      <c r="BG37" s="33" t="s">
        <v>32</v>
      </c>
      <c r="BH37" s="19"/>
      <c r="BI37" s="19"/>
      <c r="BJ37" s="20"/>
      <c r="BL37" s="11">
        <v>46056</v>
      </c>
      <c r="BM37" s="33" t="s">
        <v>9</v>
      </c>
      <c r="BN37" s="144" t="s">
        <v>73</v>
      </c>
      <c r="BO37" s="145">
        <v>100</v>
      </c>
      <c r="BP37" s="145">
        <v>13</v>
      </c>
      <c r="BQ37" s="146">
        <v>0</v>
      </c>
      <c r="BS37" s="11">
        <v>46056</v>
      </c>
      <c r="BT37" s="33" t="s">
        <v>9</v>
      </c>
      <c r="BU37" s="114"/>
      <c r="BV37" s="115"/>
      <c r="BW37" s="115"/>
      <c r="BX37" s="116"/>
      <c r="BZ37" s="11">
        <v>46056</v>
      </c>
      <c r="CA37" s="33" t="s">
        <v>9</v>
      </c>
      <c r="CB37" s="144" t="s">
        <v>32</v>
      </c>
      <c r="CC37" s="145">
        <v>100</v>
      </c>
      <c r="CD37" s="145">
        <v>0</v>
      </c>
      <c r="CE37" s="146">
        <v>10</v>
      </c>
      <c r="CG37" s="11">
        <v>46056</v>
      </c>
      <c r="CH37" s="33" t="s">
        <v>9</v>
      </c>
      <c r="CI37" s="144" t="s">
        <v>73</v>
      </c>
      <c r="CJ37" s="145">
        <v>100</v>
      </c>
      <c r="CK37" s="145">
        <v>13</v>
      </c>
      <c r="CL37" s="146">
        <v>0</v>
      </c>
      <c r="CN37" s="11">
        <v>46056</v>
      </c>
      <c r="CO37" s="33" t="s">
        <v>9</v>
      </c>
      <c r="CP37" s="144" t="s">
        <v>32</v>
      </c>
      <c r="CQ37" s="145">
        <v>135</v>
      </c>
      <c r="CR37" s="145">
        <v>13</v>
      </c>
      <c r="CS37" s="146">
        <v>10</v>
      </c>
      <c r="CU37" s="11">
        <v>46056</v>
      </c>
      <c r="CV37" s="140" t="s">
        <v>9</v>
      </c>
      <c r="CW37" s="144"/>
      <c r="CX37" s="145"/>
      <c r="CY37" s="145"/>
      <c r="CZ37" s="146"/>
      <c r="DB37" s="11">
        <v>46056</v>
      </c>
      <c r="DC37" s="140" t="s">
        <v>9</v>
      </c>
      <c r="DD37" s="144"/>
      <c r="DE37" s="145"/>
      <c r="DF37" s="145"/>
      <c r="DG37" s="146"/>
      <c r="DI37" s="11">
        <v>46056</v>
      </c>
      <c r="DJ37" s="140" t="s">
        <v>9</v>
      </c>
      <c r="DK37" s="144"/>
      <c r="DL37" s="145"/>
      <c r="DM37" s="145"/>
      <c r="DN37" s="146"/>
      <c r="DP37" s="11">
        <v>46056</v>
      </c>
      <c r="DQ37" s="140" t="s">
        <v>9</v>
      </c>
      <c r="DR37" s="144"/>
      <c r="DS37" s="145"/>
      <c r="DT37" s="145"/>
      <c r="DU37" s="146"/>
      <c r="DW37" s="11">
        <v>46056</v>
      </c>
      <c r="DX37" s="140" t="s">
        <v>9</v>
      </c>
      <c r="DY37" s="144"/>
      <c r="DZ37" s="145"/>
      <c r="EA37" s="145"/>
      <c r="EB37" s="146"/>
    </row>
    <row r="38" spans="1:132" x14ac:dyDescent="0.25">
      <c r="A38" s="11">
        <v>46057</v>
      </c>
      <c r="B38" s="33" t="s">
        <v>3</v>
      </c>
      <c r="C38" s="158" t="s">
        <v>73</v>
      </c>
      <c r="D38" s="145">
        <v>180</v>
      </c>
      <c r="E38" s="145">
        <v>15</v>
      </c>
      <c r="F38" s="146">
        <v>19</v>
      </c>
      <c r="H38" s="11">
        <v>46057</v>
      </c>
      <c r="I38" s="33" t="s">
        <v>3</v>
      </c>
      <c r="J38" s="114" t="s">
        <v>73</v>
      </c>
      <c r="K38" s="115">
        <v>250</v>
      </c>
      <c r="L38" s="115">
        <v>20.5</v>
      </c>
      <c r="M38" s="116">
        <v>0</v>
      </c>
      <c r="O38" s="11">
        <v>46057</v>
      </c>
      <c r="P38" s="33" t="s">
        <v>3</v>
      </c>
      <c r="Q38" s="114"/>
      <c r="R38" s="115"/>
      <c r="S38" s="115"/>
      <c r="T38" s="116"/>
      <c r="V38" s="11">
        <v>46057</v>
      </c>
      <c r="W38" s="33" t="s">
        <v>3</v>
      </c>
      <c r="X38" s="144" t="s">
        <v>32</v>
      </c>
      <c r="Y38" s="145">
        <v>100</v>
      </c>
      <c r="Z38" s="145">
        <v>12.6</v>
      </c>
      <c r="AA38" s="146">
        <v>10</v>
      </c>
      <c r="AC38" s="11">
        <v>46057</v>
      </c>
      <c r="AD38" s="33" t="s">
        <v>3</v>
      </c>
      <c r="AE38" s="144" t="s">
        <v>73</v>
      </c>
      <c r="AF38" s="145">
        <v>160</v>
      </c>
      <c r="AG38" s="145">
        <v>13</v>
      </c>
      <c r="AH38" s="146">
        <v>0</v>
      </c>
      <c r="AJ38" s="11">
        <v>46057</v>
      </c>
      <c r="AK38" s="33" t="s">
        <v>3</v>
      </c>
      <c r="AL38" s="144" t="s">
        <v>32</v>
      </c>
      <c r="AM38" s="145">
        <v>250</v>
      </c>
      <c r="AN38" s="145">
        <v>0</v>
      </c>
      <c r="AO38" s="146">
        <v>10</v>
      </c>
      <c r="AQ38" s="11">
        <v>46057</v>
      </c>
      <c r="AR38" s="33" t="s">
        <v>3</v>
      </c>
      <c r="AS38" s="144" t="s">
        <v>73</v>
      </c>
      <c r="AT38" s="145">
        <v>100</v>
      </c>
      <c r="AU38" s="145">
        <v>13</v>
      </c>
      <c r="AV38" s="146">
        <v>0</v>
      </c>
      <c r="AX38" s="11">
        <v>46057</v>
      </c>
      <c r="AY38" s="33" t="s">
        <v>3</v>
      </c>
      <c r="AZ38" s="144" t="s">
        <v>32</v>
      </c>
      <c r="BA38" s="145">
        <v>100</v>
      </c>
      <c r="BB38" s="145">
        <v>0</v>
      </c>
      <c r="BC38" s="146">
        <v>10</v>
      </c>
      <c r="BE38" s="11">
        <v>46057</v>
      </c>
      <c r="BF38" s="33" t="s">
        <v>3</v>
      </c>
      <c r="BG38" s="33"/>
      <c r="BH38" s="19"/>
      <c r="BI38" s="19"/>
      <c r="BJ38" s="20"/>
      <c r="BL38" s="11">
        <v>46057</v>
      </c>
      <c r="BM38" s="33" t="s">
        <v>3</v>
      </c>
      <c r="BN38" s="144" t="s">
        <v>73</v>
      </c>
      <c r="BO38" s="145">
        <v>100</v>
      </c>
      <c r="BP38" s="145">
        <v>13</v>
      </c>
      <c r="BQ38" s="146">
        <v>0</v>
      </c>
      <c r="BS38" s="11">
        <v>46057</v>
      </c>
      <c r="BT38" s="33" t="s">
        <v>3</v>
      </c>
      <c r="BU38" s="114"/>
      <c r="BV38" s="115"/>
      <c r="BW38" s="115"/>
      <c r="BX38" s="116"/>
      <c r="BZ38" s="11">
        <v>46057</v>
      </c>
      <c r="CA38" s="33" t="s">
        <v>3</v>
      </c>
      <c r="CB38" s="144" t="s">
        <v>32</v>
      </c>
      <c r="CC38" s="145">
        <v>100</v>
      </c>
      <c r="CD38" s="145">
        <v>0</v>
      </c>
      <c r="CE38" s="146">
        <v>10</v>
      </c>
      <c r="CG38" s="11">
        <v>46057</v>
      </c>
      <c r="CH38" s="33" t="s">
        <v>3</v>
      </c>
      <c r="CI38" s="144" t="s">
        <v>73</v>
      </c>
      <c r="CJ38" s="145">
        <v>100</v>
      </c>
      <c r="CK38" s="145">
        <v>13</v>
      </c>
      <c r="CL38" s="146">
        <v>0</v>
      </c>
      <c r="CN38" s="11">
        <v>46057</v>
      </c>
      <c r="CO38" s="33" t="s">
        <v>3</v>
      </c>
      <c r="CP38" s="144" t="s">
        <v>32</v>
      </c>
      <c r="CQ38" s="145">
        <v>135</v>
      </c>
      <c r="CR38" s="145">
        <v>13</v>
      </c>
      <c r="CS38" s="146">
        <v>10</v>
      </c>
      <c r="CU38" s="11">
        <v>46057</v>
      </c>
      <c r="CV38" s="140" t="s">
        <v>3</v>
      </c>
      <c r="CW38" s="144"/>
      <c r="CX38" s="145"/>
      <c r="CY38" s="145"/>
      <c r="CZ38" s="146"/>
      <c r="DB38" s="11">
        <v>46057</v>
      </c>
      <c r="DC38" s="140" t="s">
        <v>3</v>
      </c>
      <c r="DD38" s="144"/>
      <c r="DE38" s="145"/>
      <c r="DF38" s="145"/>
      <c r="DG38" s="146"/>
      <c r="DI38" s="11">
        <v>46057</v>
      </c>
      <c r="DJ38" s="140" t="s">
        <v>3</v>
      </c>
      <c r="DK38" s="144"/>
      <c r="DL38" s="145"/>
      <c r="DM38" s="145"/>
      <c r="DN38" s="146"/>
      <c r="DP38" s="11">
        <v>46057</v>
      </c>
      <c r="DQ38" s="140" t="s">
        <v>3</v>
      </c>
      <c r="DR38" s="144"/>
      <c r="DS38" s="145"/>
      <c r="DT38" s="145"/>
      <c r="DU38" s="146"/>
      <c r="DW38" s="11">
        <v>46057</v>
      </c>
      <c r="DX38" s="140" t="s">
        <v>3</v>
      </c>
      <c r="DY38" s="144"/>
      <c r="DZ38" s="145"/>
      <c r="EA38" s="145"/>
      <c r="EB38" s="146"/>
    </row>
    <row r="39" spans="1:132" x14ac:dyDescent="0.25">
      <c r="A39" s="11">
        <v>46058</v>
      </c>
      <c r="B39" s="33" t="s">
        <v>4</v>
      </c>
      <c r="C39" s="158" t="s">
        <v>73</v>
      </c>
      <c r="D39" s="145">
        <v>180</v>
      </c>
      <c r="E39" s="145">
        <v>15</v>
      </c>
      <c r="F39" s="146">
        <v>19</v>
      </c>
      <c r="H39" s="11">
        <v>46058</v>
      </c>
      <c r="I39" s="33" t="s">
        <v>4</v>
      </c>
      <c r="J39" s="114" t="s">
        <v>73</v>
      </c>
      <c r="K39" s="115">
        <v>250</v>
      </c>
      <c r="L39" s="115">
        <v>20.5</v>
      </c>
      <c r="M39" s="116">
        <v>0</v>
      </c>
      <c r="O39" s="11">
        <v>46058</v>
      </c>
      <c r="P39" s="33" t="s">
        <v>4</v>
      </c>
      <c r="Q39" s="114"/>
      <c r="R39" s="115"/>
      <c r="S39" s="115"/>
      <c r="T39" s="116"/>
      <c r="V39" s="11">
        <v>46058</v>
      </c>
      <c r="W39" s="33" t="s">
        <v>4</v>
      </c>
      <c r="X39" s="144" t="s">
        <v>32</v>
      </c>
      <c r="Y39" s="145">
        <v>100</v>
      </c>
      <c r="Z39" s="145">
        <v>12.6</v>
      </c>
      <c r="AA39" s="146">
        <v>10</v>
      </c>
      <c r="AC39" s="11">
        <v>46058</v>
      </c>
      <c r="AD39" s="33" t="s">
        <v>4</v>
      </c>
      <c r="AE39" s="144" t="s">
        <v>73</v>
      </c>
      <c r="AF39" s="145">
        <v>160</v>
      </c>
      <c r="AG39" s="145">
        <v>13</v>
      </c>
      <c r="AH39" s="146">
        <v>0</v>
      </c>
      <c r="AJ39" s="11">
        <v>46058</v>
      </c>
      <c r="AK39" s="33" t="s">
        <v>4</v>
      </c>
      <c r="AL39" s="144" t="s">
        <v>32</v>
      </c>
      <c r="AM39" s="145">
        <v>250</v>
      </c>
      <c r="AN39" s="145">
        <v>0</v>
      </c>
      <c r="AO39" s="146">
        <v>10</v>
      </c>
      <c r="AQ39" s="11">
        <v>46058</v>
      </c>
      <c r="AR39" s="33" t="s">
        <v>4</v>
      </c>
      <c r="AS39" s="144" t="s">
        <v>73</v>
      </c>
      <c r="AT39" s="145">
        <v>100</v>
      </c>
      <c r="AU39" s="145">
        <v>13</v>
      </c>
      <c r="AV39" s="146">
        <v>0</v>
      </c>
      <c r="AX39" s="11">
        <v>46058</v>
      </c>
      <c r="AY39" s="33" t="s">
        <v>4</v>
      </c>
      <c r="AZ39" s="144" t="s">
        <v>32</v>
      </c>
      <c r="BA39" s="145">
        <v>100</v>
      </c>
      <c r="BB39" s="145">
        <v>0</v>
      </c>
      <c r="BC39" s="146">
        <v>10</v>
      </c>
      <c r="BE39" s="11">
        <v>46058</v>
      </c>
      <c r="BF39" s="33" t="s">
        <v>4</v>
      </c>
      <c r="BG39" s="33"/>
      <c r="BH39" s="19"/>
      <c r="BI39" s="19"/>
      <c r="BJ39" s="20"/>
      <c r="BL39" s="11">
        <v>46058</v>
      </c>
      <c r="BM39" s="33" t="s">
        <v>4</v>
      </c>
      <c r="BN39" s="144" t="s">
        <v>73</v>
      </c>
      <c r="BO39" s="145">
        <v>100</v>
      </c>
      <c r="BP39" s="145">
        <v>13</v>
      </c>
      <c r="BQ39" s="146">
        <v>0</v>
      </c>
      <c r="BS39" s="11">
        <v>46058</v>
      </c>
      <c r="BT39" s="33" t="s">
        <v>4</v>
      </c>
      <c r="BU39" s="114"/>
      <c r="BV39" s="115"/>
      <c r="BW39" s="115"/>
      <c r="BX39" s="116"/>
      <c r="BZ39" s="11">
        <v>46058</v>
      </c>
      <c r="CA39" s="33" t="s">
        <v>4</v>
      </c>
      <c r="CB39" s="144" t="s">
        <v>32</v>
      </c>
      <c r="CC39" s="145">
        <v>100</v>
      </c>
      <c r="CD39" s="145">
        <v>0</v>
      </c>
      <c r="CE39" s="146">
        <v>10</v>
      </c>
      <c r="CG39" s="11">
        <v>46058</v>
      </c>
      <c r="CH39" s="33" t="s">
        <v>4</v>
      </c>
      <c r="CI39" s="144" t="s">
        <v>73</v>
      </c>
      <c r="CJ39" s="145">
        <v>100</v>
      </c>
      <c r="CK39" s="145">
        <v>13</v>
      </c>
      <c r="CL39" s="146">
        <v>0</v>
      </c>
      <c r="CN39" s="11">
        <v>46058</v>
      </c>
      <c r="CO39" s="33" t="s">
        <v>4</v>
      </c>
      <c r="CP39" s="144" t="s">
        <v>32</v>
      </c>
      <c r="CQ39" s="145">
        <v>135</v>
      </c>
      <c r="CR39" s="145">
        <v>13</v>
      </c>
      <c r="CS39" s="146">
        <v>10</v>
      </c>
      <c r="CU39" s="11">
        <v>46058</v>
      </c>
      <c r="CV39" s="140" t="s">
        <v>4</v>
      </c>
      <c r="CW39" s="144"/>
      <c r="CX39" s="145"/>
      <c r="CY39" s="145"/>
      <c r="CZ39" s="146"/>
      <c r="DB39" s="11">
        <v>46058</v>
      </c>
      <c r="DC39" s="140" t="s">
        <v>4</v>
      </c>
      <c r="DD39" s="144"/>
      <c r="DE39" s="145"/>
      <c r="DF39" s="145"/>
      <c r="DG39" s="146"/>
      <c r="DI39" s="11">
        <v>46058</v>
      </c>
      <c r="DJ39" s="140" t="s">
        <v>4</v>
      </c>
      <c r="DK39" s="144"/>
      <c r="DL39" s="145"/>
      <c r="DM39" s="145"/>
      <c r="DN39" s="146"/>
      <c r="DP39" s="11">
        <v>46058</v>
      </c>
      <c r="DQ39" s="140" t="s">
        <v>4</v>
      </c>
      <c r="DR39" s="144"/>
      <c r="DS39" s="145"/>
      <c r="DT39" s="145"/>
      <c r="DU39" s="146"/>
      <c r="DW39" s="11">
        <v>46058</v>
      </c>
      <c r="DX39" s="140" t="s">
        <v>4</v>
      </c>
      <c r="DY39" s="144"/>
      <c r="DZ39" s="145"/>
      <c r="EA39" s="145"/>
      <c r="EB39" s="146"/>
    </row>
    <row r="40" spans="1:132" x14ac:dyDescent="0.25">
      <c r="A40" s="11">
        <v>46059</v>
      </c>
      <c r="B40" s="33" t="s">
        <v>5</v>
      </c>
      <c r="C40" s="144" t="s">
        <v>73</v>
      </c>
      <c r="D40" s="145">
        <v>180</v>
      </c>
      <c r="E40" s="145">
        <v>15</v>
      </c>
      <c r="F40" s="146">
        <v>19</v>
      </c>
      <c r="H40" s="11">
        <v>46059</v>
      </c>
      <c r="I40" s="33" t="s">
        <v>5</v>
      </c>
      <c r="J40" s="114" t="s">
        <v>73</v>
      </c>
      <c r="K40" s="115">
        <v>250</v>
      </c>
      <c r="L40" s="115">
        <v>20.5</v>
      </c>
      <c r="M40" s="116">
        <v>0</v>
      </c>
      <c r="O40" s="11">
        <v>46059</v>
      </c>
      <c r="P40" s="33" t="s">
        <v>5</v>
      </c>
      <c r="Q40" s="114"/>
      <c r="R40" s="115"/>
      <c r="S40" s="115"/>
      <c r="T40" s="116"/>
      <c r="V40" s="11">
        <v>46059</v>
      </c>
      <c r="W40" s="33" t="s">
        <v>5</v>
      </c>
      <c r="X40" s="144" t="s">
        <v>32</v>
      </c>
      <c r="Y40" s="145">
        <v>120</v>
      </c>
      <c r="Z40" s="145">
        <v>12.6</v>
      </c>
      <c r="AA40" s="146">
        <v>10</v>
      </c>
      <c r="AC40" s="11">
        <v>46059</v>
      </c>
      <c r="AD40" s="33" t="s">
        <v>5</v>
      </c>
      <c r="AE40" s="144" t="s">
        <v>73</v>
      </c>
      <c r="AF40" s="145">
        <v>180</v>
      </c>
      <c r="AG40" s="145">
        <v>13</v>
      </c>
      <c r="AH40" s="146">
        <v>0</v>
      </c>
      <c r="AJ40" s="11">
        <v>46059</v>
      </c>
      <c r="AK40" s="33" t="s">
        <v>5</v>
      </c>
      <c r="AL40" s="144" t="s">
        <v>32</v>
      </c>
      <c r="AM40" s="145">
        <v>250</v>
      </c>
      <c r="AN40" s="145">
        <v>0</v>
      </c>
      <c r="AO40" s="146">
        <v>10</v>
      </c>
      <c r="AQ40" s="11">
        <v>46059</v>
      </c>
      <c r="AR40" s="33" t="s">
        <v>5</v>
      </c>
      <c r="AS40" s="114" t="s">
        <v>73</v>
      </c>
      <c r="AT40" s="115">
        <v>120</v>
      </c>
      <c r="AU40" s="145">
        <v>13</v>
      </c>
      <c r="AV40" s="146">
        <v>0</v>
      </c>
      <c r="AX40" s="11">
        <v>46059</v>
      </c>
      <c r="AY40" s="33" t="s">
        <v>5</v>
      </c>
      <c r="AZ40" s="114" t="s">
        <v>32</v>
      </c>
      <c r="BA40" s="115">
        <v>120</v>
      </c>
      <c r="BB40" s="145">
        <v>0</v>
      </c>
      <c r="BC40" s="146">
        <v>10</v>
      </c>
      <c r="BE40" s="11">
        <v>46059</v>
      </c>
      <c r="BF40" s="33" t="s">
        <v>5</v>
      </c>
      <c r="BG40" s="33"/>
      <c r="BH40" s="19"/>
      <c r="BI40" s="19"/>
      <c r="BJ40" s="20"/>
      <c r="BL40" s="11">
        <v>46059</v>
      </c>
      <c r="BM40" s="33" t="s">
        <v>5</v>
      </c>
      <c r="BN40" s="144" t="s">
        <v>73</v>
      </c>
      <c r="BO40" s="145">
        <v>120</v>
      </c>
      <c r="BP40" s="145">
        <v>13</v>
      </c>
      <c r="BQ40" s="146">
        <v>0</v>
      </c>
      <c r="BS40" s="11">
        <v>46059</v>
      </c>
      <c r="BT40" s="33" t="s">
        <v>5</v>
      </c>
      <c r="BU40" s="114"/>
      <c r="BV40" s="115"/>
      <c r="BW40" s="115"/>
      <c r="BX40" s="116"/>
      <c r="BZ40" s="11">
        <v>46059</v>
      </c>
      <c r="CA40" s="33" t="s">
        <v>5</v>
      </c>
      <c r="CB40" s="144" t="s">
        <v>32</v>
      </c>
      <c r="CC40" s="145">
        <v>120</v>
      </c>
      <c r="CD40" s="145">
        <v>0</v>
      </c>
      <c r="CE40" s="146">
        <v>10</v>
      </c>
      <c r="CG40" s="11">
        <v>46059</v>
      </c>
      <c r="CH40" s="33" t="s">
        <v>5</v>
      </c>
      <c r="CI40" s="114" t="s">
        <v>36</v>
      </c>
      <c r="CJ40" s="115">
        <v>0</v>
      </c>
      <c r="CK40" s="145">
        <v>0</v>
      </c>
      <c r="CL40" s="146">
        <v>0</v>
      </c>
      <c r="CN40" s="11">
        <v>46059</v>
      </c>
      <c r="CO40" s="33" t="s">
        <v>5</v>
      </c>
      <c r="CP40" s="144" t="s">
        <v>32</v>
      </c>
      <c r="CQ40" s="145">
        <v>135</v>
      </c>
      <c r="CR40" s="145">
        <v>13</v>
      </c>
      <c r="CS40" s="146">
        <v>10</v>
      </c>
      <c r="CU40" s="11">
        <v>46059</v>
      </c>
      <c r="CV40" s="140" t="s">
        <v>5</v>
      </c>
      <c r="CW40" s="114"/>
      <c r="CX40" s="115"/>
      <c r="CY40" s="145"/>
      <c r="CZ40" s="146"/>
      <c r="DB40" s="11">
        <v>46059</v>
      </c>
      <c r="DC40" s="140" t="s">
        <v>5</v>
      </c>
      <c r="DD40" s="114"/>
      <c r="DE40" s="115"/>
      <c r="DF40" s="145"/>
      <c r="DG40" s="146"/>
      <c r="DI40" s="11">
        <v>46059</v>
      </c>
      <c r="DJ40" s="140" t="s">
        <v>5</v>
      </c>
      <c r="DK40" s="114"/>
      <c r="DL40" s="115"/>
      <c r="DM40" s="145"/>
      <c r="DN40" s="146"/>
      <c r="DP40" s="11">
        <v>46059</v>
      </c>
      <c r="DQ40" s="140" t="s">
        <v>5</v>
      </c>
      <c r="DR40" s="114"/>
      <c r="DS40" s="115"/>
      <c r="DT40" s="145"/>
      <c r="DU40" s="146"/>
      <c r="DW40" s="11">
        <v>46059</v>
      </c>
      <c r="DX40" s="140" t="s">
        <v>5</v>
      </c>
      <c r="DY40" s="114"/>
      <c r="DZ40" s="115"/>
      <c r="EA40" s="145"/>
      <c r="EB40" s="146"/>
    </row>
    <row r="41" spans="1:132" x14ac:dyDescent="0.25">
      <c r="A41" s="11">
        <v>46060</v>
      </c>
      <c r="B41" s="33" t="s">
        <v>6</v>
      </c>
      <c r="C41" s="144" t="s">
        <v>73</v>
      </c>
      <c r="D41" s="145">
        <v>180</v>
      </c>
      <c r="E41" s="145">
        <v>15</v>
      </c>
      <c r="F41" s="146">
        <v>19</v>
      </c>
      <c r="H41" s="11">
        <v>46060</v>
      </c>
      <c r="I41" s="33" t="s">
        <v>6</v>
      </c>
      <c r="J41" s="114" t="s">
        <v>73</v>
      </c>
      <c r="K41" s="115">
        <v>250</v>
      </c>
      <c r="L41" s="115">
        <v>20.5</v>
      </c>
      <c r="M41" s="116">
        <v>0</v>
      </c>
      <c r="O41" s="11">
        <v>46060</v>
      </c>
      <c r="P41" s="33" t="s">
        <v>6</v>
      </c>
      <c r="Q41" s="114"/>
      <c r="R41" s="115"/>
      <c r="S41" s="115"/>
      <c r="T41" s="116"/>
      <c r="V41" s="11">
        <v>46060</v>
      </c>
      <c r="W41" s="33" t="s">
        <v>6</v>
      </c>
      <c r="X41" s="144"/>
      <c r="Y41" s="145"/>
      <c r="Z41" s="115"/>
      <c r="AA41" s="116"/>
      <c r="AC41" s="11">
        <v>46060</v>
      </c>
      <c r="AD41" s="33" t="s">
        <v>6</v>
      </c>
      <c r="AE41" s="144"/>
      <c r="AF41" s="145"/>
      <c r="AG41" s="145"/>
      <c r="AH41" s="146"/>
      <c r="AJ41" s="11">
        <v>46060</v>
      </c>
      <c r="AK41" s="33" t="s">
        <v>6</v>
      </c>
      <c r="AL41" s="144"/>
      <c r="AM41" s="145"/>
      <c r="AN41" s="115"/>
      <c r="AO41" s="116"/>
      <c r="AQ41" s="11">
        <v>46060</v>
      </c>
      <c r="AR41" s="33" t="s">
        <v>6</v>
      </c>
      <c r="AS41" s="114"/>
      <c r="AT41" s="115"/>
      <c r="AU41" s="115"/>
      <c r="AV41" s="116"/>
      <c r="AX41" s="11">
        <v>46060</v>
      </c>
      <c r="AY41" s="33" t="s">
        <v>6</v>
      </c>
      <c r="AZ41" s="114"/>
      <c r="BA41" s="115"/>
      <c r="BB41" s="145"/>
      <c r="BC41" s="146"/>
      <c r="BE41" s="11">
        <v>46060</v>
      </c>
      <c r="BF41" s="33" t="s">
        <v>6</v>
      </c>
      <c r="BG41" s="33"/>
      <c r="BH41" s="19"/>
      <c r="BI41" s="19"/>
      <c r="BJ41" s="20"/>
      <c r="BL41" s="11">
        <v>46060</v>
      </c>
      <c r="BM41" s="33" t="s">
        <v>6</v>
      </c>
      <c r="BN41" s="144" t="s">
        <v>73</v>
      </c>
      <c r="BO41" s="145">
        <v>120</v>
      </c>
      <c r="BP41" s="145">
        <v>13</v>
      </c>
      <c r="BQ41" s="146">
        <v>0</v>
      </c>
      <c r="BS41" s="11">
        <v>46060</v>
      </c>
      <c r="BT41" s="33" t="s">
        <v>6</v>
      </c>
      <c r="BU41" s="114"/>
      <c r="BV41" s="115"/>
      <c r="BW41" s="115"/>
      <c r="BX41" s="116"/>
      <c r="BZ41" s="11">
        <v>46060</v>
      </c>
      <c r="CA41" s="33" t="s">
        <v>6</v>
      </c>
      <c r="CB41" s="144"/>
      <c r="CC41" s="145"/>
      <c r="CD41" s="145"/>
      <c r="CE41" s="146"/>
      <c r="CG41" s="11">
        <v>46060</v>
      </c>
      <c r="CH41" s="33" t="s">
        <v>6</v>
      </c>
      <c r="CI41" s="114"/>
      <c r="CJ41" s="115"/>
      <c r="CK41" s="115"/>
      <c r="CL41" s="116"/>
      <c r="CN41" s="11">
        <v>46060</v>
      </c>
      <c r="CO41" s="33" t="s">
        <v>6</v>
      </c>
      <c r="CP41" s="144" t="s">
        <v>75</v>
      </c>
      <c r="CQ41" s="145">
        <v>135</v>
      </c>
      <c r="CR41" s="145">
        <v>13</v>
      </c>
      <c r="CS41" s="146">
        <v>0</v>
      </c>
      <c r="CU41" s="11">
        <v>46060</v>
      </c>
      <c r="CV41" s="140" t="s">
        <v>6</v>
      </c>
      <c r="CW41" s="114"/>
      <c r="CX41" s="115"/>
      <c r="CY41" s="115"/>
      <c r="CZ41" s="116"/>
      <c r="DB41" s="11">
        <v>46060</v>
      </c>
      <c r="DC41" s="140" t="s">
        <v>6</v>
      </c>
      <c r="DD41" s="114"/>
      <c r="DE41" s="115"/>
      <c r="DF41" s="115"/>
      <c r="DG41" s="116"/>
      <c r="DI41" s="11">
        <v>46060</v>
      </c>
      <c r="DJ41" s="140" t="s">
        <v>6</v>
      </c>
      <c r="DK41" s="114"/>
      <c r="DL41" s="115"/>
      <c r="DM41" s="115"/>
      <c r="DN41" s="116"/>
      <c r="DP41" s="11">
        <v>46060</v>
      </c>
      <c r="DQ41" s="140" t="s">
        <v>6</v>
      </c>
      <c r="DR41" s="114"/>
      <c r="DS41" s="115"/>
      <c r="DT41" s="115"/>
      <c r="DU41" s="116"/>
      <c r="DW41" s="11">
        <v>46060</v>
      </c>
      <c r="DX41" s="140" t="s">
        <v>6</v>
      </c>
      <c r="DY41" s="114"/>
      <c r="DZ41" s="115"/>
      <c r="EA41" s="115"/>
      <c r="EB41" s="116"/>
    </row>
    <row r="42" spans="1:132" x14ac:dyDescent="0.25">
      <c r="A42" s="11">
        <v>46061</v>
      </c>
      <c r="B42" s="33" t="s">
        <v>7</v>
      </c>
      <c r="C42" s="144"/>
      <c r="D42" s="145"/>
      <c r="E42" s="145"/>
      <c r="F42" s="146"/>
      <c r="H42" s="11">
        <v>46061</v>
      </c>
      <c r="I42" s="33" t="s">
        <v>7</v>
      </c>
      <c r="J42" s="114"/>
      <c r="K42" s="115"/>
      <c r="L42" s="115"/>
      <c r="M42" s="116"/>
      <c r="O42" s="11">
        <v>46061</v>
      </c>
      <c r="P42" s="33" t="s">
        <v>7</v>
      </c>
      <c r="Q42" s="114"/>
      <c r="R42" s="115"/>
      <c r="S42" s="115"/>
      <c r="T42" s="116"/>
      <c r="V42" s="11">
        <v>46061</v>
      </c>
      <c r="W42" s="33" t="s">
        <v>7</v>
      </c>
      <c r="X42" s="144"/>
      <c r="Y42" s="145"/>
      <c r="Z42" s="115"/>
      <c r="AA42" s="116"/>
      <c r="AC42" s="11">
        <v>46061</v>
      </c>
      <c r="AD42" s="33" t="s">
        <v>7</v>
      </c>
      <c r="AE42" s="144"/>
      <c r="AF42" s="145"/>
      <c r="AG42" s="145"/>
      <c r="AH42" s="146"/>
      <c r="AJ42" s="11">
        <v>46061</v>
      </c>
      <c r="AK42" s="33" t="s">
        <v>7</v>
      </c>
      <c r="AL42" s="144"/>
      <c r="AM42" s="145"/>
      <c r="AN42" s="145"/>
      <c r="AO42" s="146"/>
      <c r="AQ42" s="11">
        <v>46061</v>
      </c>
      <c r="AR42" s="33" t="s">
        <v>7</v>
      </c>
      <c r="AS42" s="114"/>
      <c r="AT42" s="115"/>
      <c r="AU42" s="145"/>
      <c r="AV42" s="146"/>
      <c r="AX42" s="11">
        <v>46061</v>
      </c>
      <c r="AY42" s="33" t="s">
        <v>7</v>
      </c>
      <c r="AZ42" s="114"/>
      <c r="BA42" s="115"/>
      <c r="BB42" s="145"/>
      <c r="BC42" s="146"/>
      <c r="BE42" s="11">
        <v>46061</v>
      </c>
      <c r="BF42" s="33" t="s">
        <v>7</v>
      </c>
      <c r="BG42" s="33"/>
      <c r="BH42" s="19"/>
      <c r="BI42" s="19"/>
      <c r="BJ42" s="20"/>
      <c r="BL42" s="11">
        <v>46061</v>
      </c>
      <c r="BM42" s="33" t="s">
        <v>7</v>
      </c>
      <c r="BN42" s="144"/>
      <c r="BO42" s="145"/>
      <c r="BP42" s="145"/>
      <c r="BQ42" s="146"/>
      <c r="BS42" s="11">
        <v>46061</v>
      </c>
      <c r="BT42" s="33" t="s">
        <v>7</v>
      </c>
      <c r="BU42" s="114"/>
      <c r="BV42" s="115"/>
      <c r="BW42" s="115"/>
      <c r="BX42" s="116"/>
      <c r="BZ42" s="11">
        <v>46061</v>
      </c>
      <c r="CA42" s="33" t="s">
        <v>7</v>
      </c>
      <c r="CB42" s="144"/>
      <c r="CC42" s="145"/>
      <c r="CD42" s="145"/>
      <c r="CE42" s="146"/>
      <c r="CG42" s="11">
        <v>46061</v>
      </c>
      <c r="CH42" s="33" t="s">
        <v>7</v>
      </c>
      <c r="CI42" s="114"/>
      <c r="CJ42" s="115"/>
      <c r="CK42" s="115"/>
      <c r="CL42" s="116"/>
      <c r="CN42" s="11">
        <v>46061</v>
      </c>
      <c r="CO42" s="33" t="s">
        <v>7</v>
      </c>
      <c r="CP42" s="144"/>
      <c r="CQ42" s="145"/>
      <c r="CR42" s="145"/>
      <c r="CS42" s="146"/>
      <c r="CU42" s="11">
        <v>46061</v>
      </c>
      <c r="CV42" s="140" t="s">
        <v>7</v>
      </c>
      <c r="CW42" s="114"/>
      <c r="CX42" s="115"/>
      <c r="CY42" s="115"/>
      <c r="CZ42" s="116"/>
      <c r="DB42" s="11">
        <v>46061</v>
      </c>
      <c r="DC42" s="140" t="s">
        <v>7</v>
      </c>
      <c r="DD42" s="114"/>
      <c r="DE42" s="115"/>
      <c r="DF42" s="115"/>
      <c r="DG42" s="116"/>
      <c r="DI42" s="11">
        <v>46061</v>
      </c>
      <c r="DJ42" s="140" t="s">
        <v>7</v>
      </c>
      <c r="DK42" s="114"/>
      <c r="DL42" s="115"/>
      <c r="DM42" s="115"/>
      <c r="DN42" s="116"/>
      <c r="DP42" s="11">
        <v>46061</v>
      </c>
      <c r="DQ42" s="140" t="s">
        <v>7</v>
      </c>
      <c r="DR42" s="114"/>
      <c r="DS42" s="115"/>
      <c r="DT42" s="115"/>
      <c r="DU42" s="116"/>
      <c r="DW42" s="11">
        <v>46061</v>
      </c>
      <c r="DX42" s="140" t="s">
        <v>7</v>
      </c>
      <c r="DY42" s="114"/>
      <c r="DZ42" s="115"/>
      <c r="EA42" s="115"/>
      <c r="EB42" s="116"/>
    </row>
    <row r="43" spans="1:132" x14ac:dyDescent="0.25">
      <c r="A43" s="11">
        <v>46062</v>
      </c>
      <c r="B43" s="33" t="s">
        <v>8</v>
      </c>
      <c r="C43" s="144" t="s">
        <v>73</v>
      </c>
      <c r="D43" s="145">
        <v>180</v>
      </c>
      <c r="E43" s="145">
        <v>15</v>
      </c>
      <c r="F43" s="146">
        <v>19</v>
      </c>
      <c r="H43" s="11">
        <v>46062</v>
      </c>
      <c r="I43" s="33" t="s">
        <v>8</v>
      </c>
      <c r="J43" s="114" t="s">
        <v>73</v>
      </c>
      <c r="K43" s="115">
        <v>250</v>
      </c>
      <c r="L43" s="115">
        <v>20.5</v>
      </c>
      <c r="M43" s="116">
        <v>0</v>
      </c>
      <c r="O43" s="11">
        <v>46062</v>
      </c>
      <c r="P43" s="33" t="s">
        <v>8</v>
      </c>
      <c r="Q43" s="114"/>
      <c r="R43" s="115"/>
      <c r="S43" s="115"/>
      <c r="T43" s="116"/>
      <c r="V43" s="11">
        <v>46062</v>
      </c>
      <c r="W43" s="33" t="s">
        <v>8</v>
      </c>
      <c r="X43" s="144" t="s">
        <v>32</v>
      </c>
      <c r="Y43" s="145">
        <v>60</v>
      </c>
      <c r="Z43" s="145">
        <f>12.6/2</f>
        <v>6.3</v>
      </c>
      <c r="AA43" s="146">
        <v>10</v>
      </c>
      <c r="AC43" s="11">
        <v>46062</v>
      </c>
      <c r="AD43" s="33" t="s">
        <v>8</v>
      </c>
      <c r="AE43" s="144" t="s">
        <v>73</v>
      </c>
      <c r="AF43" s="145">
        <v>180</v>
      </c>
      <c r="AG43" s="145">
        <v>13</v>
      </c>
      <c r="AH43" s="146">
        <v>0</v>
      </c>
      <c r="AJ43" s="11">
        <v>46062</v>
      </c>
      <c r="AK43" s="33" t="s">
        <v>8</v>
      </c>
      <c r="AL43" s="144" t="s">
        <v>32</v>
      </c>
      <c r="AM43" s="145">
        <v>250</v>
      </c>
      <c r="AN43" s="145">
        <v>0</v>
      </c>
      <c r="AO43" s="146">
        <v>10</v>
      </c>
      <c r="AQ43" s="11">
        <v>46062</v>
      </c>
      <c r="AR43" s="33" t="s">
        <v>8</v>
      </c>
      <c r="AS43" s="114" t="s">
        <v>36</v>
      </c>
      <c r="AT43" s="115">
        <v>0</v>
      </c>
      <c r="AU43" s="145">
        <v>0</v>
      </c>
      <c r="AV43" s="146">
        <v>0</v>
      </c>
      <c r="AX43" s="11">
        <v>46062</v>
      </c>
      <c r="AY43" s="33" t="s">
        <v>8</v>
      </c>
      <c r="AZ43" s="114" t="s">
        <v>32</v>
      </c>
      <c r="BA43" s="115">
        <v>60</v>
      </c>
      <c r="BB43" s="145">
        <v>13</v>
      </c>
      <c r="BC43" s="146">
        <v>10</v>
      </c>
      <c r="BE43" s="11">
        <v>46062</v>
      </c>
      <c r="BF43" s="33" t="s">
        <v>8</v>
      </c>
      <c r="BG43" s="33"/>
      <c r="BH43" s="19"/>
      <c r="BI43" s="19"/>
      <c r="BJ43" s="20"/>
      <c r="BL43" s="11">
        <v>46062</v>
      </c>
      <c r="BM43" s="33" t="s">
        <v>8</v>
      </c>
      <c r="BN43" s="144" t="s">
        <v>73</v>
      </c>
      <c r="BO43" s="145">
        <v>120</v>
      </c>
      <c r="BP43" s="145">
        <v>13</v>
      </c>
      <c r="BQ43" s="146">
        <v>0</v>
      </c>
      <c r="BS43" s="11">
        <v>46062</v>
      </c>
      <c r="BT43" s="33" t="s">
        <v>8</v>
      </c>
      <c r="BU43" s="114"/>
      <c r="BV43" s="115"/>
      <c r="BW43" s="115"/>
      <c r="BX43" s="116"/>
      <c r="BZ43" s="11">
        <v>46062</v>
      </c>
      <c r="CA43" s="33" t="s">
        <v>8</v>
      </c>
      <c r="CB43" s="144" t="s">
        <v>32</v>
      </c>
      <c r="CC43" s="145">
        <v>60</v>
      </c>
      <c r="CD43" s="145">
        <v>0</v>
      </c>
      <c r="CE43" s="146">
        <v>10</v>
      </c>
      <c r="CG43" s="11">
        <v>46062</v>
      </c>
      <c r="CH43" s="33" t="s">
        <v>8</v>
      </c>
      <c r="CI43" s="114"/>
      <c r="CJ43" s="115"/>
      <c r="CK43" s="115"/>
      <c r="CL43" s="116"/>
      <c r="CN43" s="11">
        <v>46062</v>
      </c>
      <c r="CO43" s="33" t="s">
        <v>8</v>
      </c>
      <c r="CP43" s="144" t="s">
        <v>32</v>
      </c>
      <c r="CQ43" s="145">
        <v>135</v>
      </c>
      <c r="CR43" s="145">
        <v>13</v>
      </c>
      <c r="CS43" s="146">
        <v>10</v>
      </c>
      <c r="CU43" s="11">
        <v>46062</v>
      </c>
      <c r="CV43" s="140" t="s">
        <v>8</v>
      </c>
      <c r="CW43" s="114"/>
      <c r="CX43" s="115"/>
      <c r="CY43" s="115"/>
      <c r="CZ43" s="116"/>
      <c r="DB43" s="11">
        <v>46062</v>
      </c>
      <c r="DC43" s="140" t="s">
        <v>8</v>
      </c>
      <c r="DD43" s="114"/>
      <c r="DE43" s="115"/>
      <c r="DF43" s="115"/>
      <c r="DG43" s="116"/>
      <c r="DI43" s="11">
        <v>46062</v>
      </c>
      <c r="DJ43" s="140" t="s">
        <v>8</v>
      </c>
      <c r="DK43" s="114"/>
      <c r="DL43" s="115"/>
      <c r="DM43" s="115"/>
      <c r="DN43" s="116"/>
      <c r="DP43" s="11">
        <v>46062</v>
      </c>
      <c r="DQ43" s="140" t="s">
        <v>8</v>
      </c>
      <c r="DR43" s="114"/>
      <c r="DS43" s="115"/>
      <c r="DT43" s="115"/>
      <c r="DU43" s="116"/>
      <c r="DW43" s="11">
        <v>46062</v>
      </c>
      <c r="DX43" s="140" t="s">
        <v>8</v>
      </c>
      <c r="DY43" s="114"/>
      <c r="DZ43" s="115"/>
      <c r="EA43" s="115"/>
      <c r="EB43" s="116"/>
    </row>
    <row r="44" spans="1:132" x14ac:dyDescent="0.25">
      <c r="A44" s="11">
        <v>46063</v>
      </c>
      <c r="B44" s="33" t="s">
        <v>9</v>
      </c>
      <c r="C44" s="144" t="s">
        <v>73</v>
      </c>
      <c r="D44" s="145">
        <v>180</v>
      </c>
      <c r="E44" s="145">
        <v>15</v>
      </c>
      <c r="F44" s="146">
        <v>19</v>
      </c>
      <c r="H44" s="11">
        <v>46063</v>
      </c>
      <c r="I44" s="33" t="s">
        <v>9</v>
      </c>
      <c r="J44" s="114" t="s">
        <v>73</v>
      </c>
      <c r="K44" s="115">
        <v>250</v>
      </c>
      <c r="L44" s="115">
        <v>20.5</v>
      </c>
      <c r="M44" s="116">
        <v>0</v>
      </c>
      <c r="O44" s="11">
        <v>46063</v>
      </c>
      <c r="P44" s="33" t="s">
        <v>9</v>
      </c>
      <c r="Q44" s="114"/>
      <c r="R44" s="115"/>
      <c r="S44" s="115"/>
      <c r="T44" s="116"/>
      <c r="V44" s="11">
        <v>46062</v>
      </c>
      <c r="W44" s="33" t="s">
        <v>8</v>
      </c>
      <c r="X44" s="144" t="s">
        <v>73</v>
      </c>
      <c r="Y44" s="145">
        <v>60</v>
      </c>
      <c r="Z44" s="145">
        <f>12.6/2</f>
        <v>6.3</v>
      </c>
      <c r="AA44" s="146">
        <v>0</v>
      </c>
      <c r="AC44" s="11">
        <v>46063</v>
      </c>
      <c r="AD44" s="33" t="s">
        <v>9</v>
      </c>
      <c r="AE44" s="144" t="s">
        <v>73</v>
      </c>
      <c r="AF44" s="145">
        <v>180</v>
      </c>
      <c r="AG44" s="145">
        <v>13</v>
      </c>
      <c r="AH44" s="146">
        <v>0</v>
      </c>
      <c r="AJ44" s="11">
        <v>46063</v>
      </c>
      <c r="AK44" s="33" t="s">
        <v>9</v>
      </c>
      <c r="AL44" s="144" t="s">
        <v>73</v>
      </c>
      <c r="AM44" s="145">
        <v>250</v>
      </c>
      <c r="AN44" s="145">
        <v>0</v>
      </c>
      <c r="AO44" s="146">
        <v>0</v>
      </c>
      <c r="AQ44" s="11">
        <v>46063</v>
      </c>
      <c r="AR44" s="33" t="s">
        <v>9</v>
      </c>
      <c r="AS44" s="114" t="s">
        <v>36</v>
      </c>
      <c r="AT44" s="115">
        <v>0</v>
      </c>
      <c r="AU44" s="145">
        <v>0</v>
      </c>
      <c r="AV44" s="146">
        <v>0</v>
      </c>
      <c r="AX44" s="11">
        <v>46062</v>
      </c>
      <c r="AY44" s="33" t="s">
        <v>8</v>
      </c>
      <c r="AZ44" s="114" t="s">
        <v>73</v>
      </c>
      <c r="BA44" s="115">
        <v>60</v>
      </c>
      <c r="BB44" s="145">
        <f>13/2</f>
        <v>6.5</v>
      </c>
      <c r="BC44" s="146">
        <v>0</v>
      </c>
      <c r="BE44" s="11">
        <v>46063</v>
      </c>
      <c r="BF44" s="33" t="s">
        <v>9</v>
      </c>
      <c r="BG44" s="33"/>
      <c r="BH44" s="19"/>
      <c r="BI44" s="19"/>
      <c r="BJ44" s="20"/>
      <c r="BL44" s="11">
        <v>46063</v>
      </c>
      <c r="BM44" s="33" t="s">
        <v>9</v>
      </c>
      <c r="BN44" s="144" t="s">
        <v>73</v>
      </c>
      <c r="BO44" s="145">
        <v>120</v>
      </c>
      <c r="BP44" s="145">
        <v>13</v>
      </c>
      <c r="BQ44" s="146">
        <v>0</v>
      </c>
      <c r="BS44" s="11">
        <v>46063</v>
      </c>
      <c r="BT44" s="33" t="s">
        <v>9</v>
      </c>
      <c r="BU44" s="114"/>
      <c r="BV44" s="115"/>
      <c r="BW44" s="115"/>
      <c r="BX44" s="116"/>
      <c r="BZ44" s="11">
        <v>46062</v>
      </c>
      <c r="CA44" s="33" t="s">
        <v>8</v>
      </c>
      <c r="CB44" s="144" t="s">
        <v>73</v>
      </c>
      <c r="CC44" s="145">
        <v>60</v>
      </c>
      <c r="CD44" s="145">
        <v>0</v>
      </c>
      <c r="CE44" s="146">
        <v>0</v>
      </c>
      <c r="CG44" s="11">
        <v>46063</v>
      </c>
      <c r="CH44" s="33" t="s">
        <v>9</v>
      </c>
      <c r="CI44" s="114"/>
      <c r="CJ44" s="115"/>
      <c r="CK44" s="115"/>
      <c r="CL44" s="116"/>
      <c r="CN44" s="11">
        <v>46063</v>
      </c>
      <c r="CO44" s="33" t="s">
        <v>9</v>
      </c>
      <c r="CP44" s="140" t="s">
        <v>73</v>
      </c>
      <c r="CQ44" s="160">
        <v>135</v>
      </c>
      <c r="CR44" s="160">
        <v>13</v>
      </c>
      <c r="CS44" s="164">
        <v>0</v>
      </c>
      <c r="CU44" s="11">
        <v>46063</v>
      </c>
      <c r="CV44" s="140" t="s">
        <v>9</v>
      </c>
      <c r="CW44" s="114"/>
      <c r="CX44" s="115"/>
      <c r="CY44" s="115"/>
      <c r="CZ44" s="116"/>
      <c r="DB44" s="11">
        <v>46063</v>
      </c>
      <c r="DC44" s="33" t="s">
        <v>9</v>
      </c>
      <c r="DD44" s="144" t="s">
        <v>73</v>
      </c>
      <c r="DE44" s="145">
        <v>200</v>
      </c>
      <c r="DF44" s="145">
        <v>13</v>
      </c>
      <c r="DG44" s="146">
        <v>0</v>
      </c>
      <c r="DI44" s="11">
        <v>46063</v>
      </c>
      <c r="DJ44" s="140" t="s">
        <v>9</v>
      </c>
      <c r="DK44" s="114"/>
      <c r="DL44" s="115"/>
      <c r="DM44" s="115"/>
      <c r="DN44" s="116"/>
      <c r="DP44" s="11">
        <v>46063</v>
      </c>
      <c r="DQ44" s="140" t="s">
        <v>9</v>
      </c>
      <c r="DR44" s="114"/>
      <c r="DS44" s="115"/>
      <c r="DT44" s="115"/>
      <c r="DU44" s="116"/>
      <c r="DW44" s="11">
        <v>46063</v>
      </c>
      <c r="DX44" s="140" t="s">
        <v>9</v>
      </c>
      <c r="DY44" s="114"/>
      <c r="DZ44" s="115"/>
      <c r="EA44" s="115"/>
      <c r="EB44" s="116"/>
    </row>
    <row r="45" spans="1:132" x14ac:dyDescent="0.25">
      <c r="A45" s="11">
        <v>46064</v>
      </c>
      <c r="B45" s="33" t="s">
        <v>3</v>
      </c>
      <c r="C45" s="144" t="s">
        <v>73</v>
      </c>
      <c r="D45" s="145">
        <v>180</v>
      </c>
      <c r="E45" s="145">
        <v>15</v>
      </c>
      <c r="F45" s="146">
        <v>19</v>
      </c>
      <c r="H45" s="11">
        <v>46064</v>
      </c>
      <c r="I45" s="33" t="s">
        <v>3</v>
      </c>
      <c r="J45" s="114" t="s">
        <v>73</v>
      </c>
      <c r="K45" s="115">
        <v>250</v>
      </c>
      <c r="L45" s="115">
        <v>20.5</v>
      </c>
      <c r="M45" s="116">
        <v>0</v>
      </c>
      <c r="O45" s="11">
        <v>46064</v>
      </c>
      <c r="P45" s="33" t="s">
        <v>3</v>
      </c>
      <c r="Q45" s="114"/>
      <c r="R45" s="115"/>
      <c r="S45" s="115"/>
      <c r="T45" s="116"/>
      <c r="V45" s="11">
        <v>46063</v>
      </c>
      <c r="W45" s="33" t="s">
        <v>9</v>
      </c>
      <c r="X45" s="144" t="s">
        <v>73</v>
      </c>
      <c r="Y45" s="145">
        <v>120</v>
      </c>
      <c r="Z45" s="145">
        <v>12.6</v>
      </c>
      <c r="AA45" s="146">
        <v>0</v>
      </c>
      <c r="AC45" s="11">
        <v>46064</v>
      </c>
      <c r="AD45" s="33" t="s">
        <v>3</v>
      </c>
      <c r="AE45" s="144" t="s">
        <v>73</v>
      </c>
      <c r="AF45" s="145">
        <v>180</v>
      </c>
      <c r="AG45" s="145">
        <v>13</v>
      </c>
      <c r="AH45" s="146">
        <v>0</v>
      </c>
      <c r="AJ45" s="11">
        <v>46064</v>
      </c>
      <c r="AK45" s="33" t="s">
        <v>3</v>
      </c>
      <c r="AL45" s="144" t="s">
        <v>32</v>
      </c>
      <c r="AM45" s="145">
        <v>250</v>
      </c>
      <c r="AN45" s="145">
        <v>0</v>
      </c>
      <c r="AO45" s="146">
        <v>10</v>
      </c>
      <c r="AQ45" s="11">
        <v>46064</v>
      </c>
      <c r="AR45" s="33" t="s">
        <v>3</v>
      </c>
      <c r="AS45" s="114" t="s">
        <v>73</v>
      </c>
      <c r="AT45" s="115">
        <v>120</v>
      </c>
      <c r="AU45" s="145">
        <v>13</v>
      </c>
      <c r="AV45" s="146">
        <v>0</v>
      </c>
      <c r="AX45" s="11">
        <v>46063</v>
      </c>
      <c r="AY45" s="33" t="s">
        <v>9</v>
      </c>
      <c r="AZ45" s="114" t="s">
        <v>73</v>
      </c>
      <c r="BA45" s="115">
        <v>120</v>
      </c>
      <c r="BB45" s="145">
        <v>13</v>
      </c>
      <c r="BC45" s="146">
        <v>0</v>
      </c>
      <c r="BE45" s="11">
        <v>46064</v>
      </c>
      <c r="BF45" s="33" t="s">
        <v>3</v>
      </c>
      <c r="BG45" s="33"/>
      <c r="BH45" s="19"/>
      <c r="BI45" s="19"/>
      <c r="BJ45" s="20"/>
      <c r="BL45" s="11">
        <v>46064</v>
      </c>
      <c r="BM45" s="33" t="s">
        <v>3</v>
      </c>
      <c r="BN45" s="144" t="s">
        <v>73</v>
      </c>
      <c r="BO45" s="145">
        <v>120</v>
      </c>
      <c r="BP45" s="145">
        <v>13</v>
      </c>
      <c r="BQ45" s="146">
        <v>0</v>
      </c>
      <c r="BS45" s="11">
        <v>46064</v>
      </c>
      <c r="BT45" s="33" t="s">
        <v>3</v>
      </c>
      <c r="BU45" s="114"/>
      <c r="BV45" s="115"/>
      <c r="BW45" s="115"/>
      <c r="BX45" s="116"/>
      <c r="BZ45" s="11">
        <v>46063</v>
      </c>
      <c r="CA45" s="33" t="s">
        <v>9</v>
      </c>
      <c r="CB45" s="144" t="s">
        <v>73</v>
      </c>
      <c r="CC45" s="145">
        <v>120</v>
      </c>
      <c r="CD45" s="145">
        <v>0</v>
      </c>
      <c r="CE45" s="146">
        <v>0</v>
      </c>
      <c r="CG45" s="11">
        <v>46064</v>
      </c>
      <c r="CH45" s="33" t="s">
        <v>3</v>
      </c>
      <c r="CI45" s="114"/>
      <c r="CJ45" s="115"/>
      <c r="CK45" s="115"/>
      <c r="CL45" s="116"/>
      <c r="CN45" s="11">
        <v>46064</v>
      </c>
      <c r="CO45" s="33" t="s">
        <v>3</v>
      </c>
      <c r="CP45" s="144" t="s">
        <v>73</v>
      </c>
      <c r="CQ45" s="145">
        <v>135</v>
      </c>
      <c r="CR45" s="145">
        <v>13</v>
      </c>
      <c r="CS45" s="146">
        <v>0</v>
      </c>
      <c r="CU45" s="11">
        <v>46064</v>
      </c>
      <c r="CV45" s="33" t="s">
        <v>3</v>
      </c>
      <c r="CW45" s="144" t="s">
        <v>32</v>
      </c>
      <c r="CX45" s="145">
        <v>120</v>
      </c>
      <c r="CY45" s="145">
        <v>13</v>
      </c>
      <c r="CZ45" s="146">
        <v>10</v>
      </c>
      <c r="DB45" s="11">
        <v>46064</v>
      </c>
      <c r="DC45" s="33" t="s">
        <v>3</v>
      </c>
      <c r="DD45" s="144" t="s">
        <v>32</v>
      </c>
      <c r="DE45" s="145">
        <v>200</v>
      </c>
      <c r="DF45" s="145">
        <v>13</v>
      </c>
      <c r="DG45" s="146">
        <v>10</v>
      </c>
      <c r="DI45" s="11">
        <v>46064</v>
      </c>
      <c r="DJ45" s="33" t="s">
        <v>3</v>
      </c>
      <c r="DK45" s="114" t="s">
        <v>32</v>
      </c>
      <c r="DL45" s="115">
        <v>120</v>
      </c>
      <c r="DM45" s="145">
        <v>0</v>
      </c>
      <c r="DN45" s="146">
        <v>10</v>
      </c>
      <c r="DP45" s="166">
        <v>46064</v>
      </c>
      <c r="DQ45" s="143" t="s">
        <v>3</v>
      </c>
      <c r="DR45" s="114"/>
      <c r="DS45" s="115"/>
      <c r="DT45" s="145"/>
      <c r="DU45" s="146"/>
      <c r="DW45" s="166">
        <v>46064</v>
      </c>
      <c r="DX45" s="143" t="s">
        <v>3</v>
      </c>
      <c r="DY45" s="114"/>
      <c r="DZ45" s="115"/>
      <c r="EA45" s="145"/>
      <c r="EB45" s="146"/>
    </row>
    <row r="46" spans="1:132" x14ac:dyDescent="0.25">
      <c r="A46" s="11">
        <v>46065</v>
      </c>
      <c r="B46" s="33" t="s">
        <v>4</v>
      </c>
      <c r="C46" s="144" t="s">
        <v>73</v>
      </c>
      <c r="D46" s="145">
        <v>180</v>
      </c>
      <c r="E46" s="145">
        <v>15</v>
      </c>
      <c r="F46" s="146">
        <v>19</v>
      </c>
      <c r="H46" s="11">
        <v>46065</v>
      </c>
      <c r="I46" s="33" t="s">
        <v>4</v>
      </c>
      <c r="J46" s="114" t="s">
        <v>73</v>
      </c>
      <c r="K46" s="115">
        <v>250</v>
      </c>
      <c r="L46" s="115">
        <v>20.5</v>
      </c>
      <c r="M46" s="116">
        <v>0</v>
      </c>
      <c r="O46" s="11">
        <v>46065</v>
      </c>
      <c r="P46" s="33" t="s">
        <v>4</v>
      </c>
      <c r="Q46" s="114"/>
      <c r="R46" s="115"/>
      <c r="S46" s="115"/>
      <c r="T46" s="116"/>
      <c r="V46" s="11">
        <v>46064</v>
      </c>
      <c r="W46" s="33" t="s">
        <v>3</v>
      </c>
      <c r="X46" s="144" t="s">
        <v>36</v>
      </c>
      <c r="Y46" s="145">
        <v>0</v>
      </c>
      <c r="Z46" s="145">
        <v>0</v>
      </c>
      <c r="AA46" s="146">
        <v>0</v>
      </c>
      <c r="AC46" s="11">
        <v>46065</v>
      </c>
      <c r="AD46" s="33" t="s">
        <v>4</v>
      </c>
      <c r="AE46" s="144" t="s">
        <v>73</v>
      </c>
      <c r="AF46" s="145">
        <v>180</v>
      </c>
      <c r="AG46" s="145">
        <v>13</v>
      </c>
      <c r="AH46" s="146">
        <v>0</v>
      </c>
      <c r="AJ46" s="11">
        <v>46065</v>
      </c>
      <c r="AK46" s="33" t="s">
        <v>4</v>
      </c>
      <c r="AL46" s="144" t="s">
        <v>32</v>
      </c>
      <c r="AM46" s="145">
        <v>250</v>
      </c>
      <c r="AN46" s="145">
        <v>0</v>
      </c>
      <c r="AO46" s="146">
        <v>10</v>
      </c>
      <c r="AQ46" s="11">
        <v>46065</v>
      </c>
      <c r="AR46" s="33" t="s">
        <v>4</v>
      </c>
      <c r="AS46" s="114" t="s">
        <v>73</v>
      </c>
      <c r="AT46" s="115">
        <v>120</v>
      </c>
      <c r="AU46" s="145">
        <v>13</v>
      </c>
      <c r="AV46" s="146">
        <v>0</v>
      </c>
      <c r="AX46" s="11">
        <v>46064</v>
      </c>
      <c r="AY46" s="33" t="s">
        <v>3</v>
      </c>
      <c r="AZ46" s="114" t="s">
        <v>32</v>
      </c>
      <c r="BA46" s="115">
        <v>120</v>
      </c>
      <c r="BB46" s="145">
        <v>13</v>
      </c>
      <c r="BC46" s="146">
        <v>10</v>
      </c>
      <c r="BE46" s="11">
        <v>46065</v>
      </c>
      <c r="BF46" s="33" t="s">
        <v>4</v>
      </c>
      <c r="BG46" s="33"/>
      <c r="BH46" s="19"/>
      <c r="BI46" s="19"/>
      <c r="BJ46" s="20"/>
      <c r="BL46" s="11">
        <v>46065</v>
      </c>
      <c r="BM46" s="33" t="s">
        <v>4</v>
      </c>
      <c r="BN46" s="144" t="s">
        <v>73</v>
      </c>
      <c r="BO46" s="145">
        <v>120</v>
      </c>
      <c r="BP46" s="145">
        <v>13</v>
      </c>
      <c r="BQ46" s="146">
        <v>0</v>
      </c>
      <c r="BS46" s="11">
        <v>46065</v>
      </c>
      <c r="BT46" s="33" t="s">
        <v>4</v>
      </c>
      <c r="BU46" s="114"/>
      <c r="BV46" s="115"/>
      <c r="BW46" s="115"/>
      <c r="BX46" s="116"/>
      <c r="BZ46" s="11">
        <v>46064</v>
      </c>
      <c r="CA46" s="33" t="s">
        <v>3</v>
      </c>
      <c r="CB46" s="144" t="s">
        <v>32</v>
      </c>
      <c r="CC46" s="145">
        <v>120</v>
      </c>
      <c r="CD46" s="145">
        <v>0</v>
      </c>
      <c r="CE46" s="146">
        <v>10</v>
      </c>
      <c r="CG46" s="11">
        <v>46065</v>
      </c>
      <c r="CH46" s="33" t="s">
        <v>4</v>
      </c>
      <c r="CI46" s="114"/>
      <c r="CJ46" s="115"/>
      <c r="CK46" s="115"/>
      <c r="CL46" s="116"/>
      <c r="CN46" s="11">
        <v>46065</v>
      </c>
      <c r="CO46" s="33" t="s">
        <v>4</v>
      </c>
      <c r="CP46" s="144" t="s">
        <v>73</v>
      </c>
      <c r="CQ46" s="145">
        <v>135</v>
      </c>
      <c r="CR46" s="145">
        <v>13</v>
      </c>
      <c r="CS46" s="146">
        <v>0</v>
      </c>
      <c r="CU46" s="11">
        <v>46065</v>
      </c>
      <c r="CV46" s="33" t="s">
        <v>4</v>
      </c>
      <c r="CW46" s="144" t="s">
        <v>32</v>
      </c>
      <c r="CX46" s="145">
        <v>120</v>
      </c>
      <c r="CY46" s="145">
        <v>13</v>
      </c>
      <c r="CZ46" s="146">
        <v>10</v>
      </c>
      <c r="DB46" s="11">
        <v>46065</v>
      </c>
      <c r="DC46" s="33" t="s">
        <v>4</v>
      </c>
      <c r="DD46" s="144" t="s">
        <v>32</v>
      </c>
      <c r="DE46" s="145">
        <v>200</v>
      </c>
      <c r="DF46" s="145">
        <v>13</v>
      </c>
      <c r="DG46" s="146">
        <v>10</v>
      </c>
      <c r="DI46" s="11">
        <v>46065</v>
      </c>
      <c r="DJ46" s="33" t="s">
        <v>4</v>
      </c>
      <c r="DK46" s="114" t="s">
        <v>32</v>
      </c>
      <c r="DL46" s="115">
        <v>120</v>
      </c>
      <c r="DM46" s="145">
        <v>0</v>
      </c>
      <c r="DN46" s="146">
        <v>10</v>
      </c>
      <c r="DP46" s="166">
        <v>46065</v>
      </c>
      <c r="DQ46" s="143" t="s">
        <v>4</v>
      </c>
      <c r="DR46" s="114"/>
      <c r="DS46" s="115"/>
      <c r="DT46" s="145"/>
      <c r="DU46" s="146"/>
      <c r="DW46" s="166">
        <v>46065</v>
      </c>
      <c r="DX46" s="143" t="s">
        <v>4</v>
      </c>
      <c r="DY46" s="114"/>
      <c r="DZ46" s="115"/>
      <c r="EA46" s="145"/>
      <c r="EB46" s="146"/>
    </row>
    <row r="47" spans="1:132" x14ac:dyDescent="0.25">
      <c r="A47" s="11">
        <v>46066</v>
      </c>
      <c r="B47" s="33" t="s">
        <v>5</v>
      </c>
      <c r="C47" s="144" t="s">
        <v>73</v>
      </c>
      <c r="D47" s="145">
        <v>180</v>
      </c>
      <c r="E47" s="145">
        <v>15</v>
      </c>
      <c r="F47" s="146">
        <v>19</v>
      </c>
      <c r="H47" s="11">
        <v>46066</v>
      </c>
      <c r="I47" s="33" t="s">
        <v>5</v>
      </c>
      <c r="J47" s="114" t="s">
        <v>73</v>
      </c>
      <c r="K47" s="115">
        <v>250</v>
      </c>
      <c r="L47" s="115">
        <v>20.5</v>
      </c>
      <c r="M47" s="116">
        <v>0</v>
      </c>
      <c r="O47" s="11">
        <v>46066</v>
      </c>
      <c r="P47" s="33" t="s">
        <v>5</v>
      </c>
      <c r="Q47" s="114"/>
      <c r="R47" s="115"/>
      <c r="S47" s="115"/>
      <c r="T47" s="116"/>
      <c r="V47" s="11">
        <v>46065</v>
      </c>
      <c r="W47" s="33" t="s">
        <v>4</v>
      </c>
      <c r="X47" s="144" t="s">
        <v>73</v>
      </c>
      <c r="Y47" s="145">
        <v>120</v>
      </c>
      <c r="Z47" s="145">
        <v>12.6</v>
      </c>
      <c r="AA47" s="146"/>
      <c r="AC47" s="11">
        <v>46066</v>
      </c>
      <c r="AD47" s="33" t="s">
        <v>5</v>
      </c>
      <c r="AE47" s="144" t="s">
        <v>73</v>
      </c>
      <c r="AF47" s="145">
        <v>180</v>
      </c>
      <c r="AG47" s="145">
        <v>13</v>
      </c>
      <c r="AH47" s="146">
        <v>0</v>
      </c>
      <c r="AJ47" s="11">
        <v>46066</v>
      </c>
      <c r="AK47" s="33" t="s">
        <v>5</v>
      </c>
      <c r="AL47" s="144" t="s">
        <v>32</v>
      </c>
      <c r="AM47" s="145">
        <v>250</v>
      </c>
      <c r="AN47" s="145">
        <v>0</v>
      </c>
      <c r="AO47" s="146">
        <v>10</v>
      </c>
      <c r="AQ47" s="11">
        <v>46066</v>
      </c>
      <c r="AR47" s="33" t="s">
        <v>5</v>
      </c>
      <c r="AS47" s="114" t="s">
        <v>36</v>
      </c>
      <c r="AT47" s="115">
        <v>0</v>
      </c>
      <c r="AU47" s="145">
        <v>0</v>
      </c>
      <c r="AV47" s="146">
        <v>0</v>
      </c>
      <c r="AX47" s="11">
        <v>46065</v>
      </c>
      <c r="AY47" s="33" t="s">
        <v>4</v>
      </c>
      <c r="AZ47" s="114" t="s">
        <v>32</v>
      </c>
      <c r="BA47" s="115">
        <v>120</v>
      </c>
      <c r="BB47" s="145">
        <v>13</v>
      </c>
      <c r="BC47" s="146">
        <v>10</v>
      </c>
      <c r="BE47" s="11">
        <v>46066</v>
      </c>
      <c r="BF47" s="33" t="s">
        <v>5</v>
      </c>
      <c r="BG47" s="33"/>
      <c r="BH47" s="19"/>
      <c r="BI47" s="19"/>
      <c r="BJ47" s="20"/>
      <c r="BL47" s="11">
        <v>46066</v>
      </c>
      <c r="BM47" s="33" t="s">
        <v>5</v>
      </c>
      <c r="BN47" s="144" t="s">
        <v>73</v>
      </c>
      <c r="BO47" s="145">
        <v>120</v>
      </c>
      <c r="BP47" s="145">
        <v>13</v>
      </c>
      <c r="BQ47" s="146">
        <v>0</v>
      </c>
      <c r="BS47" s="11">
        <v>46066</v>
      </c>
      <c r="BT47" s="33" t="s">
        <v>5</v>
      </c>
      <c r="BU47" s="114"/>
      <c r="BV47" s="115"/>
      <c r="BW47" s="115"/>
      <c r="BX47" s="116"/>
      <c r="BZ47" s="11">
        <v>46065</v>
      </c>
      <c r="CA47" s="33" t="s">
        <v>4</v>
      </c>
      <c r="CB47" s="144" t="s">
        <v>36</v>
      </c>
      <c r="CC47" s="145">
        <v>0</v>
      </c>
      <c r="CD47" s="145">
        <v>0</v>
      </c>
      <c r="CE47" s="146">
        <v>0</v>
      </c>
      <c r="CG47" s="11">
        <v>46066</v>
      </c>
      <c r="CH47" s="33" t="s">
        <v>5</v>
      </c>
      <c r="CI47" s="114"/>
      <c r="CJ47" s="115"/>
      <c r="CK47" s="115"/>
      <c r="CL47" s="116"/>
      <c r="CN47" s="11">
        <v>46066</v>
      </c>
      <c r="CO47" s="33" t="s">
        <v>5</v>
      </c>
      <c r="CP47" s="144" t="s">
        <v>73</v>
      </c>
      <c r="CQ47" s="145">
        <v>135</v>
      </c>
      <c r="CR47" s="145">
        <v>13</v>
      </c>
      <c r="CS47" s="146">
        <v>0</v>
      </c>
      <c r="CU47" s="11">
        <v>46066</v>
      </c>
      <c r="CV47" s="33" t="s">
        <v>5</v>
      </c>
      <c r="CW47" s="144" t="s">
        <v>32</v>
      </c>
      <c r="CX47" s="145">
        <v>120</v>
      </c>
      <c r="CY47" s="145">
        <v>13</v>
      </c>
      <c r="CZ47" s="146">
        <v>10</v>
      </c>
      <c r="DB47" s="11">
        <v>46066</v>
      </c>
      <c r="DC47" s="33" t="s">
        <v>5</v>
      </c>
      <c r="DD47" s="144" t="s">
        <v>32</v>
      </c>
      <c r="DE47" s="145">
        <v>200</v>
      </c>
      <c r="DF47" s="145">
        <v>13</v>
      </c>
      <c r="DG47" s="146">
        <v>10</v>
      </c>
      <c r="DI47" s="11">
        <v>46066</v>
      </c>
      <c r="DJ47" s="33" t="s">
        <v>5</v>
      </c>
      <c r="DK47" s="114" t="s">
        <v>32</v>
      </c>
      <c r="DL47" s="115">
        <v>120</v>
      </c>
      <c r="DM47" s="145">
        <v>0</v>
      </c>
      <c r="DN47" s="146">
        <v>10</v>
      </c>
      <c r="DP47" s="166">
        <v>46066</v>
      </c>
      <c r="DQ47" s="143" t="s">
        <v>5</v>
      </c>
      <c r="DR47" s="114"/>
      <c r="DS47" s="115"/>
      <c r="DT47" s="145"/>
      <c r="DU47" s="146"/>
      <c r="DW47" s="166">
        <v>46066</v>
      </c>
      <c r="DX47" s="143" t="s">
        <v>5</v>
      </c>
      <c r="DY47" s="114"/>
      <c r="DZ47" s="115"/>
      <c r="EA47" s="145"/>
      <c r="EB47" s="146"/>
    </row>
    <row r="48" spans="1:132" x14ac:dyDescent="0.25">
      <c r="A48" s="11">
        <v>46067</v>
      </c>
      <c r="B48" s="33" t="s">
        <v>6</v>
      </c>
      <c r="C48" s="144" t="s">
        <v>73</v>
      </c>
      <c r="D48" s="145">
        <v>180</v>
      </c>
      <c r="E48" s="145">
        <v>15</v>
      </c>
      <c r="F48" s="146">
        <v>19</v>
      </c>
      <c r="H48" s="11">
        <v>46067</v>
      </c>
      <c r="I48" s="33" t="s">
        <v>6</v>
      </c>
      <c r="J48" s="114" t="s">
        <v>73</v>
      </c>
      <c r="K48" s="115">
        <v>250</v>
      </c>
      <c r="L48" s="115">
        <v>20.5</v>
      </c>
      <c r="M48" s="116">
        <v>0</v>
      </c>
      <c r="O48" s="11">
        <v>46067</v>
      </c>
      <c r="P48" s="33" t="s">
        <v>6</v>
      </c>
      <c r="Q48" s="114"/>
      <c r="R48" s="115"/>
      <c r="S48" s="115"/>
      <c r="T48" s="116"/>
      <c r="V48" s="11">
        <v>46066</v>
      </c>
      <c r="W48" s="33" t="s">
        <v>5</v>
      </c>
      <c r="X48" s="144" t="s">
        <v>73</v>
      </c>
      <c r="Y48" s="145">
        <v>120</v>
      </c>
      <c r="Z48" s="145">
        <v>12.6</v>
      </c>
      <c r="AA48" s="146">
        <v>0</v>
      </c>
      <c r="AC48" s="11">
        <v>46067</v>
      </c>
      <c r="AD48" s="33" t="s">
        <v>6</v>
      </c>
      <c r="AE48" s="144"/>
      <c r="AF48" s="145"/>
      <c r="AG48" s="145"/>
      <c r="AH48" s="146"/>
      <c r="AJ48" s="11">
        <v>46067</v>
      </c>
      <c r="AK48" s="33" t="s">
        <v>6</v>
      </c>
      <c r="AL48" s="144"/>
      <c r="AM48" s="145"/>
      <c r="AN48" s="145"/>
      <c r="AO48" s="146"/>
      <c r="AQ48" s="11">
        <v>46067</v>
      </c>
      <c r="AR48" s="33" t="s">
        <v>6</v>
      </c>
      <c r="AS48" s="114"/>
      <c r="AT48" s="115"/>
      <c r="AU48" s="145"/>
      <c r="AV48" s="146"/>
      <c r="AX48" s="11">
        <v>46066</v>
      </c>
      <c r="AY48" s="33" t="s">
        <v>5</v>
      </c>
      <c r="AZ48" s="114" t="s">
        <v>32</v>
      </c>
      <c r="BA48" s="115">
        <v>120</v>
      </c>
      <c r="BB48" s="145">
        <v>13</v>
      </c>
      <c r="BC48" s="146">
        <v>10</v>
      </c>
      <c r="BE48" s="11">
        <v>46067</v>
      </c>
      <c r="BF48" s="33" t="s">
        <v>6</v>
      </c>
      <c r="BG48" s="33"/>
      <c r="BH48" s="19"/>
      <c r="BI48" s="19"/>
      <c r="BJ48" s="20"/>
      <c r="BL48" s="11">
        <v>46067</v>
      </c>
      <c r="BM48" s="33" t="s">
        <v>6</v>
      </c>
      <c r="BN48" s="144" t="s">
        <v>73</v>
      </c>
      <c r="BO48" s="145">
        <v>120</v>
      </c>
      <c r="BP48" s="145">
        <v>13</v>
      </c>
      <c r="BQ48" s="146">
        <v>0</v>
      </c>
      <c r="BS48" s="11">
        <v>46067</v>
      </c>
      <c r="BT48" s="33" t="s">
        <v>6</v>
      </c>
      <c r="BU48" s="114"/>
      <c r="BV48" s="115"/>
      <c r="BW48" s="115"/>
      <c r="BX48" s="116"/>
      <c r="BZ48" s="11">
        <v>46066</v>
      </c>
      <c r="CA48" s="33" t="s">
        <v>5</v>
      </c>
      <c r="CB48" s="144" t="s">
        <v>36</v>
      </c>
      <c r="CC48" s="145">
        <v>0</v>
      </c>
      <c r="CD48" s="145">
        <v>0</v>
      </c>
      <c r="CE48" s="146">
        <v>0</v>
      </c>
      <c r="CG48" s="11">
        <v>46067</v>
      </c>
      <c r="CH48" s="33" t="s">
        <v>6</v>
      </c>
      <c r="CI48" s="114"/>
      <c r="CJ48" s="115"/>
      <c r="CK48" s="115"/>
      <c r="CL48" s="116"/>
      <c r="CN48" s="11">
        <v>46067</v>
      </c>
      <c r="CO48" s="33" t="s">
        <v>6</v>
      </c>
      <c r="CP48" s="144" t="s">
        <v>73</v>
      </c>
      <c r="CQ48" s="145">
        <v>135</v>
      </c>
      <c r="CR48" s="145">
        <v>13</v>
      </c>
      <c r="CS48" s="146">
        <v>0</v>
      </c>
      <c r="CU48" s="11">
        <v>46067</v>
      </c>
      <c r="CV48" s="33" t="s">
        <v>6</v>
      </c>
      <c r="CW48" s="144"/>
      <c r="CX48" s="145"/>
      <c r="CY48" s="145"/>
      <c r="CZ48" s="146"/>
      <c r="DB48" s="11">
        <v>46067</v>
      </c>
      <c r="DC48" s="33" t="s">
        <v>6</v>
      </c>
      <c r="DD48" s="144"/>
      <c r="DE48" s="145"/>
      <c r="DF48" s="145"/>
      <c r="DG48" s="146"/>
      <c r="DI48" s="11">
        <v>46067</v>
      </c>
      <c r="DJ48" s="33" t="s">
        <v>6</v>
      </c>
      <c r="DK48" s="114"/>
      <c r="DL48" s="115"/>
      <c r="DM48" s="145"/>
      <c r="DN48" s="146"/>
      <c r="DP48" s="166">
        <v>46067</v>
      </c>
      <c r="DQ48" s="143" t="s">
        <v>6</v>
      </c>
      <c r="DR48" s="114"/>
      <c r="DS48" s="115"/>
      <c r="DT48" s="145"/>
      <c r="DU48" s="146"/>
      <c r="DW48" s="166">
        <v>46067</v>
      </c>
      <c r="DX48" s="143" t="s">
        <v>6</v>
      </c>
      <c r="DY48" s="114"/>
      <c r="DZ48" s="115"/>
      <c r="EA48" s="145"/>
      <c r="EB48" s="146"/>
    </row>
    <row r="49" spans="1:132" x14ac:dyDescent="0.25">
      <c r="A49" s="11">
        <v>46068</v>
      </c>
      <c r="B49" s="33" t="s">
        <v>7</v>
      </c>
      <c r="C49" s="144"/>
      <c r="D49" s="145"/>
      <c r="E49" s="145"/>
      <c r="F49" s="146"/>
      <c r="H49" s="11">
        <v>46068</v>
      </c>
      <c r="I49" s="33" t="s">
        <v>7</v>
      </c>
      <c r="J49" s="114"/>
      <c r="K49" s="115"/>
      <c r="L49" s="115"/>
      <c r="M49" s="116"/>
      <c r="O49" s="11">
        <v>46068</v>
      </c>
      <c r="P49" s="33" t="s">
        <v>7</v>
      </c>
      <c r="Q49" s="114"/>
      <c r="R49" s="115"/>
      <c r="S49" s="115"/>
      <c r="T49" s="116"/>
      <c r="V49" s="11">
        <v>46067</v>
      </c>
      <c r="W49" s="33" t="s">
        <v>6</v>
      </c>
      <c r="X49" s="144" t="s">
        <v>73</v>
      </c>
      <c r="Y49" s="145">
        <v>120</v>
      </c>
      <c r="Z49" s="145">
        <v>12.6</v>
      </c>
      <c r="AA49" s="146">
        <v>0</v>
      </c>
      <c r="AC49" s="11">
        <v>46068</v>
      </c>
      <c r="AD49" s="33" t="s">
        <v>7</v>
      </c>
      <c r="AE49" s="144"/>
      <c r="AF49" s="145"/>
      <c r="AG49" s="145"/>
      <c r="AH49" s="146"/>
      <c r="AJ49" s="11">
        <v>46068</v>
      </c>
      <c r="AK49" s="33" t="s">
        <v>7</v>
      </c>
      <c r="AL49" s="144"/>
      <c r="AM49" s="145"/>
      <c r="AN49" s="145"/>
      <c r="AO49" s="146"/>
      <c r="AQ49" s="11">
        <v>46068</v>
      </c>
      <c r="AR49" s="33" t="s">
        <v>7</v>
      </c>
      <c r="AS49" s="114"/>
      <c r="AT49" s="115"/>
      <c r="AU49" s="145"/>
      <c r="AV49" s="146"/>
      <c r="AX49" s="11">
        <v>46067</v>
      </c>
      <c r="AY49" s="33" t="s">
        <v>6</v>
      </c>
      <c r="AZ49" s="114"/>
      <c r="BA49" s="115"/>
      <c r="BB49" s="145"/>
      <c r="BC49" s="146"/>
      <c r="BE49" s="11">
        <v>46068</v>
      </c>
      <c r="BF49" s="33" t="s">
        <v>7</v>
      </c>
      <c r="BG49" s="33"/>
      <c r="BH49" s="19"/>
      <c r="BI49" s="19"/>
      <c r="BJ49" s="20"/>
      <c r="BL49" s="11">
        <v>46068</v>
      </c>
      <c r="BM49" s="33" t="s">
        <v>7</v>
      </c>
      <c r="BN49" s="144"/>
      <c r="BO49" s="145"/>
      <c r="BP49" s="145"/>
      <c r="BQ49" s="146"/>
      <c r="BS49" s="11">
        <v>46068</v>
      </c>
      <c r="BT49" s="33" t="s">
        <v>7</v>
      </c>
      <c r="BU49" s="114"/>
      <c r="BV49" s="115"/>
      <c r="BW49" s="115"/>
      <c r="BX49" s="116"/>
      <c r="BZ49" s="11">
        <v>46067</v>
      </c>
      <c r="CA49" s="33" t="s">
        <v>6</v>
      </c>
      <c r="CB49" s="144"/>
      <c r="CC49" s="145"/>
      <c r="CD49" s="145"/>
      <c r="CE49" s="146"/>
      <c r="CG49" s="11">
        <v>46068</v>
      </c>
      <c r="CH49" s="33" t="s">
        <v>7</v>
      </c>
      <c r="CI49" s="114"/>
      <c r="CJ49" s="115"/>
      <c r="CK49" s="115"/>
      <c r="CL49" s="116"/>
      <c r="CN49" s="11">
        <v>46068</v>
      </c>
      <c r="CO49" s="33" t="s">
        <v>7</v>
      </c>
      <c r="CP49" s="144"/>
      <c r="CQ49" s="145"/>
      <c r="CR49" s="145"/>
      <c r="CS49" s="146"/>
      <c r="CU49" s="11">
        <v>46068</v>
      </c>
      <c r="CV49" s="33" t="s">
        <v>7</v>
      </c>
      <c r="CW49" s="144"/>
      <c r="CX49" s="145"/>
      <c r="CY49" s="145"/>
      <c r="CZ49" s="146"/>
      <c r="DB49" s="11">
        <v>46068</v>
      </c>
      <c r="DC49" s="33" t="s">
        <v>7</v>
      </c>
      <c r="DD49" s="144"/>
      <c r="DE49" s="145"/>
      <c r="DF49" s="145"/>
      <c r="DG49" s="146"/>
      <c r="DI49" s="11">
        <v>46068</v>
      </c>
      <c r="DJ49" s="33" t="s">
        <v>7</v>
      </c>
      <c r="DK49" s="114"/>
      <c r="DL49" s="115"/>
      <c r="DM49" s="145"/>
      <c r="DN49" s="146"/>
      <c r="DP49" s="166">
        <v>46068</v>
      </c>
      <c r="DQ49" s="143" t="s">
        <v>7</v>
      </c>
      <c r="DR49" s="114"/>
      <c r="DS49" s="115"/>
      <c r="DT49" s="145"/>
      <c r="DU49" s="146"/>
      <c r="DW49" s="166">
        <v>46068</v>
      </c>
      <c r="DX49" s="143" t="s">
        <v>7</v>
      </c>
      <c r="DY49" s="114"/>
      <c r="DZ49" s="115"/>
      <c r="EA49" s="145"/>
      <c r="EB49" s="146"/>
    </row>
    <row r="50" spans="1:132" x14ac:dyDescent="0.25">
      <c r="A50" s="11">
        <v>46069</v>
      </c>
      <c r="B50" s="33" t="s">
        <v>8</v>
      </c>
      <c r="C50" s="144" t="s">
        <v>73</v>
      </c>
      <c r="D50" s="145">
        <v>180</v>
      </c>
      <c r="E50" s="145">
        <v>15</v>
      </c>
      <c r="F50" s="146">
        <v>19</v>
      </c>
      <c r="H50" s="11">
        <v>46069</v>
      </c>
      <c r="I50" s="33" t="s">
        <v>8</v>
      </c>
      <c r="J50" s="114" t="s">
        <v>73</v>
      </c>
      <c r="K50" s="115">
        <v>250</v>
      </c>
      <c r="L50" s="115">
        <v>20.5</v>
      </c>
      <c r="M50" s="116">
        <v>0</v>
      </c>
      <c r="O50" s="11">
        <v>46069</v>
      </c>
      <c r="P50" s="33" t="s">
        <v>8</v>
      </c>
      <c r="Q50" s="114" t="s">
        <v>60</v>
      </c>
      <c r="R50" s="115"/>
      <c r="S50" s="115"/>
      <c r="T50" s="116"/>
      <c r="V50" s="11">
        <v>46068</v>
      </c>
      <c r="W50" s="33" t="s">
        <v>7</v>
      </c>
      <c r="X50" s="114"/>
      <c r="Y50" s="115"/>
      <c r="Z50" s="145"/>
      <c r="AA50" s="146"/>
      <c r="AC50" s="11">
        <v>46069</v>
      </c>
      <c r="AD50" s="33" t="s">
        <v>8</v>
      </c>
      <c r="AE50" s="144" t="s">
        <v>73</v>
      </c>
      <c r="AF50" s="145">
        <v>180</v>
      </c>
      <c r="AG50" s="145">
        <v>13</v>
      </c>
      <c r="AH50" s="146">
        <v>0</v>
      </c>
      <c r="AJ50" s="11">
        <v>46069</v>
      </c>
      <c r="AK50" s="33" t="s">
        <v>8</v>
      </c>
      <c r="AL50" s="144" t="s">
        <v>60</v>
      </c>
      <c r="AM50" s="145"/>
      <c r="AN50" s="145"/>
      <c r="AO50" s="146"/>
      <c r="AQ50" s="11">
        <v>46069</v>
      </c>
      <c r="AR50" s="33" t="s">
        <v>8</v>
      </c>
      <c r="AS50" s="114" t="s">
        <v>73</v>
      </c>
      <c r="AT50" s="115">
        <v>120</v>
      </c>
      <c r="AU50" s="145">
        <v>13</v>
      </c>
      <c r="AV50" s="146">
        <v>0</v>
      </c>
      <c r="AX50" s="11">
        <v>46068</v>
      </c>
      <c r="AY50" s="33" t="s">
        <v>7</v>
      </c>
      <c r="AZ50" s="114"/>
      <c r="BA50" s="115"/>
      <c r="BB50" s="145"/>
      <c r="BC50" s="146"/>
      <c r="BE50" s="11">
        <v>46069</v>
      </c>
      <c r="BF50" s="33" t="s">
        <v>8</v>
      </c>
      <c r="BG50" s="33" t="s">
        <v>60</v>
      </c>
      <c r="BH50" s="19"/>
      <c r="BI50" s="19"/>
      <c r="BJ50" s="20"/>
      <c r="BL50" s="11">
        <v>46069</v>
      </c>
      <c r="BM50" s="33" t="s">
        <v>8</v>
      </c>
      <c r="BN50" s="144" t="s">
        <v>73</v>
      </c>
      <c r="BO50" s="145">
        <v>120</v>
      </c>
      <c r="BP50" s="145">
        <v>13</v>
      </c>
      <c r="BQ50" s="146">
        <v>0</v>
      </c>
      <c r="BS50" s="11">
        <v>46069</v>
      </c>
      <c r="BT50" s="33" t="s">
        <v>8</v>
      </c>
      <c r="BU50" s="114" t="s">
        <v>60</v>
      </c>
      <c r="BV50" s="115"/>
      <c r="BW50" s="115"/>
      <c r="BX50" s="116"/>
      <c r="BZ50" s="11">
        <v>46068</v>
      </c>
      <c r="CA50" s="33" t="s">
        <v>7</v>
      </c>
      <c r="CB50" s="144"/>
      <c r="CC50" s="145"/>
      <c r="CD50" s="145"/>
      <c r="CE50" s="146"/>
      <c r="CG50" s="11">
        <v>46069</v>
      </c>
      <c r="CH50" s="33" t="s">
        <v>8</v>
      </c>
      <c r="CI50" s="114" t="s">
        <v>60</v>
      </c>
      <c r="CJ50" s="115"/>
      <c r="CK50" s="115"/>
      <c r="CL50" s="116"/>
      <c r="CN50" s="11">
        <v>46069</v>
      </c>
      <c r="CO50" s="33" t="s">
        <v>8</v>
      </c>
      <c r="CP50" s="144" t="s">
        <v>73</v>
      </c>
      <c r="CQ50" s="145">
        <v>180</v>
      </c>
      <c r="CR50" s="145">
        <v>13</v>
      </c>
      <c r="CS50" s="146">
        <v>0</v>
      </c>
      <c r="CU50" s="11">
        <v>46069</v>
      </c>
      <c r="CV50" s="33" t="s">
        <v>8</v>
      </c>
      <c r="CW50" s="144" t="s">
        <v>32</v>
      </c>
      <c r="CX50" s="145">
        <v>120</v>
      </c>
      <c r="CY50" s="145">
        <v>13</v>
      </c>
      <c r="CZ50" s="146">
        <v>10</v>
      </c>
      <c r="DB50" s="11">
        <v>46069</v>
      </c>
      <c r="DC50" s="33" t="s">
        <v>8</v>
      </c>
      <c r="DD50" s="144" t="s">
        <v>73</v>
      </c>
      <c r="DE50" s="145">
        <v>200</v>
      </c>
      <c r="DF50" s="145">
        <v>13</v>
      </c>
      <c r="DG50" s="146">
        <v>0</v>
      </c>
      <c r="DI50" s="11">
        <v>46069</v>
      </c>
      <c r="DJ50" s="33" t="s">
        <v>8</v>
      </c>
      <c r="DK50" s="114" t="s">
        <v>60</v>
      </c>
      <c r="DL50" s="115"/>
      <c r="DM50" s="145"/>
      <c r="DN50" s="146"/>
      <c r="DP50" s="166">
        <v>46069</v>
      </c>
      <c r="DQ50" s="143" t="s">
        <v>8</v>
      </c>
      <c r="DR50" s="114"/>
      <c r="DS50" s="115"/>
      <c r="DT50" s="145"/>
      <c r="DU50" s="146"/>
      <c r="DW50" s="166">
        <v>46069</v>
      </c>
      <c r="DX50" s="143" t="s">
        <v>8</v>
      </c>
      <c r="DY50" s="114"/>
      <c r="DZ50" s="115"/>
      <c r="EA50" s="145"/>
      <c r="EB50" s="146"/>
    </row>
    <row r="51" spans="1:132" x14ac:dyDescent="0.25">
      <c r="A51" s="11">
        <v>46070</v>
      </c>
      <c r="B51" s="33" t="s">
        <v>9</v>
      </c>
      <c r="C51" s="144" t="s">
        <v>73</v>
      </c>
      <c r="D51" s="145">
        <v>180</v>
      </c>
      <c r="E51" s="145">
        <v>15</v>
      </c>
      <c r="F51" s="146">
        <v>19</v>
      </c>
      <c r="H51" s="11">
        <v>46070</v>
      </c>
      <c r="I51" s="33" t="s">
        <v>9</v>
      </c>
      <c r="J51" s="114" t="s">
        <v>73</v>
      </c>
      <c r="K51" s="115">
        <v>250</v>
      </c>
      <c r="L51" s="115">
        <v>20.5</v>
      </c>
      <c r="M51" s="116">
        <v>0</v>
      </c>
      <c r="O51" s="11">
        <v>46070</v>
      </c>
      <c r="P51" s="33" t="s">
        <v>9</v>
      </c>
      <c r="Q51" s="114" t="s">
        <v>60</v>
      </c>
      <c r="R51" s="115"/>
      <c r="S51" s="115"/>
      <c r="T51" s="116"/>
      <c r="V51" s="11">
        <v>46069</v>
      </c>
      <c r="W51" s="33" t="s">
        <v>8</v>
      </c>
      <c r="X51" s="114" t="s">
        <v>60</v>
      </c>
      <c r="Y51" s="115"/>
      <c r="Z51" s="145"/>
      <c r="AA51" s="146"/>
      <c r="AC51" s="11">
        <v>46070</v>
      </c>
      <c r="AD51" s="33" t="s">
        <v>9</v>
      </c>
      <c r="AE51" s="144" t="s">
        <v>73</v>
      </c>
      <c r="AF51" s="145">
        <v>180</v>
      </c>
      <c r="AG51" s="145">
        <v>13</v>
      </c>
      <c r="AH51" s="146">
        <v>0</v>
      </c>
      <c r="AJ51" s="11">
        <v>46070</v>
      </c>
      <c r="AK51" s="33" t="s">
        <v>9</v>
      </c>
      <c r="AL51" s="144" t="s">
        <v>60</v>
      </c>
      <c r="AM51" s="145"/>
      <c r="AN51" s="145"/>
      <c r="AO51" s="146"/>
      <c r="AQ51" s="11">
        <v>46070</v>
      </c>
      <c r="AR51" s="33" t="s">
        <v>9</v>
      </c>
      <c r="AS51" s="114" t="s">
        <v>60</v>
      </c>
      <c r="AT51" s="115">
        <v>0</v>
      </c>
      <c r="AU51" s="145">
        <v>0</v>
      </c>
      <c r="AV51" s="146">
        <v>0</v>
      </c>
      <c r="AX51" s="11">
        <v>46069</v>
      </c>
      <c r="AY51" s="33" t="s">
        <v>8</v>
      </c>
      <c r="AZ51" s="114" t="s">
        <v>60</v>
      </c>
      <c r="BA51" s="115"/>
      <c r="BB51" s="145"/>
      <c r="BC51" s="146"/>
      <c r="BE51" s="11">
        <v>46070</v>
      </c>
      <c r="BF51" s="33" t="s">
        <v>9</v>
      </c>
      <c r="BG51" s="33" t="s">
        <v>60</v>
      </c>
      <c r="BH51" s="19"/>
      <c r="BI51" s="19"/>
      <c r="BJ51" s="20"/>
      <c r="BL51" s="11">
        <v>46070</v>
      </c>
      <c r="BM51" s="33" t="s">
        <v>9</v>
      </c>
      <c r="BN51" s="144" t="s">
        <v>73</v>
      </c>
      <c r="BO51" s="145">
        <v>120</v>
      </c>
      <c r="BP51" s="145">
        <v>13</v>
      </c>
      <c r="BQ51" s="146">
        <v>0</v>
      </c>
      <c r="BS51" s="11">
        <v>46070</v>
      </c>
      <c r="BT51" s="33" t="s">
        <v>9</v>
      </c>
      <c r="BU51" s="114" t="s">
        <v>60</v>
      </c>
      <c r="BV51" s="115"/>
      <c r="BW51" s="115"/>
      <c r="BX51" s="116"/>
      <c r="BZ51" s="11">
        <v>46069</v>
      </c>
      <c r="CA51" s="33" t="s">
        <v>8</v>
      </c>
      <c r="CB51" s="144" t="s">
        <v>60</v>
      </c>
      <c r="CC51" s="145"/>
      <c r="CD51" s="145"/>
      <c r="CE51" s="146"/>
      <c r="CG51" s="11">
        <v>46070</v>
      </c>
      <c r="CH51" s="33" t="s">
        <v>9</v>
      </c>
      <c r="CI51" s="114" t="s">
        <v>60</v>
      </c>
      <c r="CJ51" s="115"/>
      <c r="CK51" s="115"/>
      <c r="CL51" s="116"/>
      <c r="CN51" s="11">
        <v>46070</v>
      </c>
      <c r="CO51" s="33" t="s">
        <v>9</v>
      </c>
      <c r="CP51" s="144" t="s">
        <v>73</v>
      </c>
      <c r="CQ51" s="145">
        <v>180</v>
      </c>
      <c r="CR51" s="145">
        <v>13</v>
      </c>
      <c r="CS51" s="146">
        <v>0</v>
      </c>
      <c r="CU51" s="11">
        <v>46070</v>
      </c>
      <c r="CV51" s="33" t="s">
        <v>9</v>
      </c>
      <c r="CW51" s="144" t="s">
        <v>32</v>
      </c>
      <c r="CX51" s="145">
        <v>120</v>
      </c>
      <c r="CY51" s="145">
        <v>13</v>
      </c>
      <c r="CZ51" s="146">
        <v>10</v>
      </c>
      <c r="DB51" s="11">
        <v>46070</v>
      </c>
      <c r="DC51" s="33" t="s">
        <v>9</v>
      </c>
      <c r="DD51" s="144" t="s">
        <v>73</v>
      </c>
      <c r="DE51" s="145">
        <v>200</v>
      </c>
      <c r="DF51" s="145">
        <v>13</v>
      </c>
      <c r="DG51" s="146">
        <v>0</v>
      </c>
      <c r="DI51" s="11">
        <v>46070</v>
      </c>
      <c r="DJ51" s="33" t="s">
        <v>9</v>
      </c>
      <c r="DK51" s="114" t="s">
        <v>60</v>
      </c>
      <c r="DL51" s="115"/>
      <c r="DM51" s="145"/>
      <c r="DN51" s="146"/>
      <c r="DP51" s="166">
        <v>46070</v>
      </c>
      <c r="DQ51" s="143" t="s">
        <v>9</v>
      </c>
      <c r="DR51" s="114"/>
      <c r="DS51" s="115"/>
      <c r="DT51" s="145"/>
      <c r="DU51" s="146"/>
      <c r="DW51" s="166">
        <v>46070</v>
      </c>
      <c r="DX51" s="143" t="s">
        <v>9</v>
      </c>
      <c r="DY51" s="114"/>
      <c r="DZ51" s="115"/>
      <c r="EA51" s="145"/>
      <c r="EB51" s="146"/>
    </row>
    <row r="52" spans="1:132" x14ac:dyDescent="0.25">
      <c r="A52" s="11">
        <v>46071</v>
      </c>
      <c r="B52" s="33" t="s">
        <v>3</v>
      </c>
      <c r="C52" s="144" t="s">
        <v>73</v>
      </c>
      <c r="D52" s="145">
        <v>180</v>
      </c>
      <c r="E52" s="145">
        <v>15</v>
      </c>
      <c r="F52" s="146">
        <v>19</v>
      </c>
      <c r="H52" s="11">
        <v>46071</v>
      </c>
      <c r="I52" s="33" t="s">
        <v>3</v>
      </c>
      <c r="J52" s="114" t="s">
        <v>73</v>
      </c>
      <c r="K52" s="115">
        <v>250</v>
      </c>
      <c r="L52" s="115">
        <v>20.5</v>
      </c>
      <c r="M52" s="116">
        <v>0</v>
      </c>
      <c r="O52" s="11">
        <v>46071</v>
      </c>
      <c r="P52" s="33" t="s">
        <v>3</v>
      </c>
      <c r="Q52" s="114"/>
      <c r="R52" s="115"/>
      <c r="S52" s="115"/>
      <c r="T52" s="116"/>
      <c r="V52" s="11">
        <v>46070</v>
      </c>
      <c r="W52" s="33" t="s">
        <v>9</v>
      </c>
      <c r="X52" s="114" t="s">
        <v>60</v>
      </c>
      <c r="Y52" s="115"/>
      <c r="Z52" s="145"/>
      <c r="AA52" s="146"/>
      <c r="AC52" s="11">
        <v>46071</v>
      </c>
      <c r="AD52" s="33" t="s">
        <v>3</v>
      </c>
      <c r="AE52" s="144" t="s">
        <v>73</v>
      </c>
      <c r="AF52" s="145">
        <v>180</v>
      </c>
      <c r="AG52" s="145">
        <v>13</v>
      </c>
      <c r="AH52" s="146">
        <v>0</v>
      </c>
      <c r="AJ52" s="11">
        <v>46071</v>
      </c>
      <c r="AK52" s="33" t="s">
        <v>3</v>
      </c>
      <c r="AL52" s="144" t="s">
        <v>32</v>
      </c>
      <c r="AM52" s="145">
        <v>250</v>
      </c>
      <c r="AN52" s="145">
        <v>13</v>
      </c>
      <c r="AO52" s="146">
        <v>10</v>
      </c>
      <c r="AQ52" s="11">
        <v>46071</v>
      </c>
      <c r="AR52" s="33" t="s">
        <v>3</v>
      </c>
      <c r="AS52" s="114" t="s">
        <v>73</v>
      </c>
      <c r="AT52" s="115">
        <v>120</v>
      </c>
      <c r="AU52" s="145">
        <v>13</v>
      </c>
      <c r="AV52" s="146">
        <v>0</v>
      </c>
      <c r="AX52" s="11">
        <v>46070</v>
      </c>
      <c r="AY52" s="33" t="s">
        <v>9</v>
      </c>
      <c r="AZ52" s="114" t="s">
        <v>60</v>
      </c>
      <c r="BA52" s="115"/>
      <c r="BB52" s="145"/>
      <c r="BC52" s="146"/>
      <c r="BE52" s="11">
        <v>46071</v>
      </c>
      <c r="BF52" s="33" t="s">
        <v>3</v>
      </c>
      <c r="BG52" s="33"/>
      <c r="BH52" s="19"/>
      <c r="BI52" s="19"/>
      <c r="BJ52" s="20"/>
      <c r="BL52" s="11">
        <v>46071</v>
      </c>
      <c r="BM52" s="33" t="s">
        <v>3</v>
      </c>
      <c r="BN52" s="144" t="s">
        <v>73</v>
      </c>
      <c r="BO52" s="145">
        <v>120</v>
      </c>
      <c r="BP52" s="145">
        <v>13</v>
      </c>
      <c r="BQ52" s="146">
        <v>0</v>
      </c>
      <c r="BS52" s="11">
        <v>46071</v>
      </c>
      <c r="BT52" s="33" t="s">
        <v>3</v>
      </c>
      <c r="BU52" s="114"/>
      <c r="BV52" s="115"/>
      <c r="BW52" s="115"/>
      <c r="BX52" s="116"/>
      <c r="BZ52" s="11">
        <v>46070</v>
      </c>
      <c r="CA52" s="33" t="s">
        <v>9</v>
      </c>
      <c r="CB52" s="144" t="s">
        <v>60</v>
      </c>
      <c r="CC52" s="145"/>
      <c r="CD52" s="145"/>
      <c r="CE52" s="146"/>
      <c r="CG52" s="11">
        <v>46071</v>
      </c>
      <c r="CH52" s="33" t="s">
        <v>3</v>
      </c>
      <c r="CI52" s="114"/>
      <c r="CJ52" s="115"/>
      <c r="CK52" s="115"/>
      <c r="CL52" s="116"/>
      <c r="CN52" s="11">
        <v>46071</v>
      </c>
      <c r="CO52" s="33" t="s">
        <v>3</v>
      </c>
      <c r="CP52" s="144" t="s">
        <v>73</v>
      </c>
      <c r="CQ52" s="145">
        <v>180</v>
      </c>
      <c r="CR52" s="145">
        <v>13</v>
      </c>
      <c r="CS52" s="146">
        <v>0</v>
      </c>
      <c r="CU52" s="11">
        <v>46071</v>
      </c>
      <c r="CV52" s="33" t="s">
        <v>3</v>
      </c>
      <c r="CW52" s="144" t="s">
        <v>36</v>
      </c>
      <c r="CX52" s="145">
        <v>0</v>
      </c>
      <c r="CY52" s="145">
        <v>0</v>
      </c>
      <c r="CZ52" s="146">
        <v>0</v>
      </c>
      <c r="DB52" s="11">
        <v>46071</v>
      </c>
      <c r="DC52" s="33" t="s">
        <v>3</v>
      </c>
      <c r="DD52" s="144" t="s">
        <v>32</v>
      </c>
      <c r="DE52" s="145">
        <v>200</v>
      </c>
      <c r="DF52" s="145">
        <v>13</v>
      </c>
      <c r="DG52" s="146">
        <v>10</v>
      </c>
      <c r="DI52" s="11">
        <v>46071</v>
      </c>
      <c r="DJ52" s="33" t="s">
        <v>3</v>
      </c>
      <c r="DK52" s="114" t="s">
        <v>32</v>
      </c>
      <c r="DL52" s="115">
        <v>120</v>
      </c>
      <c r="DM52" s="145">
        <v>13</v>
      </c>
      <c r="DN52" s="146">
        <v>10</v>
      </c>
      <c r="DP52" s="166">
        <v>46071</v>
      </c>
      <c r="DQ52" s="143" t="s">
        <v>3</v>
      </c>
      <c r="DR52" s="114"/>
      <c r="DS52" s="115"/>
      <c r="DT52" s="145"/>
      <c r="DU52" s="146"/>
      <c r="DW52" s="166">
        <v>46071</v>
      </c>
      <c r="DX52" s="143" t="s">
        <v>3</v>
      </c>
      <c r="DY52" s="114"/>
      <c r="DZ52" s="115"/>
      <c r="EA52" s="145"/>
      <c r="EB52" s="146"/>
    </row>
    <row r="53" spans="1:132" x14ac:dyDescent="0.25">
      <c r="A53" s="11">
        <v>46072</v>
      </c>
      <c r="B53" s="33" t="s">
        <v>4</v>
      </c>
      <c r="C53" s="144" t="s">
        <v>73</v>
      </c>
      <c r="D53" s="145">
        <v>180</v>
      </c>
      <c r="E53" s="145">
        <v>15</v>
      </c>
      <c r="F53" s="146">
        <v>19</v>
      </c>
      <c r="H53" s="11">
        <v>46072</v>
      </c>
      <c r="I53" s="33" t="s">
        <v>4</v>
      </c>
      <c r="J53" s="114" t="s">
        <v>73</v>
      </c>
      <c r="K53" s="115">
        <v>250</v>
      </c>
      <c r="L53" s="115">
        <v>20.5</v>
      </c>
      <c r="M53" s="116">
        <v>0</v>
      </c>
      <c r="O53" s="11">
        <v>46072</v>
      </c>
      <c r="P53" s="33" t="s">
        <v>4</v>
      </c>
      <c r="Q53" s="114"/>
      <c r="R53" s="115"/>
      <c r="S53" s="115"/>
      <c r="T53" s="116"/>
      <c r="V53" s="11">
        <v>46071</v>
      </c>
      <c r="W53" s="33" t="s">
        <v>3</v>
      </c>
      <c r="X53" s="144" t="s">
        <v>73</v>
      </c>
      <c r="Y53" s="145">
        <v>120</v>
      </c>
      <c r="Z53" s="145">
        <v>12.6</v>
      </c>
      <c r="AA53" s="146">
        <v>0</v>
      </c>
      <c r="AC53" s="11">
        <v>46072</v>
      </c>
      <c r="AD53" s="33" t="s">
        <v>4</v>
      </c>
      <c r="AE53" s="144" t="s">
        <v>73</v>
      </c>
      <c r="AF53" s="145">
        <v>180</v>
      </c>
      <c r="AG53" s="145">
        <v>13</v>
      </c>
      <c r="AH53" s="146">
        <v>0</v>
      </c>
      <c r="AJ53" s="11">
        <v>46072</v>
      </c>
      <c r="AK53" s="33" t="s">
        <v>4</v>
      </c>
      <c r="AL53" s="144" t="s">
        <v>32</v>
      </c>
      <c r="AM53" s="145">
        <v>250</v>
      </c>
      <c r="AN53" s="145">
        <v>0</v>
      </c>
      <c r="AO53" s="146">
        <v>10</v>
      </c>
      <c r="AQ53" s="11">
        <v>46072</v>
      </c>
      <c r="AR53" s="33" t="s">
        <v>4</v>
      </c>
      <c r="AS53" s="114" t="s">
        <v>36</v>
      </c>
      <c r="AT53" s="115">
        <v>0</v>
      </c>
      <c r="AU53" s="145">
        <v>13</v>
      </c>
      <c r="AV53" s="146">
        <v>0</v>
      </c>
      <c r="AX53" s="11">
        <v>46071</v>
      </c>
      <c r="AY53" s="33" t="s">
        <v>3</v>
      </c>
      <c r="AZ53" s="144" t="s">
        <v>36</v>
      </c>
      <c r="BA53" s="145">
        <v>0</v>
      </c>
      <c r="BB53" s="145">
        <v>0</v>
      </c>
      <c r="BC53" s="146">
        <v>0</v>
      </c>
      <c r="BE53" s="11">
        <v>46072</v>
      </c>
      <c r="BF53" s="33" t="s">
        <v>4</v>
      </c>
      <c r="BG53" s="33"/>
      <c r="BH53" s="19"/>
      <c r="BI53" s="19"/>
      <c r="BJ53" s="20"/>
      <c r="BL53" s="11">
        <v>46072</v>
      </c>
      <c r="BM53" s="33" t="s">
        <v>4</v>
      </c>
      <c r="BN53" s="144" t="s">
        <v>73</v>
      </c>
      <c r="BO53" s="145">
        <v>120</v>
      </c>
      <c r="BP53" s="145">
        <v>13</v>
      </c>
      <c r="BQ53" s="146">
        <v>0</v>
      </c>
      <c r="BS53" s="11">
        <v>46072</v>
      </c>
      <c r="BT53" s="33" t="s">
        <v>4</v>
      </c>
      <c r="BU53" s="114"/>
      <c r="BV53" s="115"/>
      <c r="BW53" s="115"/>
      <c r="BX53" s="116"/>
      <c r="BZ53" s="11">
        <v>46071</v>
      </c>
      <c r="CA53" s="33" t="s">
        <v>3</v>
      </c>
      <c r="CB53" s="144" t="s">
        <v>32</v>
      </c>
      <c r="CC53" s="145">
        <v>120</v>
      </c>
      <c r="CD53" s="145">
        <v>13</v>
      </c>
      <c r="CE53" s="146">
        <v>10</v>
      </c>
      <c r="CG53" s="11">
        <v>46072</v>
      </c>
      <c r="CH53" s="33" t="s">
        <v>4</v>
      </c>
      <c r="CI53" s="114"/>
      <c r="CJ53" s="115"/>
      <c r="CK53" s="115"/>
      <c r="CL53" s="116"/>
      <c r="CN53" s="11">
        <v>46072</v>
      </c>
      <c r="CO53" s="33" t="s">
        <v>4</v>
      </c>
      <c r="CP53" s="144" t="s">
        <v>73</v>
      </c>
      <c r="CQ53" s="145">
        <v>180</v>
      </c>
      <c r="CR53" s="145">
        <v>13</v>
      </c>
      <c r="CS53" s="146">
        <v>0</v>
      </c>
      <c r="CU53" s="11">
        <v>46072</v>
      </c>
      <c r="CV53" s="33" t="s">
        <v>4</v>
      </c>
      <c r="CW53" s="144" t="s">
        <v>32</v>
      </c>
      <c r="CX53" s="145">
        <v>120</v>
      </c>
      <c r="CY53" s="145">
        <v>13</v>
      </c>
      <c r="CZ53" s="146">
        <v>10</v>
      </c>
      <c r="DB53" s="11">
        <v>46072</v>
      </c>
      <c r="DC53" s="33" t="s">
        <v>4</v>
      </c>
      <c r="DD53" s="144" t="s">
        <v>32</v>
      </c>
      <c r="DE53" s="145">
        <v>200</v>
      </c>
      <c r="DF53" s="145">
        <v>13</v>
      </c>
      <c r="DG53" s="146">
        <v>10</v>
      </c>
      <c r="DI53" s="11">
        <v>46072</v>
      </c>
      <c r="DJ53" s="33" t="s">
        <v>4</v>
      </c>
      <c r="DK53" s="114" t="s">
        <v>36</v>
      </c>
      <c r="DL53" s="115">
        <v>0</v>
      </c>
      <c r="DM53" s="115">
        <v>0</v>
      </c>
      <c r="DN53" s="146">
        <v>10</v>
      </c>
      <c r="DP53" s="166">
        <v>46072</v>
      </c>
      <c r="DQ53" s="143" t="s">
        <v>4</v>
      </c>
      <c r="DR53" s="114"/>
      <c r="DS53" s="115"/>
      <c r="DT53" s="115"/>
      <c r="DU53" s="146"/>
      <c r="DW53" s="166">
        <v>46072</v>
      </c>
      <c r="DX53" s="143" t="s">
        <v>4</v>
      </c>
      <c r="DY53" s="114"/>
      <c r="DZ53" s="115"/>
      <c r="EA53" s="115"/>
      <c r="EB53" s="146"/>
    </row>
    <row r="54" spans="1:132" x14ac:dyDescent="0.25">
      <c r="A54" s="11">
        <v>46073</v>
      </c>
      <c r="B54" s="33" t="s">
        <v>5</v>
      </c>
      <c r="C54" s="144" t="s">
        <v>73</v>
      </c>
      <c r="D54" s="145">
        <v>180</v>
      </c>
      <c r="E54" s="145">
        <v>15</v>
      </c>
      <c r="F54" s="146">
        <v>19</v>
      </c>
      <c r="H54" s="11">
        <v>46073</v>
      </c>
      <c r="I54" s="33" t="s">
        <v>5</v>
      </c>
      <c r="J54" s="114" t="s">
        <v>73</v>
      </c>
      <c r="K54" s="115">
        <v>250</v>
      </c>
      <c r="L54" s="115">
        <v>20.5</v>
      </c>
      <c r="M54" s="116">
        <v>0</v>
      </c>
      <c r="O54" s="11">
        <v>46073</v>
      </c>
      <c r="P54" s="33" t="s">
        <v>5</v>
      </c>
      <c r="Q54" s="114"/>
      <c r="R54" s="115"/>
      <c r="S54" s="115"/>
      <c r="T54" s="116"/>
      <c r="V54" s="11">
        <v>46072</v>
      </c>
      <c r="W54" s="33" t="s">
        <v>4</v>
      </c>
      <c r="X54" s="144" t="s">
        <v>73</v>
      </c>
      <c r="Y54" s="145">
        <v>120</v>
      </c>
      <c r="Z54" s="145">
        <v>12.6</v>
      </c>
      <c r="AA54" s="146">
        <v>0</v>
      </c>
      <c r="AC54" s="11">
        <v>46073</v>
      </c>
      <c r="AD54" s="33" t="s">
        <v>5</v>
      </c>
      <c r="AE54" s="144" t="s">
        <v>73</v>
      </c>
      <c r="AF54" s="145">
        <v>180</v>
      </c>
      <c r="AG54" s="145">
        <v>13</v>
      </c>
      <c r="AH54" s="146">
        <v>0</v>
      </c>
      <c r="AJ54" s="11">
        <v>46073</v>
      </c>
      <c r="AK54" s="33" t="s">
        <v>5</v>
      </c>
      <c r="AL54" s="144" t="s">
        <v>32</v>
      </c>
      <c r="AM54" s="145">
        <v>250</v>
      </c>
      <c r="AN54" s="145">
        <v>0</v>
      </c>
      <c r="AO54" s="146">
        <v>10</v>
      </c>
      <c r="AQ54" s="11">
        <v>46073</v>
      </c>
      <c r="AR54" s="33" t="s">
        <v>5</v>
      </c>
      <c r="AS54" s="114" t="s">
        <v>73</v>
      </c>
      <c r="AT54" s="115">
        <v>120</v>
      </c>
      <c r="AU54" s="145">
        <v>13</v>
      </c>
      <c r="AV54" s="146">
        <v>0</v>
      </c>
      <c r="AX54" s="11">
        <v>46072</v>
      </c>
      <c r="AY54" s="33" t="s">
        <v>4</v>
      </c>
      <c r="AZ54" s="144" t="s">
        <v>32</v>
      </c>
      <c r="BA54" s="145">
        <v>120</v>
      </c>
      <c r="BB54" s="145">
        <v>0</v>
      </c>
      <c r="BC54" s="146">
        <v>10</v>
      </c>
      <c r="BE54" s="11">
        <v>46073</v>
      </c>
      <c r="BF54" s="33" t="s">
        <v>5</v>
      </c>
      <c r="BG54" s="33"/>
      <c r="BH54" s="19"/>
      <c r="BI54" s="19"/>
      <c r="BJ54" s="20"/>
      <c r="BL54" s="11">
        <v>46073</v>
      </c>
      <c r="BM54" s="33" t="s">
        <v>5</v>
      </c>
      <c r="BN54" s="144" t="s">
        <v>73</v>
      </c>
      <c r="BO54" s="145">
        <v>120</v>
      </c>
      <c r="BP54" s="145">
        <v>13</v>
      </c>
      <c r="BQ54" s="146">
        <v>0</v>
      </c>
      <c r="BS54" s="11">
        <v>46073</v>
      </c>
      <c r="BT54" s="33" t="s">
        <v>5</v>
      </c>
      <c r="BU54" s="114"/>
      <c r="BV54" s="115"/>
      <c r="BW54" s="115"/>
      <c r="BX54" s="116"/>
      <c r="BZ54" s="11">
        <v>46072</v>
      </c>
      <c r="CA54" s="33" t="s">
        <v>4</v>
      </c>
      <c r="CB54" s="144" t="s">
        <v>32</v>
      </c>
      <c r="CC54" s="145">
        <v>120</v>
      </c>
      <c r="CD54" s="145">
        <v>0</v>
      </c>
      <c r="CE54" s="146">
        <v>10</v>
      </c>
      <c r="CG54" s="11">
        <v>46073</v>
      </c>
      <c r="CH54" s="33" t="s">
        <v>5</v>
      </c>
      <c r="CI54" s="114"/>
      <c r="CJ54" s="115"/>
      <c r="CK54" s="115"/>
      <c r="CL54" s="116"/>
      <c r="CN54" s="11">
        <v>46073</v>
      </c>
      <c r="CO54" s="33" t="s">
        <v>5</v>
      </c>
      <c r="CP54" s="144" t="s">
        <v>73</v>
      </c>
      <c r="CQ54" s="145">
        <v>180</v>
      </c>
      <c r="CR54" s="145">
        <v>13</v>
      </c>
      <c r="CS54" s="146">
        <v>0</v>
      </c>
      <c r="CU54" s="11">
        <v>46073</v>
      </c>
      <c r="CV54" s="33" t="s">
        <v>5</v>
      </c>
      <c r="CW54" s="144" t="s">
        <v>32</v>
      </c>
      <c r="CX54" s="145">
        <v>120</v>
      </c>
      <c r="CY54" s="145">
        <v>13</v>
      </c>
      <c r="CZ54" s="146">
        <v>10</v>
      </c>
      <c r="DB54" s="11">
        <v>46073</v>
      </c>
      <c r="DC54" s="33" t="s">
        <v>5</v>
      </c>
      <c r="DD54" s="144" t="s">
        <v>32</v>
      </c>
      <c r="DE54" s="145">
        <v>200</v>
      </c>
      <c r="DF54" s="145">
        <v>13</v>
      </c>
      <c r="DG54" s="146">
        <v>10</v>
      </c>
      <c r="DI54" s="11">
        <v>46073</v>
      </c>
      <c r="DJ54" s="33" t="s">
        <v>5</v>
      </c>
      <c r="DK54" s="114" t="s">
        <v>32</v>
      </c>
      <c r="DL54" s="115">
        <v>120</v>
      </c>
      <c r="DM54" s="115">
        <v>0</v>
      </c>
      <c r="DN54" s="116">
        <v>10</v>
      </c>
      <c r="DP54" s="166">
        <v>46073</v>
      </c>
      <c r="DQ54" s="143" t="s">
        <v>5</v>
      </c>
      <c r="DR54" s="114"/>
      <c r="DS54" s="115"/>
      <c r="DT54" s="115"/>
      <c r="DU54" s="116"/>
      <c r="DW54" s="166">
        <v>46073</v>
      </c>
      <c r="DX54" s="143" t="s">
        <v>5</v>
      </c>
      <c r="DY54" s="114"/>
      <c r="DZ54" s="115"/>
      <c r="EA54" s="115"/>
      <c r="EB54" s="116"/>
    </row>
    <row r="55" spans="1:132" x14ac:dyDescent="0.25">
      <c r="A55" s="11">
        <v>46074</v>
      </c>
      <c r="B55" s="33" t="s">
        <v>6</v>
      </c>
      <c r="C55" s="114"/>
      <c r="D55" s="115"/>
      <c r="E55" s="115"/>
      <c r="F55" s="116"/>
      <c r="H55" s="11">
        <v>46074</v>
      </c>
      <c r="I55" s="33" t="s">
        <v>6</v>
      </c>
      <c r="J55" s="114"/>
      <c r="K55" s="115"/>
      <c r="L55" s="115"/>
      <c r="M55" s="116"/>
      <c r="O55" s="11">
        <v>46074</v>
      </c>
      <c r="P55" s="33" t="s">
        <v>6</v>
      </c>
      <c r="Q55" s="114"/>
      <c r="R55" s="115"/>
      <c r="S55" s="115"/>
      <c r="T55" s="116"/>
      <c r="V55" s="11">
        <v>46073</v>
      </c>
      <c r="W55" s="33" t="s">
        <v>5</v>
      </c>
      <c r="X55" s="144" t="s">
        <v>73</v>
      </c>
      <c r="Y55" s="145">
        <v>120</v>
      </c>
      <c r="Z55" s="145">
        <v>12.6</v>
      </c>
      <c r="AA55" s="146">
        <v>0</v>
      </c>
      <c r="AC55" s="11">
        <v>46074</v>
      </c>
      <c r="AD55" s="33" t="s">
        <v>6</v>
      </c>
      <c r="AE55" s="114"/>
      <c r="AF55" s="115"/>
      <c r="AG55" s="115"/>
      <c r="AH55" s="116"/>
      <c r="AJ55" s="11">
        <v>46074</v>
      </c>
      <c r="AK55" s="33" t="s">
        <v>6</v>
      </c>
      <c r="AL55" s="114"/>
      <c r="AM55" s="115"/>
      <c r="AN55" s="115"/>
      <c r="AO55" s="116"/>
      <c r="AQ55" s="11">
        <v>46074</v>
      </c>
      <c r="AR55" s="33" t="s">
        <v>6</v>
      </c>
      <c r="AS55" s="140"/>
      <c r="AT55" s="160"/>
      <c r="AU55" s="115"/>
      <c r="AV55" s="116"/>
      <c r="AX55" s="11">
        <v>46073</v>
      </c>
      <c r="AY55" s="33" t="s">
        <v>5</v>
      </c>
      <c r="AZ55" s="144" t="s">
        <v>32</v>
      </c>
      <c r="BA55" s="145">
        <v>120</v>
      </c>
      <c r="BB55" s="145">
        <v>0</v>
      </c>
      <c r="BC55" s="146">
        <v>10</v>
      </c>
      <c r="BE55" s="11">
        <v>46074</v>
      </c>
      <c r="BF55" s="33" t="s">
        <v>6</v>
      </c>
      <c r="BG55" s="33"/>
      <c r="BH55" s="19"/>
      <c r="BI55" s="19"/>
      <c r="BJ55" s="20"/>
      <c r="BL55" s="11">
        <v>46074</v>
      </c>
      <c r="BM55" s="33" t="s">
        <v>6</v>
      </c>
      <c r="BN55" s="114"/>
      <c r="BO55" s="115"/>
      <c r="BP55" s="115"/>
      <c r="BQ55" s="116"/>
      <c r="BS55" s="11">
        <v>46074</v>
      </c>
      <c r="BT55" s="33" t="s">
        <v>6</v>
      </c>
      <c r="BU55" s="114"/>
      <c r="BV55" s="115"/>
      <c r="BW55" s="115"/>
      <c r="BX55" s="116"/>
      <c r="BZ55" s="11">
        <v>46073</v>
      </c>
      <c r="CA55" s="33" t="s">
        <v>5</v>
      </c>
      <c r="CB55" s="144" t="s">
        <v>32</v>
      </c>
      <c r="CC55" s="145">
        <v>120</v>
      </c>
      <c r="CD55" s="145">
        <v>0</v>
      </c>
      <c r="CE55" s="146">
        <v>10</v>
      </c>
      <c r="CG55" s="11">
        <v>46074</v>
      </c>
      <c r="CH55" s="33" t="s">
        <v>6</v>
      </c>
      <c r="CI55" s="114"/>
      <c r="CJ55" s="115"/>
      <c r="CK55" s="115"/>
      <c r="CL55" s="116"/>
      <c r="CN55" s="11">
        <v>46074</v>
      </c>
      <c r="CO55" s="33" t="s">
        <v>6</v>
      </c>
      <c r="CP55" s="144" t="s">
        <v>73</v>
      </c>
      <c r="CQ55" s="145">
        <v>250</v>
      </c>
      <c r="CR55" s="145">
        <v>13</v>
      </c>
      <c r="CS55" s="146">
        <v>0</v>
      </c>
      <c r="CU55" s="11">
        <v>46074</v>
      </c>
      <c r="CV55" s="33" t="s">
        <v>6</v>
      </c>
      <c r="CW55" s="114"/>
      <c r="CX55" s="115"/>
      <c r="CY55" s="115"/>
      <c r="CZ55" s="116"/>
      <c r="DB55" s="11">
        <v>46074</v>
      </c>
      <c r="DC55" s="33" t="s">
        <v>6</v>
      </c>
      <c r="DD55" s="114"/>
      <c r="DE55" s="115"/>
      <c r="DF55" s="115"/>
      <c r="DG55" s="116"/>
      <c r="DI55" s="11">
        <v>46074</v>
      </c>
      <c r="DJ55" s="33" t="s">
        <v>6</v>
      </c>
      <c r="DK55" s="114"/>
      <c r="DL55" s="115"/>
      <c r="DM55" s="115"/>
      <c r="DN55" s="116"/>
      <c r="DP55" s="166">
        <v>46074</v>
      </c>
      <c r="DQ55" s="143" t="s">
        <v>6</v>
      </c>
      <c r="DR55" s="114"/>
      <c r="DS55" s="115"/>
      <c r="DT55" s="115"/>
      <c r="DU55" s="116"/>
      <c r="DW55" s="166">
        <v>46074</v>
      </c>
      <c r="DX55" s="143" t="s">
        <v>6</v>
      </c>
      <c r="DY55" s="114"/>
      <c r="DZ55" s="115"/>
      <c r="EA55" s="115"/>
      <c r="EB55" s="116"/>
    </row>
    <row r="56" spans="1:132" x14ac:dyDescent="0.25">
      <c r="A56" s="11">
        <v>46075</v>
      </c>
      <c r="B56" s="33" t="s">
        <v>7</v>
      </c>
      <c r="C56" s="114"/>
      <c r="D56" s="115"/>
      <c r="E56" s="115"/>
      <c r="F56" s="116"/>
      <c r="H56" s="11">
        <v>46075</v>
      </c>
      <c r="I56" s="33" t="s">
        <v>7</v>
      </c>
      <c r="J56" s="114"/>
      <c r="K56" s="115"/>
      <c r="L56" s="115"/>
      <c r="M56" s="116"/>
      <c r="O56" s="11">
        <v>46075</v>
      </c>
      <c r="P56" s="33" t="s">
        <v>7</v>
      </c>
      <c r="Q56" s="114"/>
      <c r="R56" s="115"/>
      <c r="S56" s="115"/>
      <c r="T56" s="116"/>
      <c r="V56" s="11">
        <v>46074</v>
      </c>
      <c r="W56" s="33" t="s">
        <v>6</v>
      </c>
      <c r="X56" s="144"/>
      <c r="Y56" s="145"/>
      <c r="Z56" s="115"/>
      <c r="AA56" s="116"/>
      <c r="AC56" s="11">
        <v>46075</v>
      </c>
      <c r="AD56" s="33" t="s">
        <v>7</v>
      </c>
      <c r="AE56" s="114"/>
      <c r="AF56" s="115"/>
      <c r="AG56" s="115"/>
      <c r="AH56" s="116"/>
      <c r="AJ56" s="11">
        <v>46075</v>
      </c>
      <c r="AK56" s="33" t="s">
        <v>7</v>
      </c>
      <c r="AL56" s="114"/>
      <c r="AM56" s="115"/>
      <c r="AN56" s="115"/>
      <c r="AO56" s="116"/>
      <c r="AQ56" s="11">
        <v>46075</v>
      </c>
      <c r="AR56" s="33" t="s">
        <v>7</v>
      </c>
      <c r="AS56" s="114"/>
      <c r="AT56" s="115"/>
      <c r="AU56" s="115"/>
      <c r="AV56" s="116"/>
      <c r="AX56" s="11">
        <v>46074</v>
      </c>
      <c r="AY56" s="33" t="s">
        <v>6</v>
      </c>
      <c r="AZ56" s="144" t="s">
        <v>73</v>
      </c>
      <c r="BA56" s="145">
        <v>170</v>
      </c>
      <c r="BB56" s="145">
        <v>0</v>
      </c>
      <c r="BC56" s="146">
        <v>0</v>
      </c>
      <c r="BE56" s="11">
        <v>46075</v>
      </c>
      <c r="BF56" s="33" t="s">
        <v>7</v>
      </c>
      <c r="BG56" s="33"/>
      <c r="BH56" s="19"/>
      <c r="BI56" s="19"/>
      <c r="BJ56" s="20"/>
      <c r="BL56" s="11">
        <v>46075</v>
      </c>
      <c r="BM56" s="33" t="s">
        <v>7</v>
      </c>
      <c r="BN56" s="114"/>
      <c r="BO56" s="115"/>
      <c r="BP56" s="115"/>
      <c r="BQ56" s="116"/>
      <c r="BS56" s="11">
        <v>46075</v>
      </c>
      <c r="BT56" s="33" t="s">
        <v>7</v>
      </c>
      <c r="BU56" s="114"/>
      <c r="BV56" s="115"/>
      <c r="BW56" s="115"/>
      <c r="BX56" s="116"/>
      <c r="BZ56" s="11">
        <v>46074</v>
      </c>
      <c r="CA56" s="33" t="s">
        <v>6</v>
      </c>
      <c r="CB56" s="114"/>
      <c r="CC56" s="115"/>
      <c r="CD56" s="115"/>
      <c r="CE56" s="116"/>
      <c r="CG56" s="11">
        <v>46075</v>
      </c>
      <c r="CH56" s="33" t="s">
        <v>7</v>
      </c>
      <c r="CI56" s="114"/>
      <c r="CJ56" s="115"/>
      <c r="CK56" s="115"/>
      <c r="CL56" s="116"/>
      <c r="CN56" s="11">
        <v>46075</v>
      </c>
      <c r="CO56" s="33" t="s">
        <v>7</v>
      </c>
      <c r="CP56" s="144" t="s">
        <v>73</v>
      </c>
      <c r="CQ56" s="145">
        <v>250</v>
      </c>
      <c r="CR56" s="145">
        <v>13</v>
      </c>
      <c r="CS56" s="146">
        <v>0</v>
      </c>
      <c r="CU56" s="11">
        <v>46075</v>
      </c>
      <c r="CV56" s="33" t="s">
        <v>7</v>
      </c>
      <c r="CW56" s="114"/>
      <c r="CX56" s="115"/>
      <c r="CY56" s="115"/>
      <c r="CZ56" s="116"/>
      <c r="DB56" s="11">
        <v>46075</v>
      </c>
      <c r="DC56" s="33" t="s">
        <v>7</v>
      </c>
      <c r="DD56" s="144" t="s">
        <v>73</v>
      </c>
      <c r="DE56" s="145">
        <v>200</v>
      </c>
      <c r="DF56" s="145">
        <v>13</v>
      </c>
      <c r="DG56" s="116">
        <v>0</v>
      </c>
      <c r="DI56" s="11">
        <v>46075</v>
      </c>
      <c r="DJ56" s="33" t="s">
        <v>7</v>
      </c>
      <c r="DK56" s="114"/>
      <c r="DL56" s="115"/>
      <c r="DM56" s="115"/>
      <c r="DN56" s="116"/>
      <c r="DP56" s="166">
        <v>46075</v>
      </c>
      <c r="DQ56" s="143" t="s">
        <v>7</v>
      </c>
      <c r="DR56" s="114"/>
      <c r="DS56" s="115"/>
      <c r="DT56" s="115"/>
      <c r="DU56" s="116"/>
      <c r="DW56" s="166">
        <v>46075</v>
      </c>
      <c r="DX56" s="143" t="s">
        <v>7</v>
      </c>
      <c r="DY56" s="114"/>
      <c r="DZ56" s="115"/>
      <c r="EA56" s="115"/>
      <c r="EB56" s="116"/>
    </row>
    <row r="57" spans="1:132" x14ac:dyDescent="0.25">
      <c r="A57" s="11">
        <v>46076</v>
      </c>
      <c r="B57" s="33" t="s">
        <v>8</v>
      </c>
      <c r="C57" s="144" t="s">
        <v>73</v>
      </c>
      <c r="D57" s="145">
        <v>180</v>
      </c>
      <c r="E57" s="145">
        <v>15</v>
      </c>
      <c r="F57" s="146">
        <v>19</v>
      </c>
      <c r="H57" s="11">
        <v>46076</v>
      </c>
      <c r="I57" s="33" t="s">
        <v>8</v>
      </c>
      <c r="J57" s="114"/>
      <c r="K57" s="115"/>
      <c r="L57" s="115"/>
      <c r="M57" s="116"/>
      <c r="O57" s="11">
        <v>46076</v>
      </c>
      <c r="P57" s="33" t="s">
        <v>8</v>
      </c>
      <c r="Q57" s="114"/>
      <c r="R57" s="115"/>
      <c r="S57" s="115"/>
      <c r="T57" s="116"/>
      <c r="V57" s="11">
        <v>46075</v>
      </c>
      <c r="W57" s="33" t="s">
        <v>7</v>
      </c>
      <c r="X57" s="144"/>
      <c r="Y57" s="145"/>
      <c r="Z57" s="115"/>
      <c r="AA57" s="116"/>
      <c r="AC57" s="11">
        <v>46076</v>
      </c>
      <c r="AD57" s="33" t="s">
        <v>8</v>
      </c>
      <c r="AE57" s="144" t="s">
        <v>32</v>
      </c>
      <c r="AF57" s="145">
        <v>180</v>
      </c>
      <c r="AG57" s="145">
        <v>13</v>
      </c>
      <c r="AH57" s="146">
        <f t="shared" ref="AH57:AH61" si="0">19+10</f>
        <v>29</v>
      </c>
      <c r="AJ57" s="11">
        <v>46076</v>
      </c>
      <c r="AK57" s="33" t="s">
        <v>8</v>
      </c>
      <c r="AL57" s="144" t="s">
        <v>32</v>
      </c>
      <c r="AM57" s="145">
        <v>250</v>
      </c>
      <c r="AN57" s="145">
        <v>0</v>
      </c>
      <c r="AO57" s="146">
        <v>10</v>
      </c>
      <c r="AQ57" s="11">
        <v>46076</v>
      </c>
      <c r="AR57" s="33" t="s">
        <v>8</v>
      </c>
      <c r="AS57" s="114"/>
      <c r="AT57" s="115"/>
      <c r="AU57" s="145"/>
      <c r="AV57" s="146">
        <v>0</v>
      </c>
      <c r="AX57" s="11">
        <v>46075</v>
      </c>
      <c r="AY57" s="33" t="s">
        <v>7</v>
      </c>
      <c r="AZ57" s="144" t="s">
        <v>73</v>
      </c>
      <c r="BA57" s="145">
        <v>170</v>
      </c>
      <c r="BB57" s="145">
        <v>0</v>
      </c>
      <c r="BC57" s="146">
        <v>0</v>
      </c>
      <c r="BE57" s="11">
        <v>46076</v>
      </c>
      <c r="BF57" s="33" t="s">
        <v>8</v>
      </c>
      <c r="BG57" s="33"/>
      <c r="BH57" s="19"/>
      <c r="BI57" s="19"/>
      <c r="BJ57" s="20"/>
      <c r="BL57" s="11">
        <v>46076</v>
      </c>
      <c r="BM57" s="33" t="s">
        <v>8</v>
      </c>
      <c r="BN57" s="114" t="s">
        <v>36</v>
      </c>
      <c r="BO57" s="115"/>
      <c r="BP57" s="145">
        <v>0</v>
      </c>
      <c r="BQ57" s="146">
        <v>0</v>
      </c>
      <c r="BS57" s="11">
        <v>46076</v>
      </c>
      <c r="BT57" s="33" t="s">
        <v>8</v>
      </c>
      <c r="BU57" s="114"/>
      <c r="BV57" s="115"/>
      <c r="BW57" s="115"/>
      <c r="BX57" s="116"/>
      <c r="BZ57" s="11">
        <v>46075</v>
      </c>
      <c r="CA57" s="33" t="s">
        <v>7</v>
      </c>
      <c r="CB57" s="114"/>
      <c r="CC57" s="115"/>
      <c r="CD57" s="115"/>
      <c r="CE57" s="116"/>
      <c r="CG57" s="11">
        <v>46076</v>
      </c>
      <c r="CH57" s="33" t="s">
        <v>8</v>
      </c>
      <c r="CI57" s="114"/>
      <c r="CJ57" s="115"/>
      <c r="CK57" s="115"/>
      <c r="CL57" s="116"/>
      <c r="CN57" s="11">
        <v>46076</v>
      </c>
      <c r="CO57" s="33" t="s">
        <v>8</v>
      </c>
      <c r="CP57" s="144" t="s">
        <v>73</v>
      </c>
      <c r="CQ57" s="145">
        <v>180</v>
      </c>
      <c r="CR57" s="145">
        <v>13</v>
      </c>
      <c r="CS57" s="146">
        <v>0</v>
      </c>
      <c r="CU57" s="11">
        <v>46076</v>
      </c>
      <c r="CV57" s="33" t="s">
        <v>8</v>
      </c>
      <c r="CW57" s="144" t="s">
        <v>32</v>
      </c>
      <c r="CX57" s="145">
        <v>120</v>
      </c>
      <c r="CY57" s="145">
        <v>0</v>
      </c>
      <c r="CZ57" s="146">
        <v>10</v>
      </c>
      <c r="DB57" s="11">
        <v>46076</v>
      </c>
      <c r="DC57" s="33" t="s">
        <v>8</v>
      </c>
      <c r="DD57" s="144" t="s">
        <v>32</v>
      </c>
      <c r="DE57" s="145">
        <v>200</v>
      </c>
      <c r="DF57" s="145">
        <v>13</v>
      </c>
      <c r="DG57" s="146">
        <v>10</v>
      </c>
      <c r="DI57" s="11">
        <v>46076</v>
      </c>
      <c r="DJ57" s="33" t="s">
        <v>8</v>
      </c>
      <c r="DK57" s="114"/>
      <c r="DL57" s="115"/>
      <c r="DM57" s="115">
        <v>0</v>
      </c>
      <c r="DN57" s="116">
        <v>10</v>
      </c>
      <c r="DP57" s="166">
        <v>46076</v>
      </c>
      <c r="DQ57" s="143" t="s">
        <v>8</v>
      </c>
      <c r="DR57" s="114"/>
      <c r="DS57" s="115"/>
      <c r="DT57" s="115"/>
      <c r="DU57" s="116"/>
      <c r="DW57" s="166">
        <v>46076</v>
      </c>
      <c r="DX57" s="143" t="s">
        <v>8</v>
      </c>
      <c r="DY57" s="114"/>
      <c r="DZ57" s="115"/>
      <c r="EA57" s="115"/>
      <c r="EB57" s="116"/>
    </row>
    <row r="58" spans="1:132" x14ac:dyDescent="0.25">
      <c r="A58" s="11">
        <v>46077</v>
      </c>
      <c r="B58" s="33" t="s">
        <v>9</v>
      </c>
      <c r="C58" s="144" t="s">
        <v>73</v>
      </c>
      <c r="D58" s="145">
        <v>180</v>
      </c>
      <c r="E58" s="145">
        <v>15</v>
      </c>
      <c r="F58" s="146">
        <v>19</v>
      </c>
      <c r="H58" s="11">
        <v>46077</v>
      </c>
      <c r="I58" s="33" t="s">
        <v>9</v>
      </c>
      <c r="J58" s="114"/>
      <c r="K58" s="115"/>
      <c r="L58" s="115"/>
      <c r="M58" s="116"/>
      <c r="O58" s="11">
        <v>46077</v>
      </c>
      <c r="P58" s="33" t="s">
        <v>9</v>
      </c>
      <c r="Q58" s="114"/>
      <c r="R58" s="115"/>
      <c r="S58" s="115"/>
      <c r="T58" s="116"/>
      <c r="V58" s="11">
        <v>46076</v>
      </c>
      <c r="W58" s="33" t="s">
        <v>8</v>
      </c>
      <c r="X58" s="144" t="s">
        <v>36</v>
      </c>
      <c r="Y58" s="145"/>
      <c r="Z58" s="145">
        <v>12.6</v>
      </c>
      <c r="AA58" s="116"/>
      <c r="AC58" s="11">
        <v>46077</v>
      </c>
      <c r="AD58" s="33" t="s">
        <v>9</v>
      </c>
      <c r="AE58" s="144" t="s">
        <v>32</v>
      </c>
      <c r="AF58" s="145">
        <v>180</v>
      </c>
      <c r="AG58" s="145">
        <v>13</v>
      </c>
      <c r="AH58" s="146">
        <f t="shared" si="0"/>
        <v>29</v>
      </c>
      <c r="AJ58" s="11">
        <v>46077</v>
      </c>
      <c r="AK58" s="33" t="s">
        <v>9</v>
      </c>
      <c r="AL58" s="144" t="s">
        <v>32</v>
      </c>
      <c r="AM58" s="145">
        <v>250</v>
      </c>
      <c r="AN58" s="145">
        <v>0</v>
      </c>
      <c r="AO58" s="146">
        <v>10</v>
      </c>
      <c r="AQ58" s="11">
        <v>46077</v>
      </c>
      <c r="AR58" s="33" t="s">
        <v>9</v>
      </c>
      <c r="AS58" s="114"/>
      <c r="AT58" s="115"/>
      <c r="AU58" s="145"/>
      <c r="AV58" s="146">
        <v>0</v>
      </c>
      <c r="AX58" s="11">
        <v>46076</v>
      </c>
      <c r="AY58" s="33" t="s">
        <v>8</v>
      </c>
      <c r="AZ58" s="144" t="s">
        <v>32</v>
      </c>
      <c r="BA58" s="145">
        <v>120</v>
      </c>
      <c r="BB58" s="145">
        <v>0</v>
      </c>
      <c r="BC58" s="146">
        <v>10</v>
      </c>
      <c r="BE58" s="11">
        <v>46077</v>
      </c>
      <c r="BF58" s="33" t="s">
        <v>9</v>
      </c>
      <c r="BG58" s="33"/>
      <c r="BH58" s="19"/>
      <c r="BI58" s="19"/>
      <c r="BJ58" s="20"/>
      <c r="BL58" s="11">
        <v>46077</v>
      </c>
      <c r="BM58" s="33" t="s">
        <v>9</v>
      </c>
      <c r="BN58" s="144" t="s">
        <v>73</v>
      </c>
      <c r="BO58" s="145">
        <v>120</v>
      </c>
      <c r="BP58" s="145">
        <v>13</v>
      </c>
      <c r="BQ58" s="146">
        <v>0</v>
      </c>
      <c r="BS58" s="11">
        <v>46077</v>
      </c>
      <c r="BT58" s="33" t="s">
        <v>9</v>
      </c>
      <c r="BU58" s="114"/>
      <c r="BV58" s="115"/>
      <c r="BW58" s="115"/>
      <c r="BX58" s="116"/>
      <c r="BZ58" s="11">
        <v>46076</v>
      </c>
      <c r="CA58" s="33" t="s">
        <v>8</v>
      </c>
      <c r="CB58" s="144" t="s">
        <v>36</v>
      </c>
      <c r="CC58" s="145">
        <v>0</v>
      </c>
      <c r="CD58" s="145">
        <v>0</v>
      </c>
      <c r="CE58" s="146">
        <v>0</v>
      </c>
      <c r="CG58" s="11">
        <v>46077</v>
      </c>
      <c r="CH58" s="33" t="s">
        <v>9</v>
      </c>
      <c r="CI58" s="114"/>
      <c r="CJ58" s="115"/>
      <c r="CK58" s="115"/>
      <c r="CL58" s="116"/>
      <c r="CN58" s="11">
        <v>46077</v>
      </c>
      <c r="CO58" s="33" t="s">
        <v>9</v>
      </c>
      <c r="CP58" s="144" t="s">
        <v>73</v>
      </c>
      <c r="CQ58" s="145">
        <v>180</v>
      </c>
      <c r="CR58" s="145">
        <v>13</v>
      </c>
      <c r="CS58" s="146">
        <v>0</v>
      </c>
      <c r="CU58" s="11">
        <v>46077</v>
      </c>
      <c r="CV58" s="33" t="s">
        <v>9</v>
      </c>
      <c r="CW58" s="144" t="s">
        <v>32</v>
      </c>
      <c r="CX58" s="145">
        <v>120</v>
      </c>
      <c r="CY58" s="145">
        <v>0</v>
      </c>
      <c r="CZ58" s="146">
        <v>10</v>
      </c>
      <c r="DB58" s="11">
        <v>46077</v>
      </c>
      <c r="DC58" s="33" t="s">
        <v>9</v>
      </c>
      <c r="DD58" s="144" t="s">
        <v>32</v>
      </c>
      <c r="DE58" s="145">
        <v>200</v>
      </c>
      <c r="DF58" s="145">
        <v>13</v>
      </c>
      <c r="DG58" s="146">
        <v>10</v>
      </c>
      <c r="DI58" s="11">
        <v>46077</v>
      </c>
      <c r="DJ58" s="33" t="s">
        <v>9</v>
      </c>
      <c r="DK58" s="114"/>
      <c r="DL58" s="115"/>
      <c r="DM58" s="115">
        <v>0</v>
      </c>
      <c r="DN58" s="116">
        <v>10</v>
      </c>
      <c r="DP58" s="11">
        <v>46077</v>
      </c>
      <c r="DQ58" s="33" t="s">
        <v>9</v>
      </c>
      <c r="DR58" s="144" t="s">
        <v>32</v>
      </c>
      <c r="DS58" s="145">
        <v>120</v>
      </c>
      <c r="DT58" s="145">
        <v>13</v>
      </c>
      <c r="DU58" s="146">
        <v>10</v>
      </c>
      <c r="DW58" s="166">
        <v>46077</v>
      </c>
      <c r="DX58" s="143" t="s">
        <v>9</v>
      </c>
      <c r="DY58" s="114"/>
      <c r="DZ58" s="115"/>
      <c r="EA58" s="115"/>
      <c r="EB58" s="116"/>
    </row>
    <row r="59" spans="1:132" x14ac:dyDescent="0.25">
      <c r="A59" s="11">
        <v>46078</v>
      </c>
      <c r="B59" s="33" t="s">
        <v>3</v>
      </c>
      <c r="C59" s="144" t="s">
        <v>73</v>
      </c>
      <c r="D59" s="145">
        <v>180</v>
      </c>
      <c r="E59" s="145">
        <v>15</v>
      </c>
      <c r="F59" s="146">
        <v>19</v>
      </c>
      <c r="H59" s="11">
        <v>46078</v>
      </c>
      <c r="I59" s="33" t="s">
        <v>3</v>
      </c>
      <c r="J59" s="114"/>
      <c r="K59" s="115"/>
      <c r="L59" s="115"/>
      <c r="M59" s="116"/>
      <c r="O59" s="11">
        <v>46078</v>
      </c>
      <c r="P59" s="33" t="s">
        <v>3</v>
      </c>
      <c r="Q59" s="114"/>
      <c r="R59" s="115"/>
      <c r="S59" s="115"/>
      <c r="T59" s="116"/>
      <c r="V59" s="11">
        <v>46077</v>
      </c>
      <c r="W59" s="33" t="s">
        <v>9</v>
      </c>
      <c r="X59" s="144" t="s">
        <v>73</v>
      </c>
      <c r="Y59" s="145">
        <v>120</v>
      </c>
      <c r="Z59" s="145">
        <v>12.6</v>
      </c>
      <c r="AA59" s="116"/>
      <c r="AC59" s="11">
        <v>46078</v>
      </c>
      <c r="AD59" s="33" t="s">
        <v>3</v>
      </c>
      <c r="AE59" s="144" t="s">
        <v>32</v>
      </c>
      <c r="AF59" s="145">
        <v>180</v>
      </c>
      <c r="AG59" s="145">
        <v>13</v>
      </c>
      <c r="AH59" s="146">
        <f t="shared" si="0"/>
        <v>29</v>
      </c>
      <c r="AJ59" s="11">
        <v>46078</v>
      </c>
      <c r="AK59" s="33" t="s">
        <v>3</v>
      </c>
      <c r="AL59" s="144" t="s">
        <v>32</v>
      </c>
      <c r="AM59" s="145">
        <v>250</v>
      </c>
      <c r="AN59" s="145">
        <v>0</v>
      </c>
      <c r="AO59" s="146">
        <v>10</v>
      </c>
      <c r="AQ59" s="11">
        <v>46078</v>
      </c>
      <c r="AR59" s="33" t="s">
        <v>3</v>
      </c>
      <c r="AS59" s="114"/>
      <c r="AT59" s="115"/>
      <c r="AU59" s="145"/>
      <c r="AV59" s="146">
        <v>0</v>
      </c>
      <c r="AX59" s="11">
        <v>46077</v>
      </c>
      <c r="AY59" s="33" t="s">
        <v>9</v>
      </c>
      <c r="AZ59" s="144" t="s">
        <v>32</v>
      </c>
      <c r="BA59" s="145">
        <v>120</v>
      </c>
      <c r="BB59" s="145">
        <v>0</v>
      </c>
      <c r="BC59" s="146">
        <v>10</v>
      </c>
      <c r="BE59" s="11">
        <v>46078</v>
      </c>
      <c r="BF59" s="33" t="s">
        <v>3</v>
      </c>
      <c r="BG59" s="33"/>
      <c r="BH59" s="19"/>
      <c r="BI59" s="19"/>
      <c r="BJ59" s="20"/>
      <c r="BL59" s="11">
        <v>46078</v>
      </c>
      <c r="BM59" s="33" t="s">
        <v>3</v>
      </c>
      <c r="BN59" s="144" t="s">
        <v>73</v>
      </c>
      <c r="BO59" s="145">
        <v>120</v>
      </c>
      <c r="BP59" s="145">
        <v>13</v>
      </c>
      <c r="BQ59" s="146">
        <v>0</v>
      </c>
      <c r="BS59" s="11">
        <v>46078</v>
      </c>
      <c r="BT59" s="33" t="s">
        <v>3</v>
      </c>
      <c r="BU59" s="114"/>
      <c r="BV59" s="115"/>
      <c r="BW59" s="115"/>
      <c r="BX59" s="116"/>
      <c r="BZ59" s="11">
        <v>46077</v>
      </c>
      <c r="CA59" s="33" t="s">
        <v>9</v>
      </c>
      <c r="CB59" s="144" t="s">
        <v>32</v>
      </c>
      <c r="CC59" s="145">
        <v>120</v>
      </c>
      <c r="CD59" s="145">
        <v>0</v>
      </c>
      <c r="CE59" s="146">
        <v>10</v>
      </c>
      <c r="CG59" s="11">
        <v>46078</v>
      </c>
      <c r="CH59" s="33" t="s">
        <v>3</v>
      </c>
      <c r="CI59" s="114"/>
      <c r="CJ59" s="115"/>
      <c r="CK59" s="115"/>
      <c r="CL59" s="116"/>
      <c r="CN59" s="11">
        <v>46078</v>
      </c>
      <c r="CO59" s="33" t="s">
        <v>3</v>
      </c>
      <c r="CP59" s="144" t="s">
        <v>73</v>
      </c>
      <c r="CQ59" s="145">
        <v>180</v>
      </c>
      <c r="CR59" s="145">
        <v>13</v>
      </c>
      <c r="CS59" s="146">
        <v>0</v>
      </c>
      <c r="CU59" s="11">
        <v>46078</v>
      </c>
      <c r="CV59" s="33" t="s">
        <v>3</v>
      </c>
      <c r="CW59" s="144" t="s">
        <v>32</v>
      </c>
      <c r="CX59" s="145">
        <v>120</v>
      </c>
      <c r="CY59" s="145">
        <v>0</v>
      </c>
      <c r="CZ59" s="146">
        <v>10</v>
      </c>
      <c r="DB59" s="11">
        <v>46078</v>
      </c>
      <c r="DC59" s="33" t="s">
        <v>3</v>
      </c>
      <c r="DD59" s="144" t="s">
        <v>32</v>
      </c>
      <c r="DE59" s="145">
        <v>200</v>
      </c>
      <c r="DF59" s="145">
        <v>13</v>
      </c>
      <c r="DG59" s="146">
        <v>10</v>
      </c>
      <c r="DI59" s="11">
        <v>46078</v>
      </c>
      <c r="DJ59" s="33" t="s">
        <v>3</v>
      </c>
      <c r="DK59" s="114"/>
      <c r="DL59" s="115"/>
      <c r="DM59" s="115">
        <v>0</v>
      </c>
      <c r="DN59" s="116">
        <v>10</v>
      </c>
      <c r="DP59" s="11">
        <v>46078</v>
      </c>
      <c r="DQ59" s="33" t="s">
        <v>3</v>
      </c>
      <c r="DR59" s="144" t="s">
        <v>32</v>
      </c>
      <c r="DS59" s="145">
        <v>120</v>
      </c>
      <c r="DT59" s="145">
        <v>13</v>
      </c>
      <c r="DU59" s="146">
        <v>10</v>
      </c>
      <c r="DW59" s="166">
        <v>46078</v>
      </c>
      <c r="DX59" s="143" t="s">
        <v>3</v>
      </c>
      <c r="DY59" s="114"/>
      <c r="DZ59" s="115"/>
      <c r="EA59" s="115"/>
      <c r="EB59" s="116"/>
    </row>
    <row r="60" spans="1:132" x14ac:dyDescent="0.25">
      <c r="A60" s="11">
        <v>46079</v>
      </c>
      <c r="B60" s="33" t="s">
        <v>4</v>
      </c>
      <c r="C60" s="144" t="s">
        <v>73</v>
      </c>
      <c r="D60" s="145">
        <v>180</v>
      </c>
      <c r="E60" s="145">
        <v>15</v>
      </c>
      <c r="F60" s="146">
        <v>19</v>
      </c>
      <c r="H60" s="11">
        <v>46079</v>
      </c>
      <c r="I60" s="33" t="s">
        <v>4</v>
      </c>
      <c r="J60" s="114"/>
      <c r="K60" s="115"/>
      <c r="L60" s="115"/>
      <c r="M60" s="116"/>
      <c r="O60" s="11">
        <v>46079</v>
      </c>
      <c r="P60" s="33" t="s">
        <v>4</v>
      </c>
      <c r="Q60" s="114"/>
      <c r="R60" s="115"/>
      <c r="S60" s="115"/>
      <c r="T60" s="116"/>
      <c r="V60" s="11">
        <v>46078</v>
      </c>
      <c r="W60" s="33" t="s">
        <v>3</v>
      </c>
      <c r="X60" s="144" t="s">
        <v>73</v>
      </c>
      <c r="Y60" s="145">
        <v>120</v>
      </c>
      <c r="Z60" s="145">
        <v>12.6</v>
      </c>
      <c r="AA60" s="116"/>
      <c r="AC60" s="11">
        <v>46079</v>
      </c>
      <c r="AD60" s="33" t="s">
        <v>4</v>
      </c>
      <c r="AE60" s="144" t="s">
        <v>32</v>
      </c>
      <c r="AF60" s="145">
        <v>180</v>
      </c>
      <c r="AG60" s="145">
        <v>13</v>
      </c>
      <c r="AH60" s="146">
        <f t="shared" si="0"/>
        <v>29</v>
      </c>
      <c r="AJ60" s="11">
        <v>46079</v>
      </c>
      <c r="AK60" s="33" t="s">
        <v>4</v>
      </c>
      <c r="AL60" s="144" t="s">
        <v>32</v>
      </c>
      <c r="AM60" s="145">
        <v>250</v>
      </c>
      <c r="AN60" s="145">
        <v>0</v>
      </c>
      <c r="AO60" s="146">
        <v>10</v>
      </c>
      <c r="AQ60" s="11">
        <v>46079</v>
      </c>
      <c r="AR60" s="33" t="s">
        <v>4</v>
      </c>
      <c r="AS60" s="114"/>
      <c r="AT60" s="115"/>
      <c r="AU60" s="145"/>
      <c r="AV60" s="146">
        <v>0</v>
      </c>
      <c r="AX60" s="11">
        <v>46078</v>
      </c>
      <c r="AY60" s="33" t="s">
        <v>3</v>
      </c>
      <c r="AZ60" s="144" t="s">
        <v>32</v>
      </c>
      <c r="BA60" s="145">
        <v>120</v>
      </c>
      <c r="BB60" s="145">
        <v>0</v>
      </c>
      <c r="BC60" s="146">
        <v>10</v>
      </c>
      <c r="BE60" s="11">
        <v>46079</v>
      </c>
      <c r="BF60" s="33" t="s">
        <v>4</v>
      </c>
      <c r="BG60" s="33"/>
      <c r="BH60" s="19"/>
      <c r="BI60" s="19"/>
      <c r="BJ60" s="20"/>
      <c r="BL60" s="11">
        <v>46079</v>
      </c>
      <c r="BM60" s="33" t="s">
        <v>4</v>
      </c>
      <c r="BN60" s="144" t="s">
        <v>73</v>
      </c>
      <c r="BO60" s="145">
        <v>120</v>
      </c>
      <c r="BP60" s="145">
        <v>13</v>
      </c>
      <c r="BQ60" s="146">
        <v>0</v>
      </c>
      <c r="BS60" s="11">
        <v>46079</v>
      </c>
      <c r="BT60" s="33" t="s">
        <v>4</v>
      </c>
      <c r="BU60" s="114"/>
      <c r="BV60" s="115"/>
      <c r="BW60" s="115"/>
      <c r="BX60" s="116"/>
      <c r="BZ60" s="11">
        <v>46078</v>
      </c>
      <c r="CA60" s="33" t="s">
        <v>3</v>
      </c>
      <c r="CB60" s="144" t="s">
        <v>32</v>
      </c>
      <c r="CC60" s="145">
        <v>120</v>
      </c>
      <c r="CD60" s="145">
        <v>0</v>
      </c>
      <c r="CE60" s="146">
        <v>10</v>
      </c>
      <c r="CG60" s="11">
        <v>46079</v>
      </c>
      <c r="CH60" s="33" t="s">
        <v>4</v>
      </c>
      <c r="CI60" s="114"/>
      <c r="CJ60" s="115"/>
      <c r="CK60" s="115"/>
      <c r="CL60" s="116"/>
      <c r="CN60" s="11">
        <v>46079</v>
      </c>
      <c r="CO60" s="33" t="s">
        <v>4</v>
      </c>
      <c r="CP60" s="144" t="s">
        <v>73</v>
      </c>
      <c r="CQ60" s="145">
        <v>180</v>
      </c>
      <c r="CR60" s="145">
        <v>13</v>
      </c>
      <c r="CS60" s="146">
        <v>0</v>
      </c>
      <c r="CU60" s="11">
        <v>46079</v>
      </c>
      <c r="CV60" s="33" t="s">
        <v>4</v>
      </c>
      <c r="CW60" s="144" t="s">
        <v>32</v>
      </c>
      <c r="CX60" s="145">
        <v>120</v>
      </c>
      <c r="CY60" s="145">
        <v>0</v>
      </c>
      <c r="CZ60" s="146">
        <v>10</v>
      </c>
      <c r="DB60" s="11">
        <v>46079</v>
      </c>
      <c r="DC60" s="33" t="s">
        <v>4</v>
      </c>
      <c r="DD60" s="144" t="s">
        <v>32</v>
      </c>
      <c r="DE60" s="145">
        <v>200</v>
      </c>
      <c r="DF60" s="145">
        <v>13</v>
      </c>
      <c r="DG60" s="146">
        <v>10</v>
      </c>
      <c r="DI60" s="11">
        <v>46079</v>
      </c>
      <c r="DJ60" s="33" t="s">
        <v>4</v>
      </c>
      <c r="DK60" s="114"/>
      <c r="DL60" s="115"/>
      <c r="DM60" s="115">
        <v>0</v>
      </c>
      <c r="DN60" s="116">
        <v>10</v>
      </c>
      <c r="DP60" s="11">
        <v>46079</v>
      </c>
      <c r="DQ60" s="33" t="s">
        <v>4</v>
      </c>
      <c r="DR60" s="144" t="s">
        <v>32</v>
      </c>
      <c r="DS60" s="145">
        <v>120</v>
      </c>
      <c r="DT60" s="145">
        <v>13</v>
      </c>
      <c r="DU60" s="146">
        <v>10</v>
      </c>
      <c r="DW60" s="166">
        <v>46079</v>
      </c>
      <c r="DX60" s="143" t="s">
        <v>4</v>
      </c>
      <c r="DY60" s="114"/>
      <c r="DZ60" s="115"/>
      <c r="EA60" s="115"/>
      <c r="EB60" s="116"/>
    </row>
    <row r="61" spans="1:132" x14ac:dyDescent="0.25">
      <c r="A61" s="11">
        <v>46080</v>
      </c>
      <c r="B61" s="33" t="s">
        <v>5</v>
      </c>
      <c r="C61" s="144" t="s">
        <v>73</v>
      </c>
      <c r="D61" s="145">
        <v>180</v>
      </c>
      <c r="E61" s="145">
        <v>15</v>
      </c>
      <c r="F61" s="146">
        <v>19</v>
      </c>
      <c r="H61" s="11">
        <v>46080</v>
      </c>
      <c r="I61" s="33" t="s">
        <v>5</v>
      </c>
      <c r="J61" s="114"/>
      <c r="K61" s="115"/>
      <c r="L61" s="115"/>
      <c r="M61" s="116"/>
      <c r="O61" s="11">
        <v>46080</v>
      </c>
      <c r="P61" s="33" t="s">
        <v>5</v>
      </c>
      <c r="Q61" s="114"/>
      <c r="R61" s="115"/>
      <c r="S61" s="115"/>
      <c r="T61" s="116"/>
      <c r="V61" s="11">
        <v>46079</v>
      </c>
      <c r="W61" s="33" t="s">
        <v>4</v>
      </c>
      <c r="X61" s="144" t="s">
        <v>73</v>
      </c>
      <c r="Y61" s="145">
        <v>120</v>
      </c>
      <c r="Z61" s="145">
        <v>12.6</v>
      </c>
      <c r="AA61" s="116"/>
      <c r="AC61" s="11">
        <v>46080</v>
      </c>
      <c r="AD61" s="33" t="s">
        <v>5</v>
      </c>
      <c r="AE61" s="144" t="s">
        <v>32</v>
      </c>
      <c r="AF61" s="145">
        <v>180</v>
      </c>
      <c r="AG61" s="145">
        <v>13</v>
      </c>
      <c r="AH61" s="146">
        <f t="shared" si="0"/>
        <v>29</v>
      </c>
      <c r="AJ61" s="11">
        <v>46080</v>
      </c>
      <c r="AK61" s="33" t="s">
        <v>5</v>
      </c>
      <c r="AL61" s="144" t="s">
        <v>32</v>
      </c>
      <c r="AM61" s="145">
        <v>250</v>
      </c>
      <c r="AN61" s="145">
        <v>0</v>
      </c>
      <c r="AO61" s="146">
        <v>10</v>
      </c>
      <c r="AQ61" s="11">
        <v>46080</v>
      </c>
      <c r="AR61" s="33" t="s">
        <v>5</v>
      </c>
      <c r="AS61" s="114"/>
      <c r="AT61" s="115"/>
      <c r="AU61" s="145"/>
      <c r="AV61" s="146">
        <v>0</v>
      </c>
      <c r="AX61" s="11">
        <v>46079</v>
      </c>
      <c r="AY61" s="33" t="s">
        <v>4</v>
      </c>
      <c r="AZ61" s="144" t="s">
        <v>32</v>
      </c>
      <c r="BA61" s="145">
        <v>120</v>
      </c>
      <c r="BB61" s="145">
        <v>0</v>
      </c>
      <c r="BC61" s="146">
        <v>10</v>
      </c>
      <c r="BE61" s="11">
        <v>46080</v>
      </c>
      <c r="BF61" s="33" t="s">
        <v>5</v>
      </c>
      <c r="BG61" s="33"/>
      <c r="BH61" s="19"/>
      <c r="BI61" s="19"/>
      <c r="BJ61" s="20"/>
      <c r="BL61" s="11">
        <v>46080</v>
      </c>
      <c r="BM61" s="33" t="s">
        <v>5</v>
      </c>
      <c r="BN61" s="144" t="s">
        <v>73</v>
      </c>
      <c r="BO61" s="145">
        <v>120</v>
      </c>
      <c r="BP61" s="145">
        <v>13</v>
      </c>
      <c r="BQ61" s="146">
        <v>0</v>
      </c>
      <c r="BS61" s="11">
        <v>46080</v>
      </c>
      <c r="BT61" s="33" t="s">
        <v>5</v>
      </c>
      <c r="BU61" s="114"/>
      <c r="BV61" s="115"/>
      <c r="BW61" s="115"/>
      <c r="BX61" s="116"/>
      <c r="BZ61" s="11">
        <v>46079</v>
      </c>
      <c r="CA61" s="33" t="s">
        <v>4</v>
      </c>
      <c r="CB61" s="144" t="s">
        <v>32</v>
      </c>
      <c r="CC61" s="145">
        <v>120</v>
      </c>
      <c r="CD61" s="145">
        <v>0</v>
      </c>
      <c r="CE61" s="146">
        <v>10</v>
      </c>
      <c r="CG61" s="11">
        <v>46080</v>
      </c>
      <c r="CH61" s="33" t="s">
        <v>5</v>
      </c>
      <c r="CI61" s="114"/>
      <c r="CJ61" s="115"/>
      <c r="CK61" s="115"/>
      <c r="CL61" s="116"/>
      <c r="CN61" s="11">
        <v>46080</v>
      </c>
      <c r="CO61" s="33" t="s">
        <v>5</v>
      </c>
      <c r="CP61" s="144" t="s">
        <v>73</v>
      </c>
      <c r="CQ61" s="145">
        <v>180</v>
      </c>
      <c r="CR61" s="145">
        <v>13</v>
      </c>
      <c r="CS61" s="146">
        <v>0</v>
      </c>
      <c r="CU61" s="11">
        <v>46080</v>
      </c>
      <c r="CV61" s="33" t="s">
        <v>5</v>
      </c>
      <c r="CW61" s="144" t="s">
        <v>32</v>
      </c>
      <c r="CX61" s="145">
        <v>120</v>
      </c>
      <c r="CY61" s="145">
        <v>0</v>
      </c>
      <c r="CZ61" s="146">
        <v>10</v>
      </c>
      <c r="DB61" s="11">
        <v>46080</v>
      </c>
      <c r="DC61" s="33" t="s">
        <v>5</v>
      </c>
      <c r="DD61" s="144" t="s">
        <v>32</v>
      </c>
      <c r="DE61" s="145">
        <v>200</v>
      </c>
      <c r="DF61" s="145">
        <v>13</v>
      </c>
      <c r="DG61" s="146">
        <v>10</v>
      </c>
      <c r="DI61" s="11">
        <v>46080</v>
      </c>
      <c r="DJ61" s="33" t="s">
        <v>5</v>
      </c>
      <c r="DK61" s="114"/>
      <c r="DL61" s="115"/>
      <c r="DM61" s="115">
        <v>0</v>
      </c>
      <c r="DN61" s="116">
        <v>10</v>
      </c>
      <c r="DP61" s="11">
        <v>46080</v>
      </c>
      <c r="DQ61" s="33" t="s">
        <v>5</v>
      </c>
      <c r="DR61" s="144" t="s">
        <v>32</v>
      </c>
      <c r="DS61" s="145">
        <v>120</v>
      </c>
      <c r="DT61" s="145">
        <v>13</v>
      </c>
      <c r="DU61" s="146">
        <v>10</v>
      </c>
      <c r="DW61" s="166">
        <v>46080</v>
      </c>
      <c r="DX61" s="143" t="s">
        <v>5</v>
      </c>
      <c r="DY61" s="114"/>
      <c r="DZ61" s="115"/>
      <c r="EA61" s="115"/>
      <c r="EB61" s="116"/>
    </row>
    <row r="62" spans="1:132" x14ac:dyDescent="0.25">
      <c r="A62" s="11">
        <v>46081</v>
      </c>
      <c r="B62" s="33" t="s">
        <v>6</v>
      </c>
      <c r="C62" s="144"/>
      <c r="D62" s="145"/>
      <c r="E62" s="115"/>
      <c r="F62" s="116"/>
      <c r="H62" s="11">
        <v>46081</v>
      </c>
      <c r="I62" s="33" t="s">
        <v>6</v>
      </c>
      <c r="J62" s="114"/>
      <c r="K62" s="115"/>
      <c r="L62" s="115"/>
      <c r="M62" s="116"/>
      <c r="O62" s="11">
        <v>46081</v>
      </c>
      <c r="P62" s="33" t="s">
        <v>6</v>
      </c>
      <c r="Q62" s="114"/>
      <c r="R62" s="115"/>
      <c r="S62" s="115"/>
      <c r="T62" s="116"/>
      <c r="V62" s="11">
        <v>46080</v>
      </c>
      <c r="W62" s="33" t="s">
        <v>5</v>
      </c>
      <c r="X62" s="144" t="s">
        <v>73</v>
      </c>
      <c r="Y62" s="145">
        <v>120</v>
      </c>
      <c r="Z62" s="145">
        <v>12.6</v>
      </c>
      <c r="AA62" s="116"/>
      <c r="AC62" s="11">
        <v>46081</v>
      </c>
      <c r="AD62" s="33" t="s">
        <v>6</v>
      </c>
      <c r="AE62" s="144"/>
      <c r="AF62" s="145"/>
      <c r="AG62" s="115"/>
      <c r="AH62" s="116"/>
      <c r="AJ62" s="11">
        <v>46081</v>
      </c>
      <c r="AK62" s="33" t="s">
        <v>6</v>
      </c>
      <c r="AL62" s="144"/>
      <c r="AM62" s="145"/>
      <c r="AN62" s="145"/>
      <c r="AO62" s="116"/>
      <c r="AQ62" s="11">
        <v>46081</v>
      </c>
      <c r="AR62" s="33" t="s">
        <v>6</v>
      </c>
      <c r="AS62" s="114"/>
      <c r="AT62" s="115"/>
      <c r="AU62" s="115"/>
      <c r="AV62" s="116"/>
      <c r="AX62" s="11">
        <v>46080</v>
      </c>
      <c r="AY62" s="33" t="s">
        <v>5</v>
      </c>
      <c r="AZ62" s="144" t="s">
        <v>32</v>
      </c>
      <c r="BA62" s="145">
        <v>120</v>
      </c>
      <c r="BB62" s="145">
        <v>0</v>
      </c>
      <c r="BC62" s="146">
        <v>10</v>
      </c>
      <c r="BE62" s="11">
        <v>46081</v>
      </c>
      <c r="BF62" s="33" t="s">
        <v>6</v>
      </c>
      <c r="BG62" s="33"/>
      <c r="BH62" s="19"/>
      <c r="BI62" s="19"/>
      <c r="BJ62" s="20"/>
      <c r="BL62" s="11">
        <v>46081</v>
      </c>
      <c r="BM62" s="33" t="s">
        <v>6</v>
      </c>
      <c r="BN62" s="144"/>
      <c r="BO62" s="145"/>
      <c r="BP62" s="115"/>
      <c r="BQ62" s="116"/>
      <c r="BS62" s="11">
        <v>46081</v>
      </c>
      <c r="BT62" s="33" t="s">
        <v>6</v>
      </c>
      <c r="BU62" s="114"/>
      <c r="BV62" s="115"/>
      <c r="BW62" s="115"/>
      <c r="BX62" s="116"/>
      <c r="BZ62" s="11">
        <v>46080</v>
      </c>
      <c r="CA62" s="33" t="s">
        <v>5</v>
      </c>
      <c r="CB62" s="144" t="s">
        <v>32</v>
      </c>
      <c r="CC62" s="145">
        <v>120</v>
      </c>
      <c r="CD62" s="145">
        <v>0</v>
      </c>
      <c r="CE62" s="146">
        <v>10</v>
      </c>
      <c r="CG62" s="11">
        <v>46081</v>
      </c>
      <c r="CH62" s="33" t="s">
        <v>6</v>
      </c>
      <c r="CI62" s="114"/>
      <c r="CJ62" s="115"/>
      <c r="CK62" s="115"/>
      <c r="CL62" s="116"/>
      <c r="CN62" s="11">
        <v>46081</v>
      </c>
      <c r="CO62" s="33" t="s">
        <v>6</v>
      </c>
      <c r="CP62" s="144"/>
      <c r="CQ62" s="145"/>
      <c r="CR62" s="115"/>
      <c r="CS62" s="116"/>
      <c r="CU62" s="11">
        <v>46081</v>
      </c>
      <c r="CV62" s="33" t="s">
        <v>6</v>
      </c>
      <c r="CW62" s="144"/>
      <c r="CX62" s="145"/>
      <c r="CY62" s="115"/>
      <c r="CZ62" s="116"/>
      <c r="DB62" s="11">
        <v>46081</v>
      </c>
      <c r="DC62" s="33" t="s">
        <v>6</v>
      </c>
      <c r="DD62" s="144" t="s">
        <v>73</v>
      </c>
      <c r="DE62" s="145">
        <v>200</v>
      </c>
      <c r="DF62" s="145">
        <v>13</v>
      </c>
      <c r="DG62" s="116"/>
      <c r="DI62" s="11">
        <v>46081</v>
      </c>
      <c r="DJ62" s="33" t="s">
        <v>6</v>
      </c>
      <c r="DK62" s="114"/>
      <c r="DL62" s="115"/>
      <c r="DM62" s="115"/>
      <c r="DN62" s="116"/>
      <c r="DP62" s="11">
        <v>46081</v>
      </c>
      <c r="DQ62" s="33" t="s">
        <v>6</v>
      </c>
      <c r="DR62" s="144" t="s">
        <v>73</v>
      </c>
      <c r="DS62" s="145">
        <v>120</v>
      </c>
      <c r="DT62" s="145">
        <v>13</v>
      </c>
      <c r="DU62" s="146"/>
      <c r="DW62" s="166">
        <v>46081</v>
      </c>
      <c r="DX62" s="143" t="s">
        <v>6</v>
      </c>
      <c r="DY62" s="114"/>
      <c r="DZ62" s="115"/>
      <c r="EA62" s="115"/>
      <c r="EB62" s="116"/>
    </row>
    <row r="63" spans="1:132" x14ac:dyDescent="0.25">
      <c r="A63" s="11">
        <v>46082</v>
      </c>
      <c r="B63" s="33" t="s">
        <v>7</v>
      </c>
      <c r="C63" s="144"/>
      <c r="D63" s="145"/>
      <c r="E63" s="115"/>
      <c r="F63" s="116"/>
      <c r="H63" s="11">
        <v>46082</v>
      </c>
      <c r="I63" s="33" t="s">
        <v>7</v>
      </c>
      <c r="J63" s="114"/>
      <c r="K63" s="115"/>
      <c r="L63" s="115"/>
      <c r="M63" s="116"/>
      <c r="O63" s="11">
        <v>46082</v>
      </c>
      <c r="P63" s="33" t="s">
        <v>7</v>
      </c>
      <c r="Q63" s="114"/>
      <c r="R63" s="115"/>
      <c r="S63" s="115"/>
      <c r="T63" s="116"/>
      <c r="V63" s="11">
        <v>46081</v>
      </c>
      <c r="W63" s="33" t="s">
        <v>6</v>
      </c>
      <c r="X63" s="144"/>
      <c r="Y63" s="145"/>
      <c r="Z63" s="115"/>
      <c r="AA63" s="116"/>
      <c r="AC63" s="11">
        <v>46082</v>
      </c>
      <c r="AD63" s="33" t="s">
        <v>7</v>
      </c>
      <c r="AE63" s="144"/>
      <c r="AF63" s="145"/>
      <c r="AG63" s="115"/>
      <c r="AH63" s="116"/>
      <c r="AJ63" s="11">
        <v>46082</v>
      </c>
      <c r="AK63" s="33" t="s">
        <v>7</v>
      </c>
      <c r="AL63" s="144"/>
      <c r="AM63" s="145"/>
      <c r="AN63" s="145"/>
      <c r="AO63" s="116"/>
      <c r="AQ63" s="11">
        <v>46082</v>
      </c>
      <c r="AR63" s="33" t="s">
        <v>7</v>
      </c>
      <c r="AS63" s="114"/>
      <c r="AT63" s="115"/>
      <c r="AU63" s="115"/>
      <c r="AV63" s="116"/>
      <c r="AX63" s="11">
        <v>46081</v>
      </c>
      <c r="AY63" s="33" t="s">
        <v>6</v>
      </c>
      <c r="AZ63" s="144"/>
      <c r="BA63" s="145"/>
      <c r="BB63" s="145"/>
      <c r="BC63" s="116"/>
      <c r="BE63" s="11">
        <v>46082</v>
      </c>
      <c r="BF63" s="33" t="s">
        <v>7</v>
      </c>
      <c r="BG63" s="33"/>
      <c r="BH63" s="19"/>
      <c r="BI63" s="19"/>
      <c r="BJ63" s="20"/>
      <c r="BL63" s="11">
        <v>46082</v>
      </c>
      <c r="BM63" s="33" t="s">
        <v>7</v>
      </c>
      <c r="BN63" s="144"/>
      <c r="BO63" s="145"/>
      <c r="BP63" s="115"/>
      <c r="BQ63" s="116"/>
      <c r="BS63" s="11">
        <v>46082</v>
      </c>
      <c r="BT63" s="33" t="s">
        <v>7</v>
      </c>
      <c r="BU63" s="114"/>
      <c r="BV63" s="115"/>
      <c r="BW63" s="115"/>
      <c r="BX63" s="116"/>
      <c r="BZ63" s="11">
        <v>46081</v>
      </c>
      <c r="CA63" s="33" t="s">
        <v>6</v>
      </c>
      <c r="CB63" s="144"/>
      <c r="CC63" s="145"/>
      <c r="CD63" s="115"/>
      <c r="CE63" s="116"/>
      <c r="CG63" s="11">
        <v>46082</v>
      </c>
      <c r="CH63" s="33" t="s">
        <v>7</v>
      </c>
      <c r="CI63" s="114"/>
      <c r="CJ63" s="115"/>
      <c r="CK63" s="115"/>
      <c r="CL63" s="116"/>
      <c r="CN63" s="11">
        <v>46082</v>
      </c>
      <c r="CO63" s="33" t="s">
        <v>7</v>
      </c>
      <c r="CP63" s="144"/>
      <c r="CQ63" s="145"/>
      <c r="CR63" s="115"/>
      <c r="CS63" s="116"/>
      <c r="CU63" s="11">
        <v>46082</v>
      </c>
      <c r="CV63" s="33" t="s">
        <v>7</v>
      </c>
      <c r="CW63" s="144" t="s">
        <v>73</v>
      </c>
      <c r="CX63" s="145">
        <v>120</v>
      </c>
      <c r="CY63" s="145">
        <v>13</v>
      </c>
      <c r="CZ63" s="146">
        <v>0</v>
      </c>
      <c r="DB63" s="11">
        <v>46082</v>
      </c>
      <c r="DC63" s="33" t="s">
        <v>7</v>
      </c>
      <c r="DD63" s="144" t="s">
        <v>73</v>
      </c>
      <c r="DE63" s="145">
        <v>200</v>
      </c>
      <c r="DF63" s="145">
        <v>13</v>
      </c>
      <c r="DG63" s="116"/>
      <c r="DI63" s="11">
        <v>46082</v>
      </c>
      <c r="DJ63" s="33" t="s">
        <v>7</v>
      </c>
      <c r="DK63" s="114"/>
      <c r="DL63" s="115"/>
      <c r="DM63" s="115"/>
      <c r="DN63" s="116"/>
      <c r="DP63" s="11">
        <v>46082</v>
      </c>
      <c r="DQ63" s="33" t="s">
        <v>7</v>
      </c>
      <c r="DR63" s="144" t="s">
        <v>73</v>
      </c>
      <c r="DS63" s="145">
        <v>120</v>
      </c>
      <c r="DT63" s="145">
        <v>13</v>
      </c>
      <c r="DU63" s="146"/>
      <c r="DW63" s="11">
        <v>46082</v>
      </c>
      <c r="DX63" s="33" t="s">
        <v>7</v>
      </c>
      <c r="DY63" s="144" t="s">
        <v>73</v>
      </c>
      <c r="DZ63" s="145">
        <v>120</v>
      </c>
      <c r="EA63" s="145">
        <v>13</v>
      </c>
      <c r="EB63" s="146">
        <v>0</v>
      </c>
    </row>
    <row r="64" spans="1:132" x14ac:dyDescent="0.25">
      <c r="A64" s="11">
        <v>46083</v>
      </c>
      <c r="B64" s="33" t="s">
        <v>8</v>
      </c>
      <c r="C64" s="144" t="s">
        <v>73</v>
      </c>
      <c r="D64" s="145">
        <v>180</v>
      </c>
      <c r="E64" s="145">
        <v>15</v>
      </c>
      <c r="F64" s="146">
        <v>19</v>
      </c>
      <c r="H64" s="11">
        <v>46083</v>
      </c>
      <c r="I64" s="33" t="s">
        <v>8</v>
      </c>
      <c r="J64" s="114"/>
      <c r="K64" s="115"/>
      <c r="L64" s="115"/>
      <c r="M64" s="116"/>
      <c r="O64" s="11">
        <v>46083</v>
      </c>
      <c r="P64" s="33" t="s">
        <v>8</v>
      </c>
      <c r="Q64" s="114"/>
      <c r="R64" s="115"/>
      <c r="S64" s="115"/>
      <c r="T64" s="116"/>
      <c r="V64" s="11">
        <v>46082</v>
      </c>
      <c r="W64" s="33" t="s">
        <v>7</v>
      </c>
      <c r="X64" s="144"/>
      <c r="Y64" s="145"/>
      <c r="Z64" s="115"/>
      <c r="AA64" s="116"/>
      <c r="AC64" s="11">
        <v>46083</v>
      </c>
      <c r="AD64" s="33" t="s">
        <v>8</v>
      </c>
      <c r="AE64" s="144" t="s">
        <v>32</v>
      </c>
      <c r="AF64" s="145">
        <v>180</v>
      </c>
      <c r="AG64" s="145">
        <v>0</v>
      </c>
      <c r="AH64" s="145">
        <v>0</v>
      </c>
      <c r="AJ64" s="11">
        <v>46083</v>
      </c>
      <c r="AK64" s="33" t="s">
        <v>8</v>
      </c>
      <c r="AL64" s="144" t="s">
        <v>32</v>
      </c>
      <c r="AM64" s="145">
        <v>250</v>
      </c>
      <c r="AN64" s="145">
        <v>0</v>
      </c>
      <c r="AO64" s="146">
        <v>0</v>
      </c>
      <c r="AQ64" s="11">
        <v>46083</v>
      </c>
      <c r="AR64" s="33" t="s">
        <v>8</v>
      </c>
      <c r="AS64" s="114"/>
      <c r="AT64" s="115"/>
      <c r="AU64" s="115"/>
      <c r="AV64" s="116"/>
      <c r="AX64" s="11">
        <v>46082</v>
      </c>
      <c r="AY64" s="33" t="s">
        <v>7</v>
      </c>
      <c r="AZ64" s="144"/>
      <c r="BA64" s="145"/>
      <c r="BB64" s="145"/>
      <c r="BC64" s="116"/>
      <c r="BE64" s="11">
        <v>46083</v>
      </c>
      <c r="BF64" s="33" t="s">
        <v>8</v>
      </c>
      <c r="BG64" s="33"/>
      <c r="BH64" s="19"/>
      <c r="BI64" s="19"/>
      <c r="BJ64" s="20"/>
      <c r="BL64" s="11">
        <v>46083</v>
      </c>
      <c r="BM64" s="33" t="s">
        <v>8</v>
      </c>
      <c r="BN64" s="144" t="s">
        <v>73</v>
      </c>
      <c r="BO64" s="145">
        <v>120</v>
      </c>
      <c r="BP64" s="145">
        <v>13</v>
      </c>
      <c r="BQ64" s="116"/>
      <c r="BS64" s="11">
        <v>46083</v>
      </c>
      <c r="BT64" s="33" t="s">
        <v>8</v>
      </c>
      <c r="BU64" s="114"/>
      <c r="BV64" s="115"/>
      <c r="BW64" s="115"/>
      <c r="BX64" s="116"/>
      <c r="BZ64" s="11">
        <v>46082</v>
      </c>
      <c r="CA64" s="33" t="s">
        <v>7</v>
      </c>
      <c r="CB64" s="144"/>
      <c r="CC64" s="145"/>
      <c r="CD64" s="115"/>
      <c r="CE64" s="116"/>
      <c r="CG64" s="11">
        <v>46083</v>
      </c>
      <c r="CH64" s="33" t="s">
        <v>8</v>
      </c>
      <c r="CI64" s="114"/>
      <c r="CJ64" s="115"/>
      <c r="CK64" s="115"/>
      <c r="CL64" s="116"/>
      <c r="CN64" s="11">
        <v>46083</v>
      </c>
      <c r="CO64" s="33" t="s">
        <v>8</v>
      </c>
      <c r="CP64" s="144" t="s">
        <v>73</v>
      </c>
      <c r="CQ64" s="145">
        <v>180</v>
      </c>
      <c r="CR64" s="145">
        <v>13</v>
      </c>
      <c r="CS64" s="146">
        <v>0</v>
      </c>
      <c r="CU64" s="11">
        <v>46083</v>
      </c>
      <c r="CV64" s="33" t="s">
        <v>8</v>
      </c>
      <c r="CW64" s="144" t="s">
        <v>32</v>
      </c>
      <c r="CX64" s="145">
        <v>120</v>
      </c>
      <c r="CY64" s="145">
        <v>0</v>
      </c>
      <c r="CZ64" s="146"/>
      <c r="DB64" s="11">
        <v>46083</v>
      </c>
      <c r="DC64" s="33" t="s">
        <v>8</v>
      </c>
      <c r="DD64" s="144" t="s">
        <v>32</v>
      </c>
      <c r="DE64" s="145">
        <v>200</v>
      </c>
      <c r="DF64" s="145">
        <v>13</v>
      </c>
      <c r="DG64" s="116"/>
      <c r="DI64" s="11">
        <v>46083</v>
      </c>
      <c r="DJ64" s="33" t="s">
        <v>8</v>
      </c>
      <c r="DK64" s="114"/>
      <c r="DL64" s="115"/>
      <c r="DM64" s="115"/>
      <c r="DN64" s="116"/>
      <c r="DP64" s="11">
        <v>46083</v>
      </c>
      <c r="DQ64" s="33" t="s">
        <v>8</v>
      </c>
      <c r="DR64" s="144" t="s">
        <v>32</v>
      </c>
      <c r="DS64" s="145">
        <v>120</v>
      </c>
      <c r="DT64" s="145">
        <v>13</v>
      </c>
      <c r="DU64" s="146">
        <v>0</v>
      </c>
      <c r="DW64" s="11">
        <v>46083</v>
      </c>
      <c r="DX64" s="33" t="s">
        <v>8</v>
      </c>
      <c r="DY64" s="144" t="s">
        <v>73</v>
      </c>
      <c r="DZ64" s="145">
        <v>120</v>
      </c>
      <c r="EA64" s="145">
        <v>13</v>
      </c>
      <c r="EB64" s="146">
        <v>0</v>
      </c>
    </row>
    <row r="65" spans="1:132" x14ac:dyDescent="0.25">
      <c r="A65" s="11">
        <v>46084</v>
      </c>
      <c r="B65" s="33" t="s">
        <v>9</v>
      </c>
      <c r="C65" s="144" t="s">
        <v>73</v>
      </c>
      <c r="D65" s="145">
        <v>180</v>
      </c>
      <c r="E65" s="145">
        <v>15</v>
      </c>
      <c r="F65" s="146">
        <v>19</v>
      </c>
      <c r="H65" s="11">
        <v>46084</v>
      </c>
      <c r="I65" s="33" t="s">
        <v>9</v>
      </c>
      <c r="J65" s="114"/>
      <c r="K65" s="115"/>
      <c r="L65" s="115"/>
      <c r="M65" s="116"/>
      <c r="O65" s="11">
        <v>46084</v>
      </c>
      <c r="P65" s="33" t="s">
        <v>9</v>
      </c>
      <c r="Q65" s="114"/>
      <c r="R65" s="115"/>
      <c r="S65" s="115"/>
      <c r="T65" s="116"/>
      <c r="V65" s="11">
        <v>46083</v>
      </c>
      <c r="W65" s="33" t="s">
        <v>8</v>
      </c>
      <c r="X65" s="144" t="s">
        <v>73</v>
      </c>
      <c r="Y65" s="145">
        <v>120</v>
      </c>
      <c r="Z65" s="145">
        <v>12.6</v>
      </c>
      <c r="AA65" s="116"/>
      <c r="AC65" s="11">
        <v>46084</v>
      </c>
      <c r="AD65" s="33" t="s">
        <v>9</v>
      </c>
      <c r="AE65" s="144" t="s">
        <v>32</v>
      </c>
      <c r="AF65" s="145">
        <v>180</v>
      </c>
      <c r="AG65" s="145">
        <v>0</v>
      </c>
      <c r="AH65" s="145">
        <v>10</v>
      </c>
      <c r="AJ65" s="11">
        <v>46084</v>
      </c>
      <c r="AK65" s="33" t="s">
        <v>9</v>
      </c>
      <c r="AL65" s="144" t="s">
        <v>32</v>
      </c>
      <c r="AM65" s="145">
        <v>250</v>
      </c>
      <c r="AN65" s="145">
        <v>0</v>
      </c>
      <c r="AO65" s="146">
        <v>10</v>
      </c>
      <c r="AQ65" s="11">
        <v>46084</v>
      </c>
      <c r="AR65" s="33" t="s">
        <v>9</v>
      </c>
      <c r="AS65" s="114"/>
      <c r="AT65" s="115"/>
      <c r="AU65" s="115"/>
      <c r="AV65" s="116"/>
      <c r="AX65" s="11">
        <v>46083</v>
      </c>
      <c r="AY65" s="33" t="s">
        <v>8</v>
      </c>
      <c r="AZ65" s="144" t="s">
        <v>32</v>
      </c>
      <c r="BA65" s="145">
        <v>120</v>
      </c>
      <c r="BB65" s="145">
        <v>0</v>
      </c>
      <c r="BC65" s="146">
        <v>0</v>
      </c>
      <c r="BE65" s="11">
        <v>46084</v>
      </c>
      <c r="BF65" s="33" t="s">
        <v>9</v>
      </c>
      <c r="BG65" s="33"/>
      <c r="BH65" s="19"/>
      <c r="BI65" s="19"/>
      <c r="BJ65" s="20"/>
      <c r="BL65" s="11">
        <v>46084</v>
      </c>
      <c r="BM65" s="33" t="s">
        <v>9</v>
      </c>
      <c r="BN65" s="144" t="s">
        <v>73</v>
      </c>
      <c r="BO65" s="145">
        <v>120</v>
      </c>
      <c r="BP65" s="145">
        <v>13</v>
      </c>
      <c r="BQ65" s="116"/>
      <c r="BS65" s="11">
        <v>46084</v>
      </c>
      <c r="BT65" s="33" t="s">
        <v>9</v>
      </c>
      <c r="BU65" s="114"/>
      <c r="BV65" s="115"/>
      <c r="BW65" s="115"/>
      <c r="BX65" s="116"/>
      <c r="BZ65" s="11">
        <v>46083</v>
      </c>
      <c r="CA65" s="33" t="s">
        <v>8</v>
      </c>
      <c r="CB65" s="144" t="s">
        <v>32</v>
      </c>
      <c r="CC65" s="145">
        <v>120</v>
      </c>
      <c r="CD65" s="145">
        <v>0</v>
      </c>
      <c r="CE65" s="146">
        <v>0</v>
      </c>
      <c r="CG65" s="11">
        <v>46084</v>
      </c>
      <c r="CH65" s="33" t="s">
        <v>9</v>
      </c>
      <c r="CI65" s="114"/>
      <c r="CJ65" s="115"/>
      <c r="CK65" s="115"/>
      <c r="CL65" s="116"/>
      <c r="CN65" s="11">
        <v>46084</v>
      </c>
      <c r="CO65" s="33" t="s">
        <v>9</v>
      </c>
      <c r="CP65" s="144" t="s">
        <v>73</v>
      </c>
      <c r="CQ65" s="145">
        <v>180</v>
      </c>
      <c r="CR65" s="145">
        <v>13</v>
      </c>
      <c r="CS65" s="146">
        <v>0</v>
      </c>
      <c r="CU65" s="11">
        <v>46084</v>
      </c>
      <c r="CV65" s="33" t="s">
        <v>9</v>
      </c>
      <c r="CW65" s="144" t="s">
        <v>32</v>
      </c>
      <c r="CX65" s="145">
        <v>120</v>
      </c>
      <c r="CY65" s="145">
        <v>0</v>
      </c>
      <c r="CZ65" s="146">
        <v>10</v>
      </c>
      <c r="DB65" s="11">
        <v>46084</v>
      </c>
      <c r="DC65" s="33" t="s">
        <v>9</v>
      </c>
      <c r="DD65" s="144" t="s">
        <v>32</v>
      </c>
      <c r="DE65" s="145">
        <v>200</v>
      </c>
      <c r="DF65" s="145">
        <v>13</v>
      </c>
      <c r="DG65" s="146">
        <v>10</v>
      </c>
      <c r="DI65" s="11">
        <v>46084</v>
      </c>
      <c r="DJ65" s="33" t="s">
        <v>9</v>
      </c>
      <c r="DK65" s="114"/>
      <c r="DL65" s="115"/>
      <c r="DM65" s="115"/>
      <c r="DN65" s="116"/>
      <c r="DP65" s="11">
        <v>46084</v>
      </c>
      <c r="DQ65" s="33" t="s">
        <v>9</v>
      </c>
      <c r="DR65" s="144" t="s">
        <v>32</v>
      </c>
      <c r="DS65" s="145">
        <v>120</v>
      </c>
      <c r="DT65" s="145">
        <v>13</v>
      </c>
      <c r="DU65" s="146">
        <v>10</v>
      </c>
      <c r="DW65" s="11">
        <v>46084</v>
      </c>
      <c r="DX65" s="33" t="s">
        <v>9</v>
      </c>
      <c r="DY65" s="144" t="s">
        <v>73</v>
      </c>
      <c r="DZ65" s="145">
        <v>120</v>
      </c>
      <c r="EA65" s="145">
        <v>13</v>
      </c>
      <c r="EB65" s="146">
        <v>0</v>
      </c>
    </row>
    <row r="66" spans="1:132" x14ac:dyDescent="0.25">
      <c r="A66" s="11">
        <v>46085</v>
      </c>
      <c r="B66" s="33" t="s">
        <v>3</v>
      </c>
      <c r="C66" s="144" t="s">
        <v>73</v>
      </c>
      <c r="D66" s="145">
        <v>180</v>
      </c>
      <c r="E66" s="145">
        <v>15</v>
      </c>
      <c r="F66" s="146">
        <v>19</v>
      </c>
      <c r="H66" s="11">
        <v>46085</v>
      </c>
      <c r="I66" s="33" t="s">
        <v>3</v>
      </c>
      <c r="J66" s="114"/>
      <c r="K66" s="115"/>
      <c r="L66" s="115"/>
      <c r="M66" s="116"/>
      <c r="O66" s="11">
        <v>46085</v>
      </c>
      <c r="P66" s="33" t="s">
        <v>3</v>
      </c>
      <c r="Q66" s="114"/>
      <c r="R66" s="115"/>
      <c r="S66" s="115"/>
      <c r="T66" s="116"/>
      <c r="V66" s="11">
        <v>46084</v>
      </c>
      <c r="W66" s="33" t="s">
        <v>9</v>
      </c>
      <c r="X66" s="144" t="s">
        <v>73</v>
      </c>
      <c r="Y66" s="145">
        <v>120</v>
      </c>
      <c r="Z66" s="145">
        <v>12.6</v>
      </c>
      <c r="AA66" s="116"/>
      <c r="AC66" s="11">
        <v>46085</v>
      </c>
      <c r="AD66" s="33" t="s">
        <v>3</v>
      </c>
      <c r="AE66" s="144" t="s">
        <v>32</v>
      </c>
      <c r="AF66" s="145">
        <v>180</v>
      </c>
      <c r="AG66" s="145">
        <v>0</v>
      </c>
      <c r="AH66" s="145">
        <v>10</v>
      </c>
      <c r="AJ66" s="11">
        <v>46085</v>
      </c>
      <c r="AK66" s="33" t="s">
        <v>3</v>
      </c>
      <c r="AL66" s="144" t="s">
        <v>32</v>
      </c>
      <c r="AM66" s="145">
        <v>250</v>
      </c>
      <c r="AN66" s="145">
        <v>0</v>
      </c>
      <c r="AO66" s="146">
        <v>10</v>
      </c>
      <c r="AQ66" s="11">
        <v>46085</v>
      </c>
      <c r="AR66" s="33" t="s">
        <v>3</v>
      </c>
      <c r="AS66" s="114"/>
      <c r="AT66" s="115"/>
      <c r="AU66" s="115"/>
      <c r="AV66" s="116"/>
      <c r="AX66" s="11">
        <v>46084</v>
      </c>
      <c r="AY66" s="33" t="s">
        <v>9</v>
      </c>
      <c r="AZ66" s="144" t="s">
        <v>32</v>
      </c>
      <c r="BA66" s="145">
        <v>120</v>
      </c>
      <c r="BB66" s="145">
        <v>0</v>
      </c>
      <c r="BC66" s="146">
        <v>10</v>
      </c>
      <c r="BE66" s="11">
        <v>46085</v>
      </c>
      <c r="BF66" s="33" t="s">
        <v>3</v>
      </c>
      <c r="BG66" s="33"/>
      <c r="BH66" s="19"/>
      <c r="BI66" s="19"/>
      <c r="BJ66" s="20"/>
      <c r="BL66" s="11">
        <v>46085</v>
      </c>
      <c r="BM66" s="33" t="s">
        <v>3</v>
      </c>
      <c r="BN66" s="144" t="s">
        <v>73</v>
      </c>
      <c r="BO66" s="145">
        <v>120</v>
      </c>
      <c r="BP66" s="145">
        <v>13</v>
      </c>
      <c r="BQ66" s="116"/>
      <c r="BS66" s="11">
        <v>46085</v>
      </c>
      <c r="BT66" s="33" t="s">
        <v>3</v>
      </c>
      <c r="BU66" s="114"/>
      <c r="BV66" s="115"/>
      <c r="BW66" s="115"/>
      <c r="BX66" s="116"/>
      <c r="BZ66" s="11">
        <v>46084</v>
      </c>
      <c r="CA66" s="33" t="s">
        <v>9</v>
      </c>
      <c r="CB66" s="144" t="s">
        <v>32</v>
      </c>
      <c r="CC66" s="145">
        <v>120</v>
      </c>
      <c r="CD66" s="145">
        <v>0</v>
      </c>
      <c r="CE66" s="146">
        <v>10</v>
      </c>
      <c r="CG66" s="11">
        <v>46085</v>
      </c>
      <c r="CH66" s="33" t="s">
        <v>3</v>
      </c>
      <c r="CI66" s="114"/>
      <c r="CJ66" s="115"/>
      <c r="CK66" s="115"/>
      <c r="CL66" s="116"/>
      <c r="CN66" s="11">
        <v>46085</v>
      </c>
      <c r="CO66" s="33" t="s">
        <v>3</v>
      </c>
      <c r="CP66" s="144" t="s">
        <v>73</v>
      </c>
      <c r="CQ66" s="145">
        <v>180</v>
      </c>
      <c r="CR66" s="145">
        <v>13</v>
      </c>
      <c r="CS66" s="146">
        <v>0</v>
      </c>
      <c r="CU66" s="11">
        <v>46085</v>
      </c>
      <c r="CV66" s="33" t="s">
        <v>3</v>
      </c>
      <c r="CW66" s="144" t="s">
        <v>32</v>
      </c>
      <c r="CX66" s="145">
        <v>120</v>
      </c>
      <c r="CY66" s="145">
        <v>0</v>
      </c>
      <c r="CZ66" s="146">
        <v>10</v>
      </c>
      <c r="DB66" s="11">
        <v>46085</v>
      </c>
      <c r="DC66" s="33" t="s">
        <v>3</v>
      </c>
      <c r="DD66" s="144" t="s">
        <v>32</v>
      </c>
      <c r="DE66" s="145">
        <v>200</v>
      </c>
      <c r="DF66" s="145">
        <v>13</v>
      </c>
      <c r="DG66" s="146">
        <v>10</v>
      </c>
      <c r="DI66" s="11">
        <v>46085</v>
      </c>
      <c r="DJ66" s="33" t="s">
        <v>3</v>
      </c>
      <c r="DK66" s="114"/>
      <c r="DL66" s="115"/>
      <c r="DM66" s="115"/>
      <c r="DN66" s="116"/>
      <c r="DP66" s="11">
        <v>46085</v>
      </c>
      <c r="DQ66" s="33" t="s">
        <v>3</v>
      </c>
      <c r="DR66" s="144" t="s">
        <v>32</v>
      </c>
      <c r="DS66" s="145">
        <v>120</v>
      </c>
      <c r="DT66" s="145">
        <v>13</v>
      </c>
      <c r="DU66" s="146">
        <v>10</v>
      </c>
      <c r="DW66" s="11">
        <v>46085</v>
      </c>
      <c r="DX66" s="33" t="s">
        <v>3</v>
      </c>
      <c r="DY66" s="144" t="s">
        <v>73</v>
      </c>
      <c r="DZ66" s="145">
        <v>120</v>
      </c>
      <c r="EA66" s="145">
        <v>13</v>
      </c>
      <c r="EB66" s="146">
        <v>0</v>
      </c>
    </row>
    <row r="67" spans="1:132" x14ac:dyDescent="0.25">
      <c r="A67" s="11">
        <v>46086</v>
      </c>
      <c r="B67" s="33" t="s">
        <v>4</v>
      </c>
      <c r="C67" s="144" t="s">
        <v>73</v>
      </c>
      <c r="D67" s="145">
        <v>180</v>
      </c>
      <c r="E67" s="145">
        <v>15</v>
      </c>
      <c r="F67" s="146">
        <v>19</v>
      </c>
      <c r="H67" s="11">
        <v>46086</v>
      </c>
      <c r="I67" s="33" t="s">
        <v>4</v>
      </c>
      <c r="J67" s="114"/>
      <c r="K67" s="115"/>
      <c r="L67" s="115"/>
      <c r="M67" s="116"/>
      <c r="O67" s="11">
        <v>46086</v>
      </c>
      <c r="P67" s="33" t="s">
        <v>4</v>
      </c>
      <c r="Q67" s="114"/>
      <c r="R67" s="115"/>
      <c r="S67" s="115"/>
      <c r="T67" s="116"/>
      <c r="V67" s="11">
        <v>46085</v>
      </c>
      <c r="W67" s="33" t="s">
        <v>3</v>
      </c>
      <c r="X67" s="144" t="s">
        <v>73</v>
      </c>
      <c r="Y67" s="145">
        <v>120</v>
      </c>
      <c r="Z67" s="145">
        <v>12.6</v>
      </c>
      <c r="AA67" s="116"/>
      <c r="AC67" s="11">
        <v>46086</v>
      </c>
      <c r="AD67" s="33" t="s">
        <v>4</v>
      </c>
      <c r="AE67" s="144" t="s">
        <v>32</v>
      </c>
      <c r="AF67" s="145">
        <v>180</v>
      </c>
      <c r="AG67" s="145">
        <v>0</v>
      </c>
      <c r="AH67" s="145">
        <v>10</v>
      </c>
      <c r="AJ67" s="11">
        <v>46086</v>
      </c>
      <c r="AK67" s="33" t="s">
        <v>4</v>
      </c>
      <c r="AL67" s="144" t="s">
        <v>32</v>
      </c>
      <c r="AM67" s="145">
        <v>250</v>
      </c>
      <c r="AN67" s="145">
        <v>0</v>
      </c>
      <c r="AO67" s="146">
        <v>10</v>
      </c>
      <c r="AQ67" s="11">
        <v>46086</v>
      </c>
      <c r="AR67" s="33" t="s">
        <v>4</v>
      </c>
      <c r="AS67" s="114"/>
      <c r="AT67" s="115"/>
      <c r="AU67" s="115"/>
      <c r="AV67" s="116"/>
      <c r="AX67" s="11">
        <v>46085</v>
      </c>
      <c r="AY67" s="33" t="s">
        <v>3</v>
      </c>
      <c r="AZ67" s="144" t="s">
        <v>32</v>
      </c>
      <c r="BA67" s="145">
        <v>120</v>
      </c>
      <c r="BB67" s="145">
        <v>0</v>
      </c>
      <c r="BC67" s="146">
        <v>10</v>
      </c>
      <c r="BE67" s="11">
        <v>46086</v>
      </c>
      <c r="BF67" s="33" t="s">
        <v>4</v>
      </c>
      <c r="BG67" s="33"/>
      <c r="BH67" s="19"/>
      <c r="BI67" s="19"/>
      <c r="BJ67" s="20"/>
      <c r="BL67" s="11">
        <v>46086</v>
      </c>
      <c r="BM67" s="33" t="s">
        <v>4</v>
      </c>
      <c r="BN67" s="144" t="s">
        <v>73</v>
      </c>
      <c r="BO67" s="145">
        <v>120</v>
      </c>
      <c r="BP67" s="145">
        <v>13</v>
      </c>
      <c r="BQ67" s="116"/>
      <c r="BS67" s="11">
        <v>46086</v>
      </c>
      <c r="BT67" s="33" t="s">
        <v>4</v>
      </c>
      <c r="BU67" s="114"/>
      <c r="BV67" s="115"/>
      <c r="BW67" s="115"/>
      <c r="BX67" s="116"/>
      <c r="BZ67" s="11">
        <v>46085</v>
      </c>
      <c r="CA67" s="33" t="s">
        <v>3</v>
      </c>
      <c r="CB67" s="144" t="s">
        <v>32</v>
      </c>
      <c r="CC67" s="145">
        <v>120</v>
      </c>
      <c r="CD67" s="145">
        <v>0</v>
      </c>
      <c r="CE67" s="146">
        <v>10</v>
      </c>
      <c r="CG67" s="11">
        <v>46086</v>
      </c>
      <c r="CH67" s="33" t="s">
        <v>4</v>
      </c>
      <c r="CI67" s="114"/>
      <c r="CJ67" s="115"/>
      <c r="CK67" s="115"/>
      <c r="CL67" s="116"/>
      <c r="CN67" s="11">
        <v>46086</v>
      </c>
      <c r="CO67" s="33" t="s">
        <v>4</v>
      </c>
      <c r="CP67" s="144" t="s">
        <v>73</v>
      </c>
      <c r="CQ67" s="145">
        <v>180</v>
      </c>
      <c r="CR67" s="145">
        <v>13</v>
      </c>
      <c r="CS67" s="146">
        <v>0</v>
      </c>
      <c r="CU67" s="11">
        <v>46086</v>
      </c>
      <c r="CV67" s="33" t="s">
        <v>4</v>
      </c>
      <c r="CW67" s="144" t="s">
        <v>32</v>
      </c>
      <c r="CX67" s="145">
        <v>120</v>
      </c>
      <c r="CY67" s="145">
        <v>0</v>
      </c>
      <c r="CZ67" s="146">
        <v>10</v>
      </c>
      <c r="DB67" s="11">
        <v>46086</v>
      </c>
      <c r="DC67" s="33" t="s">
        <v>4</v>
      </c>
      <c r="DD67" s="144" t="s">
        <v>32</v>
      </c>
      <c r="DE67" s="145">
        <v>200</v>
      </c>
      <c r="DF67" s="145">
        <v>13</v>
      </c>
      <c r="DG67" s="146">
        <v>10</v>
      </c>
      <c r="DI67" s="11">
        <v>46086</v>
      </c>
      <c r="DJ67" s="33" t="s">
        <v>4</v>
      </c>
      <c r="DK67" s="114"/>
      <c r="DL67" s="115"/>
      <c r="DM67" s="115"/>
      <c r="DN67" s="116"/>
      <c r="DP67" s="11">
        <v>46086</v>
      </c>
      <c r="DQ67" s="33" t="s">
        <v>4</v>
      </c>
      <c r="DR67" s="144" t="s">
        <v>32</v>
      </c>
      <c r="DS67" s="145">
        <v>120</v>
      </c>
      <c r="DT67" s="145">
        <v>13</v>
      </c>
      <c r="DU67" s="146">
        <v>10</v>
      </c>
      <c r="DW67" s="11">
        <v>46086</v>
      </c>
      <c r="DX67" s="33" t="s">
        <v>4</v>
      </c>
      <c r="DY67" s="144" t="s">
        <v>73</v>
      </c>
      <c r="DZ67" s="145">
        <v>120</v>
      </c>
      <c r="EA67" s="145">
        <v>13</v>
      </c>
      <c r="EB67" s="146">
        <v>0</v>
      </c>
    </row>
    <row r="68" spans="1:132" x14ac:dyDescent="0.25">
      <c r="A68" s="11">
        <v>46087</v>
      </c>
      <c r="B68" s="33" t="s">
        <v>5</v>
      </c>
      <c r="C68" s="144" t="s">
        <v>73</v>
      </c>
      <c r="D68" s="145">
        <v>180</v>
      </c>
      <c r="E68" s="145">
        <v>15</v>
      </c>
      <c r="F68" s="146">
        <v>19</v>
      </c>
      <c r="H68" s="11">
        <v>46087</v>
      </c>
      <c r="I68" s="33" t="s">
        <v>5</v>
      </c>
      <c r="J68" s="114"/>
      <c r="K68" s="115"/>
      <c r="L68" s="115"/>
      <c r="M68" s="116"/>
      <c r="O68" s="11">
        <v>46087</v>
      </c>
      <c r="P68" s="33" t="s">
        <v>5</v>
      </c>
      <c r="Q68" s="114"/>
      <c r="R68" s="115"/>
      <c r="S68" s="115"/>
      <c r="T68" s="116"/>
      <c r="V68" s="11">
        <v>46086</v>
      </c>
      <c r="W68" s="33" t="s">
        <v>4</v>
      </c>
      <c r="X68" s="144" t="s">
        <v>73</v>
      </c>
      <c r="Y68" s="145">
        <v>120</v>
      </c>
      <c r="Z68" s="145">
        <v>12.6</v>
      </c>
      <c r="AA68" s="116"/>
      <c r="AC68" s="11">
        <v>46087</v>
      </c>
      <c r="AD68" s="33" t="s">
        <v>5</v>
      </c>
      <c r="AE68" s="144" t="s">
        <v>32</v>
      </c>
      <c r="AF68" s="145">
        <v>180</v>
      </c>
      <c r="AG68" s="145">
        <v>0</v>
      </c>
      <c r="AH68" s="145">
        <v>10</v>
      </c>
      <c r="AJ68" s="11">
        <v>46087</v>
      </c>
      <c r="AK68" s="33" t="s">
        <v>5</v>
      </c>
      <c r="AL68" s="144" t="s">
        <v>32</v>
      </c>
      <c r="AM68" s="145">
        <v>250</v>
      </c>
      <c r="AN68" s="145">
        <v>0</v>
      </c>
      <c r="AO68" s="146">
        <v>10</v>
      </c>
      <c r="AQ68" s="11">
        <v>46087</v>
      </c>
      <c r="AR68" s="33" t="s">
        <v>5</v>
      </c>
      <c r="AS68" s="114"/>
      <c r="AT68" s="115"/>
      <c r="AU68" s="115"/>
      <c r="AV68" s="116"/>
      <c r="AX68" s="11">
        <v>46086</v>
      </c>
      <c r="AY68" s="33" t="s">
        <v>4</v>
      </c>
      <c r="AZ68" s="144" t="s">
        <v>32</v>
      </c>
      <c r="BA68" s="145">
        <v>120</v>
      </c>
      <c r="BB68" s="145">
        <v>0</v>
      </c>
      <c r="BC68" s="146">
        <v>10</v>
      </c>
      <c r="BE68" s="11">
        <v>46087</v>
      </c>
      <c r="BF68" s="33" t="s">
        <v>5</v>
      </c>
      <c r="BG68" s="33"/>
      <c r="BH68" s="19"/>
      <c r="BI68" s="19"/>
      <c r="BJ68" s="20"/>
      <c r="BL68" s="11">
        <v>46087</v>
      </c>
      <c r="BM68" s="33" t="s">
        <v>5</v>
      </c>
      <c r="BN68" s="144" t="s">
        <v>73</v>
      </c>
      <c r="BO68" s="145">
        <v>120</v>
      </c>
      <c r="BP68" s="145">
        <v>13</v>
      </c>
      <c r="BQ68" s="116"/>
      <c r="BS68" s="11">
        <v>46087</v>
      </c>
      <c r="BT68" s="33" t="s">
        <v>5</v>
      </c>
      <c r="BU68" s="114"/>
      <c r="BV68" s="115"/>
      <c r="BW68" s="115"/>
      <c r="BX68" s="116"/>
      <c r="BZ68" s="11">
        <v>46086</v>
      </c>
      <c r="CA68" s="33" t="s">
        <v>4</v>
      </c>
      <c r="CB68" s="144" t="s">
        <v>32</v>
      </c>
      <c r="CC68" s="145">
        <v>120</v>
      </c>
      <c r="CD68" s="145">
        <v>0</v>
      </c>
      <c r="CE68" s="146">
        <v>10</v>
      </c>
      <c r="CG68" s="11">
        <v>46087</v>
      </c>
      <c r="CH68" s="33" t="s">
        <v>5</v>
      </c>
      <c r="CI68" s="114"/>
      <c r="CJ68" s="115"/>
      <c r="CK68" s="115"/>
      <c r="CL68" s="116"/>
      <c r="CN68" s="11">
        <v>46087</v>
      </c>
      <c r="CO68" s="33" t="s">
        <v>5</v>
      </c>
      <c r="CP68" s="144" t="s">
        <v>73</v>
      </c>
      <c r="CQ68" s="145">
        <v>180</v>
      </c>
      <c r="CR68" s="145">
        <v>13</v>
      </c>
      <c r="CS68" s="146">
        <v>0</v>
      </c>
      <c r="CU68" s="11">
        <v>46087</v>
      </c>
      <c r="CV68" s="33" t="s">
        <v>5</v>
      </c>
      <c r="CW68" s="144" t="s">
        <v>32</v>
      </c>
      <c r="CX68" s="145">
        <v>120</v>
      </c>
      <c r="CY68" s="145">
        <v>0</v>
      </c>
      <c r="CZ68" s="146">
        <v>10</v>
      </c>
      <c r="DB68" s="11">
        <v>46087</v>
      </c>
      <c r="DC68" s="33" t="s">
        <v>5</v>
      </c>
      <c r="DD68" s="144" t="s">
        <v>32</v>
      </c>
      <c r="DE68" s="145">
        <v>200</v>
      </c>
      <c r="DF68" s="145">
        <v>13</v>
      </c>
      <c r="DG68" s="146">
        <v>10</v>
      </c>
      <c r="DI68" s="11">
        <v>46087</v>
      </c>
      <c r="DJ68" s="33" t="s">
        <v>5</v>
      </c>
      <c r="DK68" s="114"/>
      <c r="DL68" s="115"/>
      <c r="DM68" s="115"/>
      <c r="DN68" s="116"/>
      <c r="DP68" s="11">
        <v>46087</v>
      </c>
      <c r="DQ68" s="33" t="s">
        <v>5</v>
      </c>
      <c r="DR68" s="144" t="s">
        <v>32</v>
      </c>
      <c r="DS68" s="145">
        <v>120</v>
      </c>
      <c r="DT68" s="145">
        <v>13</v>
      </c>
      <c r="DU68" s="146">
        <v>10</v>
      </c>
      <c r="DW68" s="11">
        <v>46087</v>
      </c>
      <c r="DX68" s="33" t="s">
        <v>5</v>
      </c>
      <c r="DY68" s="144" t="s">
        <v>73</v>
      </c>
      <c r="DZ68" s="145">
        <v>120</v>
      </c>
      <c r="EA68" s="145">
        <v>13</v>
      </c>
      <c r="EB68" s="146">
        <v>0</v>
      </c>
    </row>
    <row r="69" spans="1:132" x14ac:dyDescent="0.25">
      <c r="A69" s="11">
        <v>46088</v>
      </c>
      <c r="B69" s="33" t="s">
        <v>6</v>
      </c>
      <c r="C69" s="144"/>
      <c r="D69" s="145"/>
      <c r="E69" s="115"/>
      <c r="F69" s="116"/>
      <c r="H69" s="11">
        <v>46088</v>
      </c>
      <c r="I69" s="33" t="s">
        <v>6</v>
      </c>
      <c r="J69" s="114"/>
      <c r="K69" s="115"/>
      <c r="L69" s="115"/>
      <c r="M69" s="116"/>
      <c r="O69" s="11">
        <v>46088</v>
      </c>
      <c r="P69" s="33" t="s">
        <v>6</v>
      </c>
      <c r="Q69" s="114"/>
      <c r="R69" s="115"/>
      <c r="S69" s="115"/>
      <c r="T69" s="116"/>
      <c r="V69" s="11">
        <v>46087</v>
      </c>
      <c r="W69" s="33" t="s">
        <v>5</v>
      </c>
      <c r="X69" s="144" t="s">
        <v>73</v>
      </c>
      <c r="Y69" s="145">
        <v>120</v>
      </c>
      <c r="Z69" s="145">
        <v>12.6</v>
      </c>
      <c r="AA69" s="116"/>
      <c r="AC69" s="11">
        <v>46088</v>
      </c>
      <c r="AD69" s="33" t="s">
        <v>6</v>
      </c>
      <c r="AE69" s="144"/>
      <c r="AF69" s="145"/>
      <c r="AG69" s="145"/>
      <c r="AH69" s="116"/>
      <c r="AJ69" s="11">
        <v>46088</v>
      </c>
      <c r="AK69" s="33" t="s">
        <v>6</v>
      </c>
      <c r="AL69" s="144"/>
      <c r="AM69" s="145"/>
      <c r="AN69" s="115"/>
      <c r="AO69" s="116"/>
      <c r="AQ69" s="11">
        <v>46088</v>
      </c>
      <c r="AR69" s="33" t="s">
        <v>6</v>
      </c>
      <c r="AS69" s="114"/>
      <c r="AT69" s="115"/>
      <c r="AU69" s="115"/>
      <c r="AV69" s="116"/>
      <c r="AX69" s="11">
        <v>46087</v>
      </c>
      <c r="AY69" s="33" t="s">
        <v>5</v>
      </c>
      <c r="AZ69" s="144" t="s">
        <v>32</v>
      </c>
      <c r="BA69" s="145">
        <v>120</v>
      </c>
      <c r="BB69" s="145">
        <v>0</v>
      </c>
      <c r="BC69" s="146">
        <v>10</v>
      </c>
      <c r="BE69" s="11">
        <v>46088</v>
      </c>
      <c r="BF69" s="33" t="s">
        <v>6</v>
      </c>
      <c r="BG69" s="33"/>
      <c r="BH69" s="19"/>
      <c r="BI69" s="19"/>
      <c r="BJ69" s="20"/>
      <c r="BL69" s="11">
        <v>46088</v>
      </c>
      <c r="BM69" s="33" t="s">
        <v>6</v>
      </c>
      <c r="BN69" s="144"/>
      <c r="BO69" s="145"/>
      <c r="BP69" s="115"/>
      <c r="BQ69" s="116"/>
      <c r="BS69" s="11">
        <v>46088</v>
      </c>
      <c r="BT69" s="33" t="s">
        <v>6</v>
      </c>
      <c r="BU69" s="114"/>
      <c r="BV69" s="115"/>
      <c r="BW69" s="115"/>
      <c r="BX69" s="116"/>
      <c r="BZ69" s="11">
        <v>46087</v>
      </c>
      <c r="CA69" s="33" t="s">
        <v>5</v>
      </c>
      <c r="CB69" s="144" t="s">
        <v>32</v>
      </c>
      <c r="CC69" s="145">
        <v>120</v>
      </c>
      <c r="CD69" s="145">
        <v>0</v>
      </c>
      <c r="CE69" s="146">
        <v>10</v>
      </c>
      <c r="CG69" s="11">
        <v>46088</v>
      </c>
      <c r="CH69" s="33" t="s">
        <v>6</v>
      </c>
      <c r="CI69" s="114"/>
      <c r="CJ69" s="115"/>
      <c r="CK69" s="115"/>
      <c r="CL69" s="116"/>
      <c r="CN69" s="11">
        <v>46088</v>
      </c>
      <c r="CO69" s="33" t="s">
        <v>6</v>
      </c>
      <c r="CP69" s="144" t="s">
        <v>73</v>
      </c>
      <c r="CQ69" s="145">
        <v>180</v>
      </c>
      <c r="CR69" s="115"/>
      <c r="CS69" s="116"/>
      <c r="CU69" s="11">
        <v>46088</v>
      </c>
      <c r="CV69" s="33" t="s">
        <v>6</v>
      </c>
      <c r="CW69" s="144"/>
      <c r="CX69" s="145"/>
      <c r="CY69" s="145"/>
      <c r="CZ69" s="146"/>
      <c r="DB69" s="11">
        <v>46088</v>
      </c>
      <c r="DC69" s="33" t="s">
        <v>6</v>
      </c>
      <c r="DD69" s="144"/>
      <c r="DE69" s="145"/>
      <c r="DF69" s="115"/>
      <c r="DG69" s="116"/>
      <c r="DI69" s="11">
        <v>46088</v>
      </c>
      <c r="DJ69" s="33" t="s">
        <v>6</v>
      </c>
      <c r="DK69" s="114"/>
      <c r="DL69" s="115"/>
      <c r="DM69" s="115"/>
      <c r="DN69" s="116"/>
      <c r="DP69" s="11">
        <v>46088</v>
      </c>
      <c r="DQ69" s="33" t="s">
        <v>6</v>
      </c>
      <c r="DR69" s="144"/>
      <c r="DS69" s="145"/>
      <c r="DT69" s="145"/>
      <c r="DU69" s="146"/>
      <c r="DW69" s="11">
        <v>46088</v>
      </c>
      <c r="DX69" s="33" t="s">
        <v>6</v>
      </c>
      <c r="DY69" s="144" t="s">
        <v>73</v>
      </c>
      <c r="DZ69" s="145">
        <v>120</v>
      </c>
      <c r="EA69" s="145">
        <v>13</v>
      </c>
      <c r="EB69" s="146">
        <v>0</v>
      </c>
    </row>
    <row r="70" spans="1:132" x14ac:dyDescent="0.25">
      <c r="A70" s="11">
        <v>46089</v>
      </c>
      <c r="B70" s="33" t="s">
        <v>7</v>
      </c>
      <c r="C70" s="144"/>
      <c r="D70" s="145"/>
      <c r="E70" s="115"/>
      <c r="F70" s="116"/>
      <c r="H70" s="11">
        <v>46089</v>
      </c>
      <c r="I70" s="33" t="s">
        <v>7</v>
      </c>
      <c r="J70" s="114"/>
      <c r="K70" s="115"/>
      <c r="L70" s="115"/>
      <c r="M70" s="116"/>
      <c r="O70" s="11">
        <v>46089</v>
      </c>
      <c r="P70" s="33" t="s">
        <v>7</v>
      </c>
      <c r="Q70" s="114"/>
      <c r="R70" s="115"/>
      <c r="S70" s="115"/>
      <c r="T70" s="116"/>
      <c r="V70" s="11">
        <v>46088</v>
      </c>
      <c r="W70" s="33" t="s">
        <v>6</v>
      </c>
      <c r="X70" s="144"/>
      <c r="Y70" s="145"/>
      <c r="Z70" s="115"/>
      <c r="AA70" s="116"/>
      <c r="AC70" s="11">
        <v>46089</v>
      </c>
      <c r="AD70" s="33" t="s">
        <v>7</v>
      </c>
      <c r="AE70" s="144"/>
      <c r="AF70" s="145"/>
      <c r="AG70" s="145"/>
      <c r="AH70" s="116"/>
      <c r="AJ70" s="11">
        <v>46089</v>
      </c>
      <c r="AK70" s="33" t="s">
        <v>7</v>
      </c>
      <c r="AL70" s="144"/>
      <c r="AM70" s="145"/>
      <c r="AN70" s="115"/>
      <c r="AO70" s="116"/>
      <c r="AQ70" s="11">
        <v>46089</v>
      </c>
      <c r="AR70" s="33" t="s">
        <v>7</v>
      </c>
      <c r="AS70" s="114"/>
      <c r="AT70" s="115"/>
      <c r="AU70" s="115"/>
      <c r="AV70" s="116"/>
      <c r="AX70" s="11">
        <v>46088</v>
      </c>
      <c r="AY70" s="33" t="s">
        <v>6</v>
      </c>
      <c r="AZ70" s="144"/>
      <c r="BA70" s="145"/>
      <c r="BB70" s="115"/>
      <c r="BC70" s="116"/>
      <c r="BE70" s="11">
        <v>46089</v>
      </c>
      <c r="BF70" s="33" t="s">
        <v>7</v>
      </c>
      <c r="BG70" s="33"/>
      <c r="BH70" s="19"/>
      <c r="BI70" s="19"/>
      <c r="BJ70" s="20"/>
      <c r="BL70" s="11">
        <v>46089</v>
      </c>
      <c r="BM70" s="33" t="s">
        <v>7</v>
      </c>
      <c r="BN70" s="144"/>
      <c r="BO70" s="145"/>
      <c r="BP70" s="115"/>
      <c r="BQ70" s="116"/>
      <c r="BS70" s="11">
        <v>46089</v>
      </c>
      <c r="BT70" s="33" t="s">
        <v>7</v>
      </c>
      <c r="BU70" s="114"/>
      <c r="BV70" s="115"/>
      <c r="BW70" s="115"/>
      <c r="BX70" s="116"/>
      <c r="BZ70" s="11">
        <v>46088</v>
      </c>
      <c r="CA70" s="33" t="s">
        <v>6</v>
      </c>
      <c r="CB70" s="144"/>
      <c r="CC70" s="145"/>
      <c r="CD70" s="115"/>
      <c r="CE70" s="116"/>
      <c r="CG70" s="11">
        <v>46089</v>
      </c>
      <c r="CH70" s="33" t="s">
        <v>7</v>
      </c>
      <c r="CI70" s="114"/>
      <c r="CJ70" s="115"/>
      <c r="CK70" s="115"/>
      <c r="CL70" s="116"/>
      <c r="CN70" s="11">
        <v>46089</v>
      </c>
      <c r="CO70" s="33" t="s">
        <v>7</v>
      </c>
      <c r="CP70" s="144"/>
      <c r="CQ70" s="145"/>
      <c r="CR70" s="115"/>
      <c r="CS70" s="116"/>
      <c r="CU70" s="11">
        <v>46089</v>
      </c>
      <c r="CV70" s="33" t="s">
        <v>7</v>
      </c>
      <c r="CW70" s="144"/>
      <c r="CX70" s="145"/>
      <c r="CY70" s="145"/>
      <c r="CZ70" s="146"/>
      <c r="DB70" s="11">
        <v>46089</v>
      </c>
      <c r="DC70" s="33" t="s">
        <v>7</v>
      </c>
      <c r="DD70" s="144"/>
      <c r="DE70" s="145"/>
      <c r="DF70" s="115"/>
      <c r="DG70" s="116"/>
      <c r="DI70" s="11">
        <v>46089</v>
      </c>
      <c r="DJ70" s="33" t="s">
        <v>7</v>
      </c>
      <c r="DK70" s="114"/>
      <c r="DL70" s="115"/>
      <c r="DM70" s="115"/>
      <c r="DN70" s="116"/>
      <c r="DP70" s="11">
        <v>46089</v>
      </c>
      <c r="DQ70" s="33" t="s">
        <v>7</v>
      </c>
      <c r="DR70" s="144"/>
      <c r="DS70" s="145"/>
      <c r="DT70" s="145"/>
      <c r="DU70" s="146"/>
      <c r="DW70" s="11">
        <v>46089</v>
      </c>
      <c r="DX70" s="33" t="s">
        <v>7</v>
      </c>
      <c r="DY70" s="144"/>
      <c r="DZ70" s="145"/>
      <c r="EA70" s="145"/>
      <c r="EB70" s="146"/>
    </row>
    <row r="71" spans="1:132" x14ac:dyDescent="0.25">
      <c r="A71" s="11">
        <v>46090</v>
      </c>
      <c r="B71" s="33" t="s">
        <v>8</v>
      </c>
      <c r="C71" s="144" t="s">
        <v>33</v>
      </c>
      <c r="D71" s="145">
        <v>180</v>
      </c>
      <c r="E71" s="145">
        <v>15</v>
      </c>
      <c r="F71" s="146">
        <v>19</v>
      </c>
      <c r="H71" s="11">
        <v>46090</v>
      </c>
      <c r="I71" s="33" t="s">
        <v>8</v>
      </c>
      <c r="J71" s="114"/>
      <c r="K71" s="115"/>
      <c r="L71" s="115"/>
      <c r="M71" s="116"/>
      <c r="O71" s="11">
        <v>46090</v>
      </c>
      <c r="P71" s="33" t="s">
        <v>8</v>
      </c>
      <c r="Q71" s="114"/>
      <c r="R71" s="115"/>
      <c r="S71" s="115"/>
      <c r="T71" s="116"/>
      <c r="V71" s="11">
        <v>46089</v>
      </c>
      <c r="W71" s="33" t="s">
        <v>7</v>
      </c>
      <c r="X71" s="144"/>
      <c r="Y71" s="145"/>
      <c r="Z71" s="115"/>
      <c r="AA71" s="116"/>
      <c r="AC71" s="11">
        <v>46090</v>
      </c>
      <c r="AD71" s="33" t="s">
        <v>8</v>
      </c>
      <c r="AE71" s="144" t="s">
        <v>32</v>
      </c>
      <c r="AF71" s="145">
        <v>180</v>
      </c>
      <c r="AG71" s="145">
        <v>0</v>
      </c>
      <c r="AH71" s="146">
        <v>10</v>
      </c>
      <c r="AJ71" s="11">
        <v>46090</v>
      </c>
      <c r="AK71" s="33" t="s">
        <v>8</v>
      </c>
      <c r="AL71" s="144" t="s">
        <v>32</v>
      </c>
      <c r="AM71" s="145">
        <v>250</v>
      </c>
      <c r="AN71" s="145">
        <v>0</v>
      </c>
      <c r="AO71" s="146">
        <v>10</v>
      </c>
      <c r="AQ71" s="11">
        <v>46090</v>
      </c>
      <c r="AR71" s="33" t="s">
        <v>8</v>
      </c>
      <c r="AS71" s="114"/>
      <c r="AT71" s="115"/>
      <c r="AU71" s="115"/>
      <c r="AV71" s="116"/>
      <c r="AX71" s="11">
        <v>46089</v>
      </c>
      <c r="AY71" s="33" t="s">
        <v>7</v>
      </c>
      <c r="AZ71" s="144"/>
      <c r="BA71" s="145"/>
      <c r="BB71" s="115"/>
      <c r="BC71" s="116"/>
      <c r="BE71" s="11">
        <v>46090</v>
      </c>
      <c r="BF71" s="33" t="s">
        <v>8</v>
      </c>
      <c r="BG71" s="33"/>
      <c r="BH71" s="19"/>
      <c r="BI71" s="19"/>
      <c r="BJ71" s="20"/>
      <c r="BL71" s="11">
        <v>46090</v>
      </c>
      <c r="BM71" s="33" t="s">
        <v>8</v>
      </c>
      <c r="BN71" s="144" t="s">
        <v>33</v>
      </c>
      <c r="BO71" s="145">
        <v>120</v>
      </c>
      <c r="BP71" s="145">
        <v>13</v>
      </c>
      <c r="BQ71" s="116"/>
      <c r="BS71" s="11">
        <v>46090</v>
      </c>
      <c r="BT71" s="33" t="s">
        <v>8</v>
      </c>
      <c r="BU71" s="114"/>
      <c r="BV71" s="115"/>
      <c r="BW71" s="115"/>
      <c r="BX71" s="116"/>
      <c r="BZ71" s="11">
        <v>46089</v>
      </c>
      <c r="CA71" s="33" t="s">
        <v>7</v>
      </c>
      <c r="CB71" s="144"/>
      <c r="CC71" s="145"/>
      <c r="CD71" s="115"/>
      <c r="CE71" s="116"/>
      <c r="CG71" s="11">
        <v>46090</v>
      </c>
      <c r="CH71" s="33" t="s">
        <v>8</v>
      </c>
      <c r="CI71" s="114"/>
      <c r="CJ71" s="115"/>
      <c r="CK71" s="115"/>
      <c r="CL71" s="116"/>
      <c r="CN71" s="11">
        <v>46090</v>
      </c>
      <c r="CO71" s="33" t="s">
        <v>8</v>
      </c>
      <c r="CP71" s="144" t="s">
        <v>73</v>
      </c>
      <c r="CQ71" s="145">
        <v>180</v>
      </c>
      <c r="CR71" s="145">
        <v>13</v>
      </c>
      <c r="CS71" s="146">
        <v>0</v>
      </c>
      <c r="CU71" s="11">
        <v>46090</v>
      </c>
      <c r="CV71" s="33" t="s">
        <v>8</v>
      </c>
      <c r="CW71" s="144" t="s">
        <v>32</v>
      </c>
      <c r="CX71" s="145">
        <v>120</v>
      </c>
      <c r="CY71" s="145">
        <v>0</v>
      </c>
      <c r="CZ71" s="146">
        <v>10</v>
      </c>
      <c r="DB71" s="11">
        <v>46090</v>
      </c>
      <c r="DC71" s="33" t="s">
        <v>8</v>
      </c>
      <c r="DD71" s="144" t="s">
        <v>32</v>
      </c>
      <c r="DE71" s="145">
        <v>200</v>
      </c>
      <c r="DF71" s="145">
        <v>13</v>
      </c>
      <c r="DG71" s="146">
        <v>10</v>
      </c>
      <c r="DI71" s="11">
        <v>46090</v>
      </c>
      <c r="DJ71" s="33" t="s">
        <v>8</v>
      </c>
      <c r="DK71" s="114"/>
      <c r="DL71" s="115"/>
      <c r="DM71" s="115"/>
      <c r="DN71" s="116"/>
      <c r="DP71" s="11">
        <v>46090</v>
      </c>
      <c r="DQ71" s="33" t="s">
        <v>8</v>
      </c>
      <c r="DR71" s="144" t="s">
        <v>32</v>
      </c>
      <c r="DS71" s="145">
        <v>120</v>
      </c>
      <c r="DT71" s="145">
        <v>13</v>
      </c>
      <c r="DU71" s="146">
        <v>10</v>
      </c>
      <c r="DW71" s="11">
        <v>46090</v>
      </c>
      <c r="DX71" s="33" t="s">
        <v>8</v>
      </c>
      <c r="DY71" s="144" t="s">
        <v>73</v>
      </c>
      <c r="DZ71" s="145">
        <v>120</v>
      </c>
      <c r="EA71" s="145">
        <v>13</v>
      </c>
      <c r="EB71" s="146">
        <v>0</v>
      </c>
    </row>
    <row r="72" spans="1:132" x14ac:dyDescent="0.25">
      <c r="A72" s="11">
        <v>46091</v>
      </c>
      <c r="B72" s="33" t="s">
        <v>9</v>
      </c>
      <c r="C72" s="144" t="s">
        <v>33</v>
      </c>
      <c r="D72" s="145">
        <v>180</v>
      </c>
      <c r="E72" s="145">
        <v>15</v>
      </c>
      <c r="F72" s="146">
        <v>19</v>
      </c>
      <c r="H72" s="11">
        <v>46091</v>
      </c>
      <c r="I72" s="33" t="s">
        <v>9</v>
      </c>
      <c r="J72" s="114"/>
      <c r="K72" s="115"/>
      <c r="L72" s="115"/>
      <c r="M72" s="116"/>
      <c r="O72" s="11">
        <v>46091</v>
      </c>
      <c r="P72" s="33" t="s">
        <v>9</v>
      </c>
      <c r="Q72" s="114"/>
      <c r="R72" s="115"/>
      <c r="S72" s="115"/>
      <c r="T72" s="116"/>
      <c r="V72" s="11">
        <v>46090</v>
      </c>
      <c r="W72" s="33" t="s">
        <v>8</v>
      </c>
      <c r="X72" s="144" t="s">
        <v>73</v>
      </c>
      <c r="Y72" s="145">
        <v>120</v>
      </c>
      <c r="Z72" s="145">
        <v>12.6</v>
      </c>
      <c r="AA72" s="116"/>
      <c r="AC72" s="11">
        <v>46091</v>
      </c>
      <c r="AD72" s="33" t="s">
        <v>9</v>
      </c>
      <c r="AE72" s="144" t="s">
        <v>32</v>
      </c>
      <c r="AF72" s="145">
        <v>180</v>
      </c>
      <c r="AG72" s="145">
        <v>0</v>
      </c>
      <c r="AH72" s="146">
        <v>10</v>
      </c>
      <c r="AJ72" s="11">
        <v>46091</v>
      </c>
      <c r="AK72" s="33" t="s">
        <v>9</v>
      </c>
      <c r="AL72" s="144" t="s">
        <v>32</v>
      </c>
      <c r="AM72" s="145">
        <v>250</v>
      </c>
      <c r="AN72" s="145">
        <v>0</v>
      </c>
      <c r="AO72" s="146">
        <v>10</v>
      </c>
      <c r="AQ72" s="11">
        <v>46091</v>
      </c>
      <c r="AR72" s="33" t="s">
        <v>9</v>
      </c>
      <c r="AS72" s="114"/>
      <c r="AT72" s="115"/>
      <c r="AU72" s="115"/>
      <c r="AV72" s="116"/>
      <c r="AX72" s="11">
        <v>46090</v>
      </c>
      <c r="AY72" s="33" t="s">
        <v>8</v>
      </c>
      <c r="AZ72" s="144" t="s">
        <v>32</v>
      </c>
      <c r="BA72" s="145">
        <v>120</v>
      </c>
      <c r="BB72" s="145">
        <v>0</v>
      </c>
      <c r="BC72" s="146">
        <v>10</v>
      </c>
      <c r="BE72" s="11">
        <v>46091</v>
      </c>
      <c r="BF72" s="33" t="s">
        <v>9</v>
      </c>
      <c r="BG72" s="33"/>
      <c r="BH72" s="19"/>
      <c r="BI72" s="19"/>
      <c r="BJ72" s="20"/>
      <c r="BL72" s="11">
        <v>46091</v>
      </c>
      <c r="BM72" s="33" t="s">
        <v>9</v>
      </c>
      <c r="BN72" s="144" t="s">
        <v>33</v>
      </c>
      <c r="BO72" s="145">
        <v>120</v>
      </c>
      <c r="BP72" s="145">
        <v>13</v>
      </c>
      <c r="BQ72" s="116"/>
      <c r="BS72" s="11">
        <v>46091</v>
      </c>
      <c r="BT72" s="33" t="s">
        <v>9</v>
      </c>
      <c r="BU72" s="114"/>
      <c r="BV72" s="115"/>
      <c r="BW72" s="115"/>
      <c r="BX72" s="116"/>
      <c r="BZ72" s="11">
        <v>46090</v>
      </c>
      <c r="CA72" s="33" t="s">
        <v>8</v>
      </c>
      <c r="CB72" s="144" t="s">
        <v>32</v>
      </c>
      <c r="CC72" s="145">
        <v>120</v>
      </c>
      <c r="CD72" s="145">
        <v>0</v>
      </c>
      <c r="CE72" s="146">
        <v>10</v>
      </c>
      <c r="CG72" s="11">
        <v>46091</v>
      </c>
      <c r="CH72" s="33" t="s">
        <v>9</v>
      </c>
      <c r="CI72" s="114"/>
      <c r="CJ72" s="115"/>
      <c r="CK72" s="115"/>
      <c r="CL72" s="116"/>
      <c r="CN72" s="11">
        <v>46091</v>
      </c>
      <c r="CO72" s="33" t="s">
        <v>9</v>
      </c>
      <c r="CP72" s="144" t="s">
        <v>73</v>
      </c>
      <c r="CQ72" s="145">
        <v>180</v>
      </c>
      <c r="CR72" s="145">
        <v>13</v>
      </c>
      <c r="CS72" s="146">
        <v>0</v>
      </c>
      <c r="CU72" s="11">
        <v>46091</v>
      </c>
      <c r="CV72" s="33" t="s">
        <v>9</v>
      </c>
      <c r="CW72" s="144" t="s">
        <v>32</v>
      </c>
      <c r="CX72" s="145">
        <v>120</v>
      </c>
      <c r="CY72" s="145">
        <v>0</v>
      </c>
      <c r="CZ72" s="146">
        <v>10</v>
      </c>
      <c r="DB72" s="11">
        <v>46091</v>
      </c>
      <c r="DC72" s="33" t="s">
        <v>3</v>
      </c>
      <c r="DD72" s="144" t="s">
        <v>32</v>
      </c>
      <c r="DE72" s="145">
        <v>200</v>
      </c>
      <c r="DF72" s="145"/>
      <c r="DG72" s="146"/>
      <c r="DI72" s="11">
        <v>46091</v>
      </c>
      <c r="DJ72" s="33" t="s">
        <v>9</v>
      </c>
      <c r="DK72" s="114"/>
      <c r="DL72" s="115"/>
      <c r="DM72" s="115"/>
      <c r="DN72" s="116"/>
      <c r="DP72" s="11">
        <v>46091</v>
      </c>
      <c r="DQ72" s="33" t="s">
        <v>9</v>
      </c>
      <c r="DR72" s="144" t="s">
        <v>32</v>
      </c>
      <c r="DS72" s="145">
        <v>120</v>
      </c>
      <c r="DT72" s="145">
        <v>13</v>
      </c>
      <c r="DU72" s="146">
        <v>10</v>
      </c>
      <c r="DW72" s="11">
        <v>46091</v>
      </c>
      <c r="DX72" s="33" t="s">
        <v>9</v>
      </c>
      <c r="DY72" s="144" t="s">
        <v>73</v>
      </c>
      <c r="DZ72" s="145">
        <v>120</v>
      </c>
      <c r="EA72" s="145">
        <v>13</v>
      </c>
      <c r="EB72" s="146">
        <v>0</v>
      </c>
    </row>
    <row r="73" spans="1:132" x14ac:dyDescent="0.25">
      <c r="A73" s="11">
        <v>46092</v>
      </c>
      <c r="B73" s="33" t="s">
        <v>3</v>
      </c>
      <c r="C73" s="144" t="s">
        <v>34</v>
      </c>
      <c r="D73" s="145">
        <v>180</v>
      </c>
      <c r="E73" s="145">
        <v>15</v>
      </c>
      <c r="F73" s="146">
        <v>19</v>
      </c>
      <c r="H73" s="11">
        <v>46092</v>
      </c>
      <c r="I73" s="33" t="s">
        <v>3</v>
      </c>
      <c r="J73" s="114"/>
      <c r="K73" s="115"/>
      <c r="L73" s="115"/>
      <c r="M73" s="116"/>
      <c r="O73" s="11">
        <v>46092</v>
      </c>
      <c r="P73" s="33" t="s">
        <v>3</v>
      </c>
      <c r="Q73" s="114"/>
      <c r="R73" s="115"/>
      <c r="S73" s="115"/>
      <c r="T73" s="116"/>
      <c r="V73" s="11">
        <v>46091</v>
      </c>
      <c r="W73" s="33" t="s">
        <v>9</v>
      </c>
      <c r="X73" s="144" t="s">
        <v>36</v>
      </c>
      <c r="Y73" s="145"/>
      <c r="Z73" s="145"/>
      <c r="AA73" s="116"/>
      <c r="AC73" s="11">
        <v>46092</v>
      </c>
      <c r="AD73" s="33" t="s">
        <v>3</v>
      </c>
      <c r="AE73" s="144" t="s">
        <v>32</v>
      </c>
      <c r="AF73" s="145">
        <v>180</v>
      </c>
      <c r="AG73" s="145">
        <v>0</v>
      </c>
      <c r="AH73" s="146">
        <v>10</v>
      </c>
      <c r="AJ73" s="11">
        <v>46092</v>
      </c>
      <c r="AK73" s="33" t="s">
        <v>3</v>
      </c>
      <c r="AL73" s="144" t="s">
        <v>32</v>
      </c>
      <c r="AM73" s="145">
        <v>250</v>
      </c>
      <c r="AN73" s="145">
        <v>0</v>
      </c>
      <c r="AO73" s="146">
        <v>10</v>
      </c>
      <c r="AQ73" s="11">
        <v>46092</v>
      </c>
      <c r="AR73" s="33" t="s">
        <v>3</v>
      </c>
      <c r="AS73" s="114"/>
      <c r="AT73" s="115"/>
      <c r="AU73" s="115"/>
      <c r="AV73" s="116"/>
      <c r="AX73" s="11">
        <v>46091</v>
      </c>
      <c r="AY73" s="33" t="s">
        <v>9</v>
      </c>
      <c r="AZ73" s="144" t="s">
        <v>32</v>
      </c>
      <c r="BA73" s="145">
        <v>120</v>
      </c>
      <c r="BB73" s="145">
        <v>0</v>
      </c>
      <c r="BC73" s="146">
        <v>10</v>
      </c>
      <c r="BE73" s="11">
        <v>46092</v>
      </c>
      <c r="BF73" s="33" t="s">
        <v>3</v>
      </c>
      <c r="BG73" s="33"/>
      <c r="BH73" s="19"/>
      <c r="BI73" s="19"/>
      <c r="BJ73" s="20"/>
      <c r="BL73" s="11">
        <v>46092</v>
      </c>
      <c r="BM73" s="33" t="s">
        <v>3</v>
      </c>
      <c r="BN73" s="144" t="s">
        <v>34</v>
      </c>
      <c r="BO73" s="145">
        <v>120</v>
      </c>
      <c r="BP73" s="145">
        <v>13</v>
      </c>
      <c r="BQ73" s="116"/>
      <c r="BS73" s="11">
        <v>46092</v>
      </c>
      <c r="BT73" s="33" t="s">
        <v>3</v>
      </c>
      <c r="BU73" s="114"/>
      <c r="BV73" s="115"/>
      <c r="BW73" s="115"/>
      <c r="BX73" s="116"/>
      <c r="BZ73" s="11">
        <v>46091</v>
      </c>
      <c r="CA73" s="33" t="s">
        <v>9</v>
      </c>
      <c r="CB73" s="144" t="s">
        <v>32</v>
      </c>
      <c r="CC73" s="145">
        <v>120</v>
      </c>
      <c r="CD73" s="145">
        <v>0</v>
      </c>
      <c r="CE73" s="146">
        <v>10</v>
      </c>
      <c r="CG73" s="11">
        <v>46092</v>
      </c>
      <c r="CH73" s="33" t="s">
        <v>3</v>
      </c>
      <c r="CI73" s="114"/>
      <c r="CJ73" s="115"/>
      <c r="CK73" s="115"/>
      <c r="CL73" s="116"/>
      <c r="CN73" s="11">
        <v>46092</v>
      </c>
      <c r="CO73" s="33" t="s">
        <v>3</v>
      </c>
      <c r="CP73" s="144" t="s">
        <v>73</v>
      </c>
      <c r="CQ73" s="145">
        <v>180</v>
      </c>
      <c r="CR73" s="145">
        <v>13</v>
      </c>
      <c r="CS73" s="146">
        <v>0</v>
      </c>
      <c r="CU73" s="11">
        <v>46092</v>
      </c>
      <c r="CV73" s="33" t="s">
        <v>3</v>
      </c>
      <c r="CW73" s="144" t="s">
        <v>32</v>
      </c>
      <c r="CX73" s="145">
        <v>120</v>
      </c>
      <c r="CY73" s="145">
        <v>0</v>
      </c>
      <c r="CZ73" s="146">
        <v>10</v>
      </c>
      <c r="DB73" s="11">
        <v>46091</v>
      </c>
      <c r="DC73" s="33" t="s">
        <v>3</v>
      </c>
      <c r="DD73" s="144" t="s">
        <v>75</v>
      </c>
      <c r="DE73" s="145">
        <v>200</v>
      </c>
      <c r="DF73" s="145">
        <v>13</v>
      </c>
      <c r="DG73" s="146">
        <v>10</v>
      </c>
      <c r="DI73" s="11">
        <v>46092</v>
      </c>
      <c r="DJ73" s="33" t="s">
        <v>3</v>
      </c>
      <c r="DK73" s="114"/>
      <c r="DL73" s="115"/>
      <c r="DM73" s="115"/>
      <c r="DN73" s="116"/>
      <c r="DP73" s="11">
        <v>46091</v>
      </c>
      <c r="DQ73" s="33" t="s">
        <v>9</v>
      </c>
      <c r="DR73" s="144" t="s">
        <v>75</v>
      </c>
      <c r="DS73" s="145">
        <v>120</v>
      </c>
      <c r="DT73" s="145"/>
      <c r="DU73" s="146"/>
      <c r="DW73" s="11">
        <v>46092</v>
      </c>
      <c r="DX73" s="33" t="s">
        <v>3</v>
      </c>
      <c r="DY73" s="144" t="s">
        <v>73</v>
      </c>
      <c r="DZ73" s="145">
        <v>120</v>
      </c>
      <c r="EA73" s="145">
        <v>13</v>
      </c>
      <c r="EB73" s="146">
        <v>0</v>
      </c>
    </row>
    <row r="74" spans="1:132" x14ac:dyDescent="0.25">
      <c r="A74" s="11">
        <v>46093</v>
      </c>
      <c r="B74" s="33" t="s">
        <v>4</v>
      </c>
      <c r="C74" s="144" t="s">
        <v>73</v>
      </c>
      <c r="D74" s="145">
        <v>180</v>
      </c>
      <c r="E74" s="145">
        <v>15</v>
      </c>
      <c r="F74" s="146">
        <v>19</v>
      </c>
      <c r="H74" s="11">
        <v>46093</v>
      </c>
      <c r="I74" s="33" t="s">
        <v>4</v>
      </c>
      <c r="J74" s="114"/>
      <c r="K74" s="115"/>
      <c r="L74" s="115"/>
      <c r="M74" s="116"/>
      <c r="O74" s="11">
        <v>46093</v>
      </c>
      <c r="P74" s="33" t="s">
        <v>4</v>
      </c>
      <c r="Q74" s="114"/>
      <c r="R74" s="115"/>
      <c r="S74" s="115"/>
      <c r="T74" s="116"/>
      <c r="V74" s="11">
        <v>46092</v>
      </c>
      <c r="W74" s="33" t="s">
        <v>3</v>
      </c>
      <c r="X74" s="144" t="s">
        <v>73</v>
      </c>
      <c r="Y74" s="145">
        <v>120</v>
      </c>
      <c r="Z74" s="145">
        <v>12.6</v>
      </c>
      <c r="AA74" s="116"/>
      <c r="AC74" s="11">
        <v>46093</v>
      </c>
      <c r="AD74" s="33" t="s">
        <v>4</v>
      </c>
      <c r="AE74" s="144" t="s">
        <v>75</v>
      </c>
      <c r="AF74" s="145">
        <v>180</v>
      </c>
      <c r="AG74" s="145">
        <v>0</v>
      </c>
      <c r="AH74" s="146">
        <v>10</v>
      </c>
      <c r="AJ74" s="11">
        <v>46093</v>
      </c>
      <c r="AK74" s="33" t="s">
        <v>4</v>
      </c>
      <c r="AL74" s="144" t="s">
        <v>75</v>
      </c>
      <c r="AM74" s="145">
        <v>250</v>
      </c>
      <c r="AN74" s="145">
        <v>0</v>
      </c>
      <c r="AO74" s="146">
        <v>10</v>
      </c>
      <c r="AQ74" s="11">
        <v>46093</v>
      </c>
      <c r="AR74" s="33" t="s">
        <v>4</v>
      </c>
      <c r="AS74" s="114"/>
      <c r="AT74" s="115"/>
      <c r="AU74" s="115"/>
      <c r="AV74" s="116"/>
      <c r="AX74" s="11">
        <v>46092</v>
      </c>
      <c r="AY74" s="33" t="s">
        <v>3</v>
      </c>
      <c r="AZ74" s="144" t="s">
        <v>32</v>
      </c>
      <c r="BA74" s="145">
        <v>120</v>
      </c>
      <c r="BB74" s="145">
        <v>0</v>
      </c>
      <c r="BC74" s="146">
        <v>10</v>
      </c>
      <c r="BE74" s="11">
        <v>46093</v>
      </c>
      <c r="BF74" s="33" t="s">
        <v>4</v>
      </c>
      <c r="BG74" s="33"/>
      <c r="BH74" s="19"/>
      <c r="BI74" s="19"/>
      <c r="BJ74" s="20"/>
      <c r="BL74" s="11">
        <v>46093</v>
      </c>
      <c r="BM74" s="33" t="s">
        <v>4</v>
      </c>
      <c r="BN74" s="144" t="s">
        <v>73</v>
      </c>
      <c r="BO74" s="145">
        <v>120</v>
      </c>
      <c r="BP74" s="145">
        <v>13</v>
      </c>
      <c r="BQ74" s="116"/>
      <c r="BS74" s="11">
        <v>46093</v>
      </c>
      <c r="BT74" s="33" t="s">
        <v>4</v>
      </c>
      <c r="BU74" s="114"/>
      <c r="BV74" s="115"/>
      <c r="BW74" s="115"/>
      <c r="BX74" s="116"/>
      <c r="BZ74" s="11">
        <v>46092</v>
      </c>
      <c r="CA74" s="33" t="s">
        <v>3</v>
      </c>
      <c r="CB74" s="144" t="s">
        <v>32</v>
      </c>
      <c r="CC74" s="145">
        <v>120</v>
      </c>
      <c r="CD74" s="145">
        <v>0</v>
      </c>
      <c r="CE74" s="146">
        <v>10</v>
      </c>
      <c r="CG74" s="11">
        <v>46093</v>
      </c>
      <c r="CH74" s="33" t="s">
        <v>4</v>
      </c>
      <c r="CI74" s="114"/>
      <c r="CJ74" s="115"/>
      <c r="CK74" s="115"/>
      <c r="CL74" s="116"/>
      <c r="CN74" s="11">
        <v>46093</v>
      </c>
      <c r="CO74" s="33" t="s">
        <v>4</v>
      </c>
      <c r="CP74" s="144" t="s">
        <v>73</v>
      </c>
      <c r="CQ74" s="145">
        <v>180</v>
      </c>
      <c r="CR74" s="145">
        <v>13</v>
      </c>
      <c r="CS74" s="146">
        <v>0</v>
      </c>
      <c r="CU74" s="11">
        <v>46093</v>
      </c>
      <c r="CV74" s="33" t="s">
        <v>4</v>
      </c>
      <c r="CW74" s="144" t="s">
        <v>73</v>
      </c>
      <c r="CX74" s="145">
        <v>120</v>
      </c>
      <c r="CY74" s="145">
        <v>0</v>
      </c>
      <c r="CZ74" s="146">
        <v>10</v>
      </c>
      <c r="DB74" s="11">
        <v>46092</v>
      </c>
      <c r="DC74" s="33" t="s">
        <v>3</v>
      </c>
      <c r="DD74" s="144" t="s">
        <v>32</v>
      </c>
      <c r="DE74" s="145">
        <v>200</v>
      </c>
      <c r="DF74" s="145"/>
      <c r="DG74" s="146"/>
      <c r="DI74" s="11">
        <v>46093</v>
      </c>
      <c r="DJ74" s="33" t="s">
        <v>4</v>
      </c>
      <c r="DK74" s="114"/>
      <c r="DL74" s="115"/>
      <c r="DM74" s="115"/>
      <c r="DN74" s="116"/>
      <c r="DP74" s="11">
        <v>46092</v>
      </c>
      <c r="DQ74" s="33" t="s">
        <v>3</v>
      </c>
      <c r="DR74" s="144" t="s">
        <v>32</v>
      </c>
      <c r="DS74" s="145">
        <v>120</v>
      </c>
      <c r="DT74" s="145">
        <v>13</v>
      </c>
      <c r="DU74" s="146">
        <v>10</v>
      </c>
      <c r="DW74" s="11">
        <v>46093</v>
      </c>
      <c r="DX74" s="33" t="s">
        <v>4</v>
      </c>
      <c r="DY74" s="144" t="s">
        <v>73</v>
      </c>
      <c r="DZ74" s="145">
        <v>120</v>
      </c>
      <c r="EA74" s="145">
        <v>13</v>
      </c>
      <c r="EB74" s="146">
        <v>0</v>
      </c>
    </row>
    <row r="75" spans="1:132" x14ac:dyDescent="0.25">
      <c r="A75" s="11">
        <v>46094</v>
      </c>
      <c r="B75" s="33" t="s">
        <v>5</v>
      </c>
      <c r="C75" s="144" t="s">
        <v>56</v>
      </c>
      <c r="D75" s="145">
        <v>180</v>
      </c>
      <c r="E75" s="145">
        <v>15</v>
      </c>
      <c r="F75" s="146">
        <v>19</v>
      </c>
      <c r="H75" s="11">
        <v>46094</v>
      </c>
      <c r="I75" s="33" t="s">
        <v>5</v>
      </c>
      <c r="J75" s="114"/>
      <c r="K75" s="115"/>
      <c r="L75" s="115"/>
      <c r="M75" s="116"/>
      <c r="O75" s="11">
        <v>46094</v>
      </c>
      <c r="P75" s="33" t="s">
        <v>5</v>
      </c>
      <c r="Q75" s="114"/>
      <c r="R75" s="115"/>
      <c r="S75" s="115"/>
      <c r="T75" s="116"/>
      <c r="V75" s="11">
        <v>46093</v>
      </c>
      <c r="W75" s="33" t="s">
        <v>4</v>
      </c>
      <c r="X75" s="144" t="s">
        <v>73</v>
      </c>
      <c r="Y75" s="145">
        <v>120</v>
      </c>
      <c r="Z75" s="145">
        <v>12.6</v>
      </c>
      <c r="AA75" s="116"/>
      <c r="AC75" s="11">
        <v>46094</v>
      </c>
      <c r="AD75" s="33" t="s">
        <v>5</v>
      </c>
      <c r="AE75" s="144" t="s">
        <v>32</v>
      </c>
      <c r="AF75" s="145">
        <v>180</v>
      </c>
      <c r="AG75" s="145">
        <v>0</v>
      </c>
      <c r="AH75" s="146">
        <v>10</v>
      </c>
      <c r="AJ75" s="11">
        <v>46094</v>
      </c>
      <c r="AK75" s="33" t="s">
        <v>5</v>
      </c>
      <c r="AL75" s="144" t="s">
        <v>32</v>
      </c>
      <c r="AM75" s="145">
        <v>250</v>
      </c>
      <c r="AN75" s="145">
        <v>0</v>
      </c>
      <c r="AO75" s="146">
        <v>10</v>
      </c>
      <c r="AQ75" s="11">
        <v>46094</v>
      </c>
      <c r="AR75" s="33" t="s">
        <v>5</v>
      </c>
      <c r="AS75" s="114"/>
      <c r="AT75" s="115"/>
      <c r="AU75" s="115"/>
      <c r="AV75" s="116"/>
      <c r="AX75" s="11">
        <v>46093</v>
      </c>
      <c r="AY75" s="33" t="s">
        <v>4</v>
      </c>
      <c r="AZ75" s="144" t="s">
        <v>32</v>
      </c>
      <c r="BA75" s="145">
        <v>120</v>
      </c>
      <c r="BB75" s="145">
        <v>0</v>
      </c>
      <c r="BC75" s="146">
        <v>10</v>
      </c>
      <c r="BE75" s="11">
        <v>46094</v>
      </c>
      <c r="BF75" s="33" t="s">
        <v>5</v>
      </c>
      <c r="BG75" s="33"/>
      <c r="BH75" s="19"/>
      <c r="BI75" s="19"/>
      <c r="BJ75" s="20"/>
      <c r="BL75" s="11">
        <v>46094</v>
      </c>
      <c r="BM75" s="33" t="s">
        <v>5</v>
      </c>
      <c r="BN75" s="144" t="s">
        <v>75</v>
      </c>
      <c r="BO75" s="145">
        <v>120</v>
      </c>
      <c r="BP75" s="145">
        <v>13</v>
      </c>
      <c r="BQ75" s="116"/>
      <c r="BS75" s="11">
        <v>46094</v>
      </c>
      <c r="BT75" s="33" t="s">
        <v>5</v>
      </c>
      <c r="BU75" s="114"/>
      <c r="BV75" s="115"/>
      <c r="BW75" s="115"/>
      <c r="BX75" s="116"/>
      <c r="BZ75" s="11">
        <v>46093</v>
      </c>
      <c r="CA75" s="33" t="s">
        <v>4</v>
      </c>
      <c r="CB75" s="144" t="s">
        <v>73</v>
      </c>
      <c r="CC75" s="145">
        <v>120</v>
      </c>
      <c r="CD75" s="145">
        <v>0</v>
      </c>
      <c r="CE75" s="146">
        <v>10</v>
      </c>
      <c r="CG75" s="11">
        <v>46094</v>
      </c>
      <c r="CH75" s="33" t="s">
        <v>5</v>
      </c>
      <c r="CI75" s="114"/>
      <c r="CJ75" s="115"/>
      <c r="CK75" s="115"/>
      <c r="CL75" s="116"/>
      <c r="CN75" s="11">
        <v>46094</v>
      </c>
      <c r="CO75" s="33" t="s">
        <v>5</v>
      </c>
      <c r="CP75" s="144" t="s">
        <v>73</v>
      </c>
      <c r="CQ75" s="145">
        <v>180</v>
      </c>
      <c r="CR75" s="145">
        <v>13</v>
      </c>
      <c r="CS75" s="146">
        <v>0</v>
      </c>
      <c r="CU75" s="11">
        <v>46094</v>
      </c>
      <c r="CV75" s="33" t="s">
        <v>5</v>
      </c>
      <c r="CW75" s="144" t="s">
        <v>75</v>
      </c>
      <c r="CX75" s="145">
        <v>120</v>
      </c>
      <c r="CY75" s="145">
        <v>0</v>
      </c>
      <c r="CZ75" s="146">
        <v>10</v>
      </c>
      <c r="DB75" s="11">
        <v>46092</v>
      </c>
      <c r="DC75" s="33" t="s">
        <v>3</v>
      </c>
      <c r="DD75" s="144" t="s">
        <v>75</v>
      </c>
      <c r="DE75" s="145">
        <v>200</v>
      </c>
      <c r="DF75" s="145">
        <v>13</v>
      </c>
      <c r="DG75" s="146">
        <v>10</v>
      </c>
      <c r="DI75" s="11">
        <v>46094</v>
      </c>
      <c r="DJ75" s="33" t="s">
        <v>5</v>
      </c>
      <c r="DK75" s="114"/>
      <c r="DL75" s="115"/>
      <c r="DM75" s="115"/>
      <c r="DN75" s="116"/>
      <c r="DP75" s="11">
        <v>46092</v>
      </c>
      <c r="DQ75" s="33" t="s">
        <v>3</v>
      </c>
      <c r="DR75" s="144" t="s">
        <v>75</v>
      </c>
      <c r="DS75" s="145">
        <v>120</v>
      </c>
      <c r="DT75" s="145"/>
      <c r="DU75" s="146"/>
      <c r="DW75" s="11">
        <v>46094</v>
      </c>
      <c r="DX75" s="33" t="s">
        <v>5</v>
      </c>
      <c r="DY75" s="144" t="s">
        <v>73</v>
      </c>
      <c r="DZ75" s="145">
        <v>120</v>
      </c>
      <c r="EA75" s="145">
        <v>13</v>
      </c>
      <c r="EB75" s="146">
        <v>0</v>
      </c>
    </row>
    <row r="76" spans="1:132" x14ac:dyDescent="0.25">
      <c r="A76" s="11">
        <v>46095</v>
      </c>
      <c r="B76" s="33" t="s">
        <v>6</v>
      </c>
      <c r="C76" s="144"/>
      <c r="D76" s="145"/>
      <c r="E76" s="115"/>
      <c r="F76" s="116"/>
      <c r="H76" s="11">
        <v>46095</v>
      </c>
      <c r="I76" s="33" t="s">
        <v>6</v>
      </c>
      <c r="J76" s="114"/>
      <c r="K76" s="115"/>
      <c r="L76" s="115"/>
      <c r="M76" s="116"/>
      <c r="O76" s="11">
        <v>46095</v>
      </c>
      <c r="P76" s="33" t="s">
        <v>6</v>
      </c>
      <c r="Q76" s="114"/>
      <c r="R76" s="115"/>
      <c r="S76" s="115"/>
      <c r="T76" s="116"/>
      <c r="V76" s="11">
        <v>46094</v>
      </c>
      <c r="W76" s="33" t="s">
        <v>5</v>
      </c>
      <c r="X76" s="144" t="s">
        <v>73</v>
      </c>
      <c r="Y76" s="145">
        <v>120</v>
      </c>
      <c r="Z76" s="145">
        <v>12.6</v>
      </c>
      <c r="AA76" s="116"/>
      <c r="AC76" s="11">
        <v>46095</v>
      </c>
      <c r="AD76" s="33" t="s">
        <v>6</v>
      </c>
      <c r="AE76" s="144"/>
      <c r="AF76" s="145"/>
      <c r="AG76" s="145"/>
      <c r="AH76" s="116"/>
      <c r="AJ76" s="11">
        <v>46095</v>
      </c>
      <c r="AK76" s="33" t="s">
        <v>6</v>
      </c>
      <c r="AL76" s="144"/>
      <c r="AM76" s="145"/>
      <c r="AN76" s="115"/>
      <c r="AO76" s="116"/>
      <c r="AQ76" s="11">
        <v>46095</v>
      </c>
      <c r="AR76" s="33" t="s">
        <v>6</v>
      </c>
      <c r="AS76" s="114"/>
      <c r="AT76" s="115"/>
      <c r="AU76" s="115"/>
      <c r="AV76" s="116"/>
      <c r="AX76" s="11">
        <v>46094</v>
      </c>
      <c r="AY76" s="33" t="s">
        <v>5</v>
      </c>
      <c r="AZ76" s="144" t="s">
        <v>32</v>
      </c>
      <c r="BA76" s="145">
        <v>120</v>
      </c>
      <c r="BB76" s="145">
        <v>0</v>
      </c>
      <c r="BC76" s="146">
        <v>10</v>
      </c>
      <c r="BE76" s="11">
        <v>46095</v>
      </c>
      <c r="BF76" s="33" t="s">
        <v>6</v>
      </c>
      <c r="BG76" s="33"/>
      <c r="BH76" s="19"/>
      <c r="BI76" s="19"/>
      <c r="BJ76" s="20"/>
      <c r="BL76" s="11">
        <v>46095</v>
      </c>
      <c r="BM76" s="33" t="s">
        <v>6</v>
      </c>
      <c r="BN76" s="144"/>
      <c r="BO76" s="145"/>
      <c r="BP76" s="145"/>
      <c r="BQ76" s="116"/>
      <c r="BS76" s="11">
        <v>46095</v>
      </c>
      <c r="BT76" s="33" t="s">
        <v>6</v>
      </c>
      <c r="BU76" s="114"/>
      <c r="BV76" s="115"/>
      <c r="BW76" s="115"/>
      <c r="BX76" s="116"/>
      <c r="BZ76" s="11">
        <v>46094</v>
      </c>
      <c r="CA76" s="33" t="s">
        <v>5</v>
      </c>
      <c r="CB76" s="144" t="s">
        <v>32</v>
      </c>
      <c r="CC76" s="145">
        <v>120</v>
      </c>
      <c r="CD76" s="145">
        <v>0</v>
      </c>
      <c r="CE76" s="146">
        <v>10</v>
      </c>
      <c r="CG76" s="11">
        <v>46095</v>
      </c>
      <c r="CH76" s="33" t="s">
        <v>6</v>
      </c>
      <c r="CI76" s="114"/>
      <c r="CJ76" s="115"/>
      <c r="CK76" s="115"/>
      <c r="CL76" s="116"/>
      <c r="CN76" s="11">
        <v>46095</v>
      </c>
      <c r="CO76" s="33" t="s">
        <v>6</v>
      </c>
      <c r="CP76" s="144"/>
      <c r="CQ76" s="145"/>
      <c r="CR76" s="115"/>
      <c r="CS76" s="116"/>
      <c r="CU76" s="11">
        <v>46095</v>
      </c>
      <c r="CV76" s="33" t="s">
        <v>6</v>
      </c>
      <c r="CW76" s="144"/>
      <c r="CX76" s="145"/>
      <c r="CY76" s="115"/>
      <c r="CZ76" s="116"/>
      <c r="DB76" s="11">
        <v>46093</v>
      </c>
      <c r="DC76" s="33" t="s">
        <v>4</v>
      </c>
      <c r="DD76" s="144" t="s">
        <v>75</v>
      </c>
      <c r="DE76" s="145">
        <v>200</v>
      </c>
      <c r="DF76" s="145">
        <v>13</v>
      </c>
      <c r="DG76" s="146">
        <v>10</v>
      </c>
      <c r="DI76" s="11">
        <v>46095</v>
      </c>
      <c r="DJ76" s="33" t="s">
        <v>6</v>
      </c>
      <c r="DK76" s="114"/>
      <c r="DL76" s="115"/>
      <c r="DM76" s="115"/>
      <c r="DN76" s="116"/>
      <c r="DP76" s="11">
        <v>46093</v>
      </c>
      <c r="DQ76" s="33" t="s">
        <v>4</v>
      </c>
      <c r="DR76" s="144" t="s">
        <v>73</v>
      </c>
      <c r="DS76" s="145">
        <v>120</v>
      </c>
      <c r="DT76" s="145">
        <v>13</v>
      </c>
      <c r="DU76" s="146">
        <v>10</v>
      </c>
      <c r="DW76" s="11">
        <v>46095</v>
      </c>
      <c r="DX76" s="33" t="s">
        <v>6</v>
      </c>
      <c r="DY76" s="144"/>
      <c r="DZ76" s="145"/>
      <c r="EA76" s="145"/>
      <c r="EB76" s="146"/>
    </row>
    <row r="77" spans="1:132" x14ac:dyDescent="0.25">
      <c r="A77" s="11">
        <v>46096</v>
      </c>
      <c r="B77" s="33" t="s">
        <v>7</v>
      </c>
      <c r="C77" s="144"/>
      <c r="D77" s="145"/>
      <c r="E77" s="115"/>
      <c r="F77" s="116"/>
      <c r="H77" s="11">
        <v>46096</v>
      </c>
      <c r="I77" s="33" t="s">
        <v>7</v>
      </c>
      <c r="J77" s="114"/>
      <c r="K77" s="115"/>
      <c r="L77" s="115"/>
      <c r="M77" s="116"/>
      <c r="O77" s="11">
        <v>46096</v>
      </c>
      <c r="P77" s="33" t="s">
        <v>7</v>
      </c>
      <c r="Q77" s="114"/>
      <c r="R77" s="115"/>
      <c r="S77" s="115"/>
      <c r="T77" s="116"/>
      <c r="V77" s="11">
        <v>46095</v>
      </c>
      <c r="W77" s="33" t="s">
        <v>6</v>
      </c>
      <c r="X77" s="144"/>
      <c r="Y77" s="145"/>
      <c r="Z77" s="115"/>
      <c r="AA77" s="116"/>
      <c r="AC77" s="11">
        <v>46096</v>
      </c>
      <c r="AD77" s="33" t="s">
        <v>7</v>
      </c>
      <c r="AE77" s="144"/>
      <c r="AF77" s="145"/>
      <c r="AG77" s="145"/>
      <c r="AH77" s="116"/>
      <c r="AJ77" s="11">
        <v>46096</v>
      </c>
      <c r="AK77" s="33" t="s">
        <v>7</v>
      </c>
      <c r="AL77" s="144"/>
      <c r="AM77" s="145"/>
      <c r="AN77" s="115"/>
      <c r="AO77" s="116"/>
      <c r="AQ77" s="11">
        <v>46096</v>
      </c>
      <c r="AR77" s="33" t="s">
        <v>7</v>
      </c>
      <c r="AS77" s="114"/>
      <c r="AT77" s="115"/>
      <c r="AU77" s="115"/>
      <c r="AV77" s="116"/>
      <c r="AX77" s="11">
        <v>46095</v>
      </c>
      <c r="AY77" s="33" t="s">
        <v>6</v>
      </c>
      <c r="AZ77" s="144"/>
      <c r="BA77" s="145"/>
      <c r="BB77" s="115"/>
      <c r="BC77" s="146"/>
      <c r="BE77" s="11">
        <v>46096</v>
      </c>
      <c r="BF77" s="33" t="s">
        <v>7</v>
      </c>
      <c r="BG77" s="33"/>
      <c r="BH77" s="19"/>
      <c r="BI77" s="19"/>
      <c r="BJ77" s="20"/>
      <c r="BL77" s="11">
        <v>46096</v>
      </c>
      <c r="BM77" s="33" t="s">
        <v>7</v>
      </c>
      <c r="BN77" s="144"/>
      <c r="BO77" s="145"/>
      <c r="BP77" s="145"/>
      <c r="BQ77" s="116"/>
      <c r="BS77" s="11">
        <v>46096</v>
      </c>
      <c r="BT77" s="33" t="s">
        <v>7</v>
      </c>
      <c r="BU77" s="114"/>
      <c r="BV77" s="115"/>
      <c r="BW77" s="115"/>
      <c r="BX77" s="116"/>
      <c r="BZ77" s="11">
        <v>46095</v>
      </c>
      <c r="CA77" s="33" t="s">
        <v>6</v>
      </c>
      <c r="CB77" s="144"/>
      <c r="CC77" s="145"/>
      <c r="CD77" s="115"/>
      <c r="CE77" s="116"/>
      <c r="CG77" s="11">
        <v>46096</v>
      </c>
      <c r="CH77" s="33" t="s">
        <v>7</v>
      </c>
      <c r="CI77" s="114"/>
      <c r="CJ77" s="115"/>
      <c r="CK77" s="115"/>
      <c r="CL77" s="116"/>
      <c r="CN77" s="11">
        <v>46096</v>
      </c>
      <c r="CO77" s="33" t="s">
        <v>7</v>
      </c>
      <c r="CP77" s="144"/>
      <c r="CQ77" s="145"/>
      <c r="CR77" s="115"/>
      <c r="CS77" s="116"/>
      <c r="CU77" s="11">
        <v>46096</v>
      </c>
      <c r="CV77" s="33" t="s">
        <v>7</v>
      </c>
      <c r="CW77" s="144"/>
      <c r="CX77" s="145"/>
      <c r="CY77" s="115"/>
      <c r="CZ77" s="116"/>
      <c r="DB77" s="11">
        <v>46094</v>
      </c>
      <c r="DC77" s="33" t="s">
        <v>5</v>
      </c>
      <c r="DD77" s="144" t="s">
        <v>73</v>
      </c>
      <c r="DE77" s="145">
        <v>200</v>
      </c>
      <c r="DF77" s="145">
        <v>13</v>
      </c>
      <c r="DG77" s="146">
        <v>10</v>
      </c>
      <c r="DI77" s="11">
        <v>46096</v>
      </c>
      <c r="DJ77" s="33" t="s">
        <v>7</v>
      </c>
      <c r="DK77" s="114"/>
      <c r="DL77" s="115"/>
      <c r="DM77" s="115"/>
      <c r="DN77" s="116"/>
      <c r="DP77" s="11">
        <v>46094</v>
      </c>
      <c r="DQ77" s="33" t="s">
        <v>5</v>
      </c>
      <c r="DR77" s="144" t="s">
        <v>73</v>
      </c>
      <c r="DS77" s="145">
        <v>120</v>
      </c>
      <c r="DT77" s="145">
        <v>13</v>
      </c>
      <c r="DU77" s="146">
        <v>10</v>
      </c>
      <c r="DW77" s="11">
        <v>46096</v>
      </c>
      <c r="DX77" s="33" t="s">
        <v>7</v>
      </c>
      <c r="DY77" s="144"/>
      <c r="DZ77" s="145"/>
      <c r="EA77" s="145"/>
      <c r="EB77" s="146"/>
    </row>
    <row r="78" spans="1:132" x14ac:dyDescent="0.25">
      <c r="A78" s="11">
        <v>46097</v>
      </c>
      <c r="B78" s="33" t="s">
        <v>8</v>
      </c>
      <c r="C78" s="144" t="s">
        <v>32</v>
      </c>
      <c r="D78" s="145">
        <v>180</v>
      </c>
      <c r="E78" s="145">
        <v>15</v>
      </c>
      <c r="F78" s="146">
        <v>19</v>
      </c>
      <c r="H78" s="11">
        <v>46097</v>
      </c>
      <c r="I78" s="33" t="s">
        <v>8</v>
      </c>
      <c r="J78" s="114"/>
      <c r="K78" s="115"/>
      <c r="L78" s="115"/>
      <c r="M78" s="116"/>
      <c r="O78" s="11">
        <v>46097</v>
      </c>
      <c r="P78" s="33" t="s">
        <v>8</v>
      </c>
      <c r="Q78" s="114"/>
      <c r="R78" s="115"/>
      <c r="S78" s="115"/>
      <c r="T78" s="116"/>
      <c r="V78" s="11">
        <v>46096</v>
      </c>
      <c r="W78" s="33" t="s">
        <v>7</v>
      </c>
      <c r="X78" s="144"/>
      <c r="Y78" s="145"/>
      <c r="Z78" s="115"/>
      <c r="AA78" s="116"/>
      <c r="AC78" s="11">
        <v>46097</v>
      </c>
      <c r="AD78" s="33" t="s">
        <v>8</v>
      </c>
      <c r="AE78" s="144" t="s">
        <v>32</v>
      </c>
      <c r="AF78" s="145">
        <v>180</v>
      </c>
      <c r="AG78" s="145">
        <v>0</v>
      </c>
      <c r="AH78" s="146">
        <v>10</v>
      </c>
      <c r="AJ78" s="11">
        <v>46097</v>
      </c>
      <c r="AK78" s="33" t="s">
        <v>8</v>
      </c>
      <c r="AL78" s="144" t="s">
        <v>32</v>
      </c>
      <c r="AM78" s="145">
        <v>250</v>
      </c>
      <c r="AN78" s="145">
        <v>0</v>
      </c>
      <c r="AO78" s="146">
        <v>10</v>
      </c>
      <c r="AQ78" s="11">
        <v>46097</v>
      </c>
      <c r="AR78" s="33" t="s">
        <v>8</v>
      </c>
      <c r="AS78" s="114"/>
      <c r="AT78" s="115"/>
      <c r="AU78" s="115"/>
      <c r="AV78" s="116"/>
      <c r="AX78" s="11">
        <v>46096</v>
      </c>
      <c r="AY78" s="33" t="s">
        <v>7</v>
      </c>
      <c r="AZ78" s="144"/>
      <c r="BA78" s="145"/>
      <c r="BB78" s="115"/>
      <c r="BC78" s="146"/>
      <c r="BE78" s="11">
        <v>46097</v>
      </c>
      <c r="BF78" s="33" t="s">
        <v>8</v>
      </c>
      <c r="BG78" s="33"/>
      <c r="BH78" s="19"/>
      <c r="BI78" s="19"/>
      <c r="BJ78" s="20"/>
      <c r="BL78" s="11">
        <v>46097</v>
      </c>
      <c r="BM78" s="33" t="s">
        <v>8</v>
      </c>
      <c r="BN78" s="144" t="s">
        <v>32</v>
      </c>
      <c r="BO78" s="145">
        <v>120</v>
      </c>
      <c r="BP78" s="145">
        <v>13</v>
      </c>
      <c r="BQ78" s="116"/>
      <c r="BS78" s="11">
        <v>46097</v>
      </c>
      <c r="BT78" s="33" t="s">
        <v>8</v>
      </c>
      <c r="BU78" s="114"/>
      <c r="BV78" s="115"/>
      <c r="BW78" s="115"/>
      <c r="BX78" s="116"/>
      <c r="BZ78" s="11">
        <v>46096</v>
      </c>
      <c r="CA78" s="33" t="s">
        <v>7</v>
      </c>
      <c r="CB78" s="144"/>
      <c r="CC78" s="145"/>
      <c r="CD78" s="115"/>
      <c r="CE78" s="116"/>
      <c r="CG78" s="11">
        <v>46097</v>
      </c>
      <c r="CH78" s="33" t="s">
        <v>8</v>
      </c>
      <c r="CI78" s="114"/>
      <c r="CJ78" s="115"/>
      <c r="CK78" s="115"/>
      <c r="CL78" s="116"/>
      <c r="CN78" s="11">
        <v>46097</v>
      </c>
      <c r="CO78" s="33" t="s">
        <v>8</v>
      </c>
      <c r="CP78" s="144" t="s">
        <v>73</v>
      </c>
      <c r="CQ78" s="145">
        <v>180</v>
      </c>
      <c r="CR78" s="145">
        <v>13</v>
      </c>
      <c r="CS78" s="146">
        <v>0</v>
      </c>
      <c r="CU78" s="11">
        <v>46097</v>
      </c>
      <c r="CV78" s="33" t="s">
        <v>8</v>
      </c>
      <c r="CW78" s="144" t="s">
        <v>32</v>
      </c>
      <c r="CX78" s="145">
        <v>120</v>
      </c>
      <c r="CY78" s="145">
        <v>0</v>
      </c>
      <c r="CZ78" s="146">
        <v>10</v>
      </c>
      <c r="DB78" s="11">
        <v>46095</v>
      </c>
      <c r="DC78" s="33" t="s">
        <v>6</v>
      </c>
      <c r="DD78" s="144"/>
      <c r="DE78" s="145"/>
      <c r="DF78" s="115"/>
      <c r="DG78" s="116"/>
      <c r="DI78" s="11">
        <v>46097</v>
      </c>
      <c r="DJ78" s="33" t="s">
        <v>8</v>
      </c>
      <c r="DK78" s="114"/>
      <c r="DL78" s="115"/>
      <c r="DM78" s="115"/>
      <c r="DN78" s="116"/>
      <c r="DP78" s="11">
        <v>46095</v>
      </c>
      <c r="DQ78" s="33" t="s">
        <v>6</v>
      </c>
      <c r="DR78" s="144" t="s">
        <v>73</v>
      </c>
      <c r="DS78" s="145">
        <v>120</v>
      </c>
      <c r="DT78" s="145">
        <v>13</v>
      </c>
      <c r="DU78" s="146">
        <v>10</v>
      </c>
      <c r="DW78" s="11">
        <v>46097</v>
      </c>
      <c r="DX78" s="33" t="s">
        <v>8</v>
      </c>
      <c r="DY78" s="144" t="s">
        <v>73</v>
      </c>
      <c r="DZ78" s="145">
        <v>120</v>
      </c>
      <c r="EA78" s="145">
        <v>13</v>
      </c>
      <c r="EB78" s="146">
        <v>0</v>
      </c>
    </row>
    <row r="79" spans="1:132" x14ac:dyDescent="0.25">
      <c r="A79" s="11">
        <v>46098</v>
      </c>
      <c r="B79" s="33" t="s">
        <v>9</v>
      </c>
      <c r="C79" s="144" t="s">
        <v>187</v>
      </c>
      <c r="D79" s="145">
        <v>180</v>
      </c>
      <c r="E79" s="145">
        <v>15</v>
      </c>
      <c r="F79" s="146">
        <v>19</v>
      </c>
      <c r="H79" s="11">
        <v>46098</v>
      </c>
      <c r="I79" s="33" t="s">
        <v>9</v>
      </c>
      <c r="J79" s="114"/>
      <c r="K79" s="115"/>
      <c r="L79" s="115"/>
      <c r="M79" s="116"/>
      <c r="O79" s="11">
        <v>46098</v>
      </c>
      <c r="P79" s="33" t="s">
        <v>9</v>
      </c>
      <c r="Q79" s="114"/>
      <c r="R79" s="115"/>
      <c r="S79" s="115"/>
      <c r="T79" s="116"/>
      <c r="V79" s="11">
        <v>46097</v>
      </c>
      <c r="W79" s="33" t="s">
        <v>8</v>
      </c>
      <c r="X79" s="144" t="s">
        <v>73</v>
      </c>
      <c r="Y79" s="145">
        <v>120</v>
      </c>
      <c r="Z79" s="145">
        <v>12.6</v>
      </c>
      <c r="AA79" s="116"/>
      <c r="AC79" s="11">
        <v>46098</v>
      </c>
      <c r="AD79" s="33" t="s">
        <v>9</v>
      </c>
      <c r="AE79" s="144" t="s">
        <v>32</v>
      </c>
      <c r="AF79" s="145">
        <v>180</v>
      </c>
      <c r="AG79" s="145">
        <v>0</v>
      </c>
      <c r="AH79" s="146">
        <v>10</v>
      </c>
      <c r="AJ79" s="11">
        <v>46098</v>
      </c>
      <c r="AK79" s="33" t="s">
        <v>9</v>
      </c>
      <c r="AL79" s="144" t="s">
        <v>32</v>
      </c>
      <c r="AM79" s="145">
        <v>250</v>
      </c>
      <c r="AN79" s="145">
        <v>0</v>
      </c>
      <c r="AO79" s="146">
        <v>10</v>
      </c>
      <c r="AQ79" s="11">
        <v>46098</v>
      </c>
      <c r="AR79" s="33" t="s">
        <v>9</v>
      </c>
      <c r="AS79" s="114"/>
      <c r="AT79" s="115"/>
      <c r="AU79" s="115"/>
      <c r="AV79" s="116"/>
      <c r="AX79" s="11">
        <v>46097</v>
      </c>
      <c r="AY79" s="33" t="s">
        <v>8</v>
      </c>
      <c r="AZ79" s="144" t="s">
        <v>32</v>
      </c>
      <c r="BA79" s="145">
        <v>120</v>
      </c>
      <c r="BB79" s="145">
        <v>0</v>
      </c>
      <c r="BC79" s="146">
        <v>10</v>
      </c>
      <c r="BE79" s="11">
        <v>46098</v>
      </c>
      <c r="BF79" s="33" t="s">
        <v>9</v>
      </c>
      <c r="BG79" s="33"/>
      <c r="BH79" s="19"/>
      <c r="BI79" s="19"/>
      <c r="BJ79" s="20"/>
      <c r="BL79" s="11">
        <v>46098</v>
      </c>
      <c r="BM79" s="33" t="s">
        <v>9</v>
      </c>
      <c r="BN79" s="144" t="s">
        <v>187</v>
      </c>
      <c r="BO79" s="145">
        <v>120</v>
      </c>
      <c r="BP79" s="145">
        <v>13</v>
      </c>
      <c r="BQ79" s="116"/>
      <c r="BS79" s="11">
        <v>46098</v>
      </c>
      <c r="BT79" s="33" t="s">
        <v>9</v>
      </c>
      <c r="BU79" s="114"/>
      <c r="BV79" s="115"/>
      <c r="BW79" s="115"/>
      <c r="BX79" s="116"/>
      <c r="BZ79" s="11">
        <v>46097</v>
      </c>
      <c r="CA79" s="33" t="s">
        <v>8</v>
      </c>
      <c r="CB79" s="144" t="s">
        <v>32</v>
      </c>
      <c r="CC79" s="145">
        <v>120</v>
      </c>
      <c r="CD79" s="145">
        <v>0</v>
      </c>
      <c r="CE79" s="146">
        <v>10</v>
      </c>
      <c r="CG79" s="11">
        <v>46098</v>
      </c>
      <c r="CH79" s="33" t="s">
        <v>9</v>
      </c>
      <c r="CI79" s="114"/>
      <c r="CJ79" s="115"/>
      <c r="CK79" s="115"/>
      <c r="CL79" s="116"/>
      <c r="CN79" s="11">
        <v>46098</v>
      </c>
      <c r="CO79" s="33" t="s">
        <v>9</v>
      </c>
      <c r="CP79" s="144" t="s">
        <v>73</v>
      </c>
      <c r="CQ79" s="145">
        <v>180</v>
      </c>
      <c r="CR79" s="145">
        <v>13</v>
      </c>
      <c r="CS79" s="146">
        <v>0</v>
      </c>
      <c r="CU79" s="11">
        <v>46098</v>
      </c>
      <c r="CV79" s="33" t="s">
        <v>9</v>
      </c>
      <c r="CW79" s="144" t="s">
        <v>32</v>
      </c>
      <c r="CX79" s="145">
        <v>120</v>
      </c>
      <c r="CY79" s="145">
        <v>0</v>
      </c>
      <c r="CZ79" s="146">
        <v>10</v>
      </c>
      <c r="DB79" s="11">
        <v>46096</v>
      </c>
      <c r="DC79" s="33" t="s">
        <v>7</v>
      </c>
      <c r="DD79" s="144"/>
      <c r="DE79" s="145"/>
      <c r="DF79" s="115"/>
      <c r="DG79" s="116"/>
      <c r="DI79" s="11">
        <v>46098</v>
      </c>
      <c r="DJ79" s="33" t="s">
        <v>9</v>
      </c>
      <c r="DK79" s="114"/>
      <c r="DL79" s="115"/>
      <c r="DM79" s="115"/>
      <c r="DN79" s="116"/>
      <c r="DP79" s="11">
        <v>46096</v>
      </c>
      <c r="DQ79" s="33" t="s">
        <v>7</v>
      </c>
      <c r="DR79" s="144"/>
      <c r="DS79" s="145"/>
      <c r="DT79" s="145"/>
      <c r="DU79" s="146"/>
      <c r="DW79" s="11">
        <v>46098</v>
      </c>
      <c r="DX79" s="33" t="s">
        <v>9</v>
      </c>
      <c r="DY79" s="144" t="s">
        <v>73</v>
      </c>
      <c r="DZ79" s="145">
        <v>120</v>
      </c>
      <c r="EA79" s="145">
        <v>13</v>
      </c>
      <c r="EB79" s="146">
        <v>0</v>
      </c>
    </row>
    <row r="80" spans="1:132" x14ac:dyDescent="0.25">
      <c r="A80" s="11">
        <v>46099</v>
      </c>
      <c r="B80" s="33" t="s">
        <v>3</v>
      </c>
      <c r="C80" s="144" t="s">
        <v>187</v>
      </c>
      <c r="D80" s="145">
        <v>180</v>
      </c>
      <c r="E80" s="145">
        <v>15</v>
      </c>
      <c r="F80" s="146">
        <v>19</v>
      </c>
      <c r="H80" s="11">
        <v>46099</v>
      </c>
      <c r="I80" s="33" t="s">
        <v>3</v>
      </c>
      <c r="J80" s="114"/>
      <c r="K80" s="115"/>
      <c r="L80" s="115"/>
      <c r="M80" s="116"/>
      <c r="O80" s="11">
        <v>46099</v>
      </c>
      <c r="P80" s="33" t="s">
        <v>3</v>
      </c>
      <c r="Q80" s="114"/>
      <c r="R80" s="115"/>
      <c r="S80" s="115"/>
      <c r="T80" s="116"/>
      <c r="V80" s="11">
        <v>46098</v>
      </c>
      <c r="W80" s="33" t="s">
        <v>9</v>
      </c>
      <c r="X80" s="144" t="s">
        <v>73</v>
      </c>
      <c r="Y80" s="145">
        <v>120</v>
      </c>
      <c r="Z80" s="145">
        <v>12.6</v>
      </c>
      <c r="AA80" s="116"/>
      <c r="AC80" s="11">
        <v>46099</v>
      </c>
      <c r="AD80" s="33" t="s">
        <v>3</v>
      </c>
      <c r="AE80" s="144" t="s">
        <v>32</v>
      </c>
      <c r="AF80" s="145">
        <v>180</v>
      </c>
      <c r="AG80" s="145">
        <v>0</v>
      </c>
      <c r="AH80" s="146">
        <v>10</v>
      </c>
      <c r="AJ80" s="11">
        <v>46099</v>
      </c>
      <c r="AK80" s="33" t="s">
        <v>3</v>
      </c>
      <c r="AL80" s="144" t="s">
        <v>32</v>
      </c>
      <c r="AM80" s="145">
        <v>250</v>
      </c>
      <c r="AN80" s="145">
        <v>0</v>
      </c>
      <c r="AO80" s="146">
        <v>10</v>
      </c>
      <c r="AQ80" s="11">
        <v>46099</v>
      </c>
      <c r="AR80" s="33" t="s">
        <v>3</v>
      </c>
      <c r="AS80" s="114"/>
      <c r="AT80" s="115"/>
      <c r="AU80" s="115"/>
      <c r="AV80" s="116"/>
      <c r="AX80" s="11">
        <v>46098</v>
      </c>
      <c r="AY80" s="33" t="s">
        <v>9</v>
      </c>
      <c r="AZ80" s="144" t="s">
        <v>32</v>
      </c>
      <c r="BA80" s="145">
        <v>120</v>
      </c>
      <c r="BB80" s="145">
        <v>0</v>
      </c>
      <c r="BC80" s="146">
        <v>10</v>
      </c>
      <c r="BE80" s="11">
        <v>46099</v>
      </c>
      <c r="BF80" s="33" t="s">
        <v>3</v>
      </c>
      <c r="BG80" s="33"/>
      <c r="BH80" s="19"/>
      <c r="BI80" s="19"/>
      <c r="BJ80" s="20"/>
      <c r="BL80" s="11">
        <v>46099</v>
      </c>
      <c r="BM80" s="33" t="s">
        <v>3</v>
      </c>
      <c r="BN80" s="144" t="s">
        <v>187</v>
      </c>
      <c r="BO80" s="145">
        <v>120</v>
      </c>
      <c r="BP80" s="145">
        <v>13</v>
      </c>
      <c r="BQ80" s="116"/>
      <c r="BS80" s="11">
        <v>46099</v>
      </c>
      <c r="BT80" s="33" t="s">
        <v>3</v>
      </c>
      <c r="BU80" s="114"/>
      <c r="BV80" s="115"/>
      <c r="BW80" s="115"/>
      <c r="BX80" s="116"/>
      <c r="BZ80" s="11">
        <v>46098</v>
      </c>
      <c r="CA80" s="33" t="s">
        <v>9</v>
      </c>
      <c r="CB80" s="144" t="s">
        <v>32</v>
      </c>
      <c r="CC80" s="145">
        <v>120</v>
      </c>
      <c r="CD80" s="145">
        <v>0</v>
      </c>
      <c r="CE80" s="146">
        <v>10</v>
      </c>
      <c r="CG80" s="11">
        <v>46099</v>
      </c>
      <c r="CH80" s="33" t="s">
        <v>3</v>
      </c>
      <c r="CI80" s="114"/>
      <c r="CJ80" s="115"/>
      <c r="CK80" s="115"/>
      <c r="CL80" s="116"/>
      <c r="CN80" s="11">
        <v>46099</v>
      </c>
      <c r="CO80" s="33" t="s">
        <v>3</v>
      </c>
      <c r="CP80" s="144" t="s">
        <v>73</v>
      </c>
      <c r="CQ80" s="145">
        <v>180</v>
      </c>
      <c r="CR80" s="145">
        <v>13</v>
      </c>
      <c r="CS80" s="146">
        <v>0</v>
      </c>
      <c r="CU80" s="11">
        <v>46099</v>
      </c>
      <c r="CV80" s="33" t="s">
        <v>3</v>
      </c>
      <c r="CW80" s="144" t="s">
        <v>32</v>
      </c>
      <c r="CX80" s="145">
        <v>120</v>
      </c>
      <c r="CY80" s="145">
        <v>0</v>
      </c>
      <c r="CZ80" s="146">
        <v>10</v>
      </c>
      <c r="DB80" s="11">
        <v>46097</v>
      </c>
      <c r="DC80" s="33" t="s">
        <v>8</v>
      </c>
      <c r="DD80" s="144" t="s">
        <v>32</v>
      </c>
      <c r="DE80" s="145">
        <v>200</v>
      </c>
      <c r="DF80" s="145">
        <v>13</v>
      </c>
      <c r="DG80" s="146">
        <v>10</v>
      </c>
      <c r="DI80" s="11">
        <v>46099</v>
      </c>
      <c r="DJ80" s="33" t="s">
        <v>3</v>
      </c>
      <c r="DK80" s="114"/>
      <c r="DL80" s="115"/>
      <c r="DM80" s="115"/>
      <c r="DN80" s="116"/>
      <c r="DP80" s="11">
        <v>46097</v>
      </c>
      <c r="DQ80" s="33" t="s">
        <v>8</v>
      </c>
      <c r="DR80" s="144" t="s">
        <v>32</v>
      </c>
      <c r="DS80" s="145">
        <v>120</v>
      </c>
      <c r="DT80" s="145">
        <v>13</v>
      </c>
      <c r="DU80" s="146">
        <v>10</v>
      </c>
      <c r="DW80" s="11">
        <v>46099</v>
      </c>
      <c r="DX80" s="33" t="s">
        <v>3</v>
      </c>
      <c r="DY80" s="144" t="s">
        <v>73</v>
      </c>
      <c r="DZ80" s="145">
        <v>120</v>
      </c>
      <c r="EA80" s="145">
        <v>13</v>
      </c>
      <c r="EB80" s="146">
        <v>0</v>
      </c>
    </row>
    <row r="81" spans="1:132" x14ac:dyDescent="0.25">
      <c r="A81" s="11">
        <v>46100</v>
      </c>
      <c r="B81" s="33" t="s">
        <v>4</v>
      </c>
      <c r="C81" s="144" t="s">
        <v>60</v>
      </c>
      <c r="D81" s="145"/>
      <c r="E81" s="145"/>
      <c r="F81" s="146"/>
      <c r="H81" s="11">
        <v>46100</v>
      </c>
      <c r="I81" s="33" t="s">
        <v>4</v>
      </c>
      <c r="J81" s="114" t="s">
        <v>60</v>
      </c>
      <c r="K81" s="115"/>
      <c r="L81" s="115"/>
      <c r="M81" s="116"/>
      <c r="O81" s="11">
        <v>46100</v>
      </c>
      <c r="P81" s="33" t="s">
        <v>4</v>
      </c>
      <c r="Q81" s="114" t="s">
        <v>60</v>
      </c>
      <c r="R81" s="115"/>
      <c r="S81" s="115"/>
      <c r="T81" s="116"/>
      <c r="V81" s="11">
        <v>46099</v>
      </c>
      <c r="W81" s="33" t="s">
        <v>3</v>
      </c>
      <c r="X81" s="144" t="s">
        <v>73</v>
      </c>
      <c r="Y81" s="145">
        <v>120</v>
      </c>
      <c r="Z81" s="145">
        <v>12.6</v>
      </c>
      <c r="AA81" s="116"/>
      <c r="AC81" s="11">
        <v>46100</v>
      </c>
      <c r="AD81" s="33" t="s">
        <v>4</v>
      </c>
      <c r="AE81" s="144" t="s">
        <v>32</v>
      </c>
      <c r="AF81" s="145">
        <v>180</v>
      </c>
      <c r="AG81" s="145">
        <v>0</v>
      </c>
      <c r="AH81" s="146">
        <v>10</v>
      </c>
      <c r="AJ81" s="11">
        <v>46100</v>
      </c>
      <c r="AK81" s="33" t="s">
        <v>4</v>
      </c>
      <c r="AL81" s="144" t="s">
        <v>32</v>
      </c>
      <c r="AM81" s="145">
        <v>250</v>
      </c>
      <c r="AN81" s="145">
        <v>0</v>
      </c>
      <c r="AO81" s="146">
        <v>10</v>
      </c>
      <c r="AQ81" s="11">
        <v>46100</v>
      </c>
      <c r="AR81" s="33" t="s">
        <v>4</v>
      </c>
      <c r="AS81" s="114" t="s">
        <v>60</v>
      </c>
      <c r="AT81" s="115"/>
      <c r="AU81" s="115"/>
      <c r="AV81" s="116"/>
      <c r="AX81" s="11">
        <v>46099</v>
      </c>
      <c r="AY81" s="33" t="s">
        <v>3</v>
      </c>
      <c r="AZ81" s="144" t="s">
        <v>32</v>
      </c>
      <c r="BA81" s="145">
        <v>120</v>
      </c>
      <c r="BB81" s="145">
        <v>0</v>
      </c>
      <c r="BC81" s="146">
        <v>10</v>
      </c>
      <c r="BE81" s="11">
        <v>46100</v>
      </c>
      <c r="BF81" s="33" t="s">
        <v>4</v>
      </c>
      <c r="BG81" s="33" t="s">
        <v>60</v>
      </c>
      <c r="BH81" s="19"/>
      <c r="BI81" s="19"/>
      <c r="BJ81" s="20"/>
      <c r="BL81" s="11">
        <v>46100</v>
      </c>
      <c r="BM81" s="33" t="s">
        <v>4</v>
      </c>
      <c r="BN81" s="144" t="s">
        <v>60</v>
      </c>
      <c r="BO81" s="145"/>
      <c r="BP81" s="145"/>
      <c r="BQ81" s="116"/>
      <c r="BS81" s="11">
        <v>46100</v>
      </c>
      <c r="BT81" s="33" t="s">
        <v>4</v>
      </c>
      <c r="BU81" s="114" t="s">
        <v>60</v>
      </c>
      <c r="BV81" s="115"/>
      <c r="BW81" s="115"/>
      <c r="BX81" s="116"/>
      <c r="BZ81" s="11">
        <v>46099</v>
      </c>
      <c r="CA81" s="33" t="s">
        <v>3</v>
      </c>
      <c r="CB81" s="144" t="s">
        <v>32</v>
      </c>
      <c r="CC81" s="145">
        <v>120</v>
      </c>
      <c r="CD81" s="145">
        <v>0</v>
      </c>
      <c r="CE81" s="146">
        <v>10</v>
      </c>
      <c r="CG81" s="11">
        <v>46100</v>
      </c>
      <c r="CH81" s="33" t="s">
        <v>4</v>
      </c>
      <c r="CI81" s="114" t="s">
        <v>60</v>
      </c>
      <c r="CJ81" s="115"/>
      <c r="CK81" s="115"/>
      <c r="CL81" s="116"/>
      <c r="CN81" s="11">
        <v>46100</v>
      </c>
      <c r="CO81" s="33" t="s">
        <v>4</v>
      </c>
      <c r="CP81" s="144" t="s">
        <v>32</v>
      </c>
      <c r="CQ81" s="145">
        <v>180</v>
      </c>
      <c r="CR81" s="145">
        <v>13</v>
      </c>
      <c r="CS81" s="146">
        <v>0</v>
      </c>
      <c r="CU81" s="11">
        <v>46100</v>
      </c>
      <c r="CV81" s="33" t="s">
        <v>4</v>
      </c>
      <c r="CW81" s="144" t="s">
        <v>32</v>
      </c>
      <c r="CX81" s="145">
        <v>120</v>
      </c>
      <c r="CY81" s="145">
        <v>0</v>
      </c>
      <c r="CZ81" s="146">
        <v>10</v>
      </c>
      <c r="DB81" s="11">
        <v>46098</v>
      </c>
      <c r="DC81" s="33" t="s">
        <v>9</v>
      </c>
      <c r="DD81" s="144" t="s">
        <v>32</v>
      </c>
      <c r="DE81" s="145">
        <v>200</v>
      </c>
      <c r="DF81" s="145">
        <v>13</v>
      </c>
      <c r="DG81" s="146">
        <v>10</v>
      </c>
      <c r="DI81" s="11">
        <v>46100</v>
      </c>
      <c r="DJ81" s="33" t="s">
        <v>4</v>
      </c>
      <c r="DK81" s="114" t="s">
        <v>60</v>
      </c>
      <c r="DL81" s="115"/>
      <c r="DM81" s="115"/>
      <c r="DN81" s="116"/>
      <c r="DP81" s="11">
        <v>46098</v>
      </c>
      <c r="DQ81" s="33" t="s">
        <v>9</v>
      </c>
      <c r="DR81" s="144" t="s">
        <v>32</v>
      </c>
      <c r="DS81" s="145">
        <v>120</v>
      </c>
      <c r="DT81" s="145">
        <v>13</v>
      </c>
      <c r="DU81" s="146">
        <v>10</v>
      </c>
      <c r="DW81" s="11">
        <v>46100</v>
      </c>
      <c r="DX81" s="33" t="s">
        <v>4</v>
      </c>
      <c r="DY81" s="144" t="s">
        <v>32</v>
      </c>
      <c r="DZ81" s="145">
        <v>120</v>
      </c>
      <c r="EA81" s="145">
        <v>13</v>
      </c>
      <c r="EB81" s="146">
        <v>0</v>
      </c>
    </row>
    <row r="82" spans="1:132" x14ac:dyDescent="0.25">
      <c r="A82" s="11">
        <v>46101</v>
      </c>
      <c r="B82" s="33" t="s">
        <v>5</v>
      </c>
      <c r="C82" s="144" t="s">
        <v>32</v>
      </c>
      <c r="D82" s="145">
        <v>180</v>
      </c>
      <c r="E82" s="145">
        <v>15</v>
      </c>
      <c r="F82" s="146">
        <v>19</v>
      </c>
      <c r="H82" s="11">
        <v>46101</v>
      </c>
      <c r="I82" s="33" t="s">
        <v>5</v>
      </c>
      <c r="J82" s="114"/>
      <c r="K82" s="115"/>
      <c r="L82" s="115"/>
      <c r="M82" s="116"/>
      <c r="O82" s="11">
        <v>46101</v>
      </c>
      <c r="P82" s="33" t="s">
        <v>5</v>
      </c>
      <c r="Q82" s="114"/>
      <c r="R82" s="115"/>
      <c r="S82" s="115"/>
      <c r="T82" s="116"/>
      <c r="V82" s="11">
        <v>46100</v>
      </c>
      <c r="W82" s="33" t="s">
        <v>4</v>
      </c>
      <c r="X82" s="144" t="s">
        <v>60</v>
      </c>
      <c r="Y82" s="145"/>
      <c r="Z82" s="145"/>
      <c r="AA82" s="116"/>
      <c r="AC82" s="11">
        <v>46101</v>
      </c>
      <c r="AD82" s="33" t="s">
        <v>5</v>
      </c>
      <c r="AE82" s="144" t="s">
        <v>32</v>
      </c>
      <c r="AF82" s="145">
        <v>180</v>
      </c>
      <c r="AG82" s="145">
        <v>0</v>
      </c>
      <c r="AH82" s="146">
        <v>10</v>
      </c>
      <c r="AJ82" s="11">
        <v>46101</v>
      </c>
      <c r="AK82" s="33" t="s">
        <v>5</v>
      </c>
      <c r="AL82" s="144" t="s">
        <v>32</v>
      </c>
      <c r="AM82" s="145">
        <v>250</v>
      </c>
      <c r="AN82" s="145">
        <v>0</v>
      </c>
      <c r="AO82" s="146">
        <v>10</v>
      </c>
      <c r="AQ82" s="11">
        <v>46101</v>
      </c>
      <c r="AR82" s="33" t="s">
        <v>5</v>
      </c>
      <c r="AS82" s="114"/>
      <c r="AT82" s="115"/>
      <c r="AU82" s="115"/>
      <c r="AV82" s="116"/>
      <c r="AX82" s="11">
        <v>46100</v>
      </c>
      <c r="AY82" s="33" t="s">
        <v>4</v>
      </c>
      <c r="AZ82" s="144" t="s">
        <v>32</v>
      </c>
      <c r="BA82" s="145">
        <v>120</v>
      </c>
      <c r="BB82" s="145">
        <v>0</v>
      </c>
      <c r="BC82" s="146">
        <v>10</v>
      </c>
      <c r="BE82" s="11">
        <v>46101</v>
      </c>
      <c r="BF82" s="33" t="s">
        <v>5</v>
      </c>
      <c r="BG82" s="33"/>
      <c r="BH82" s="19"/>
      <c r="BI82" s="19"/>
      <c r="BJ82" s="20"/>
      <c r="BL82" s="11">
        <v>46101</v>
      </c>
      <c r="BM82" s="33" t="s">
        <v>5</v>
      </c>
      <c r="BN82" s="144" t="s">
        <v>73</v>
      </c>
      <c r="BO82" s="145">
        <v>120</v>
      </c>
      <c r="BP82" s="145">
        <v>13</v>
      </c>
      <c r="BQ82" s="116"/>
      <c r="BS82" s="11">
        <v>46101</v>
      </c>
      <c r="BT82" s="33" t="s">
        <v>5</v>
      </c>
      <c r="BU82" s="114"/>
      <c r="BV82" s="115"/>
      <c r="BW82" s="115"/>
      <c r="BX82" s="116"/>
      <c r="BZ82" s="11">
        <v>46100</v>
      </c>
      <c r="CA82" s="33" t="s">
        <v>4</v>
      </c>
      <c r="CB82" s="144" t="s">
        <v>32</v>
      </c>
      <c r="CC82" s="145">
        <v>120</v>
      </c>
      <c r="CD82" s="145">
        <v>0</v>
      </c>
      <c r="CE82" s="146">
        <v>10</v>
      </c>
      <c r="CG82" s="11">
        <v>46101</v>
      </c>
      <c r="CH82" s="33" t="s">
        <v>5</v>
      </c>
      <c r="CI82" s="114"/>
      <c r="CJ82" s="115"/>
      <c r="CK82" s="115"/>
      <c r="CL82" s="116"/>
      <c r="CN82" s="11">
        <v>46101</v>
      </c>
      <c r="CO82" s="33" t="s">
        <v>5</v>
      </c>
      <c r="CP82" s="114" t="s">
        <v>36</v>
      </c>
      <c r="CQ82" s="115"/>
      <c r="CR82" s="145"/>
      <c r="CS82" s="146"/>
      <c r="CU82" s="11">
        <v>46101</v>
      </c>
      <c r="CV82" s="33" t="s">
        <v>5</v>
      </c>
      <c r="CW82" s="144" t="s">
        <v>32</v>
      </c>
      <c r="CX82" s="145">
        <v>120</v>
      </c>
      <c r="CY82" s="145">
        <v>0</v>
      </c>
      <c r="CZ82" s="146">
        <v>10</v>
      </c>
      <c r="DB82" s="11">
        <v>46099</v>
      </c>
      <c r="DC82" s="33" t="s">
        <v>3</v>
      </c>
      <c r="DD82" s="144" t="s">
        <v>32</v>
      </c>
      <c r="DE82" s="145">
        <v>200</v>
      </c>
      <c r="DF82" s="145">
        <v>13</v>
      </c>
      <c r="DG82" s="146">
        <v>10</v>
      </c>
      <c r="DI82" s="11">
        <v>46101</v>
      </c>
      <c r="DJ82" s="33" t="s">
        <v>5</v>
      </c>
      <c r="DK82" s="114"/>
      <c r="DL82" s="115"/>
      <c r="DM82" s="115"/>
      <c r="DN82" s="116"/>
      <c r="DP82" s="11">
        <v>46099</v>
      </c>
      <c r="DQ82" s="33" t="s">
        <v>3</v>
      </c>
      <c r="DR82" s="144" t="s">
        <v>32</v>
      </c>
      <c r="DS82" s="145">
        <v>120</v>
      </c>
      <c r="DT82" s="145">
        <v>13</v>
      </c>
      <c r="DU82" s="146">
        <v>10</v>
      </c>
      <c r="DW82" s="11">
        <v>46101</v>
      </c>
      <c r="DX82" s="33" t="s">
        <v>5</v>
      </c>
      <c r="DY82" s="144" t="s">
        <v>73</v>
      </c>
      <c r="DZ82" s="145">
        <v>120</v>
      </c>
      <c r="EA82" s="145">
        <v>13</v>
      </c>
      <c r="EB82" s="146">
        <v>0</v>
      </c>
    </row>
    <row r="83" spans="1:132" x14ac:dyDescent="0.25">
      <c r="A83" s="11">
        <v>46102</v>
      </c>
      <c r="B83" s="33" t="s">
        <v>6</v>
      </c>
      <c r="C83" s="114"/>
      <c r="D83" s="115"/>
      <c r="E83" s="115"/>
      <c r="F83" s="116"/>
      <c r="H83" s="11">
        <v>46102</v>
      </c>
      <c r="I83" s="33" t="s">
        <v>6</v>
      </c>
      <c r="J83" s="114"/>
      <c r="K83" s="115"/>
      <c r="L83" s="115"/>
      <c r="M83" s="116"/>
      <c r="O83" s="11">
        <v>46102</v>
      </c>
      <c r="P83" s="33" t="s">
        <v>6</v>
      </c>
      <c r="Q83" s="114"/>
      <c r="R83" s="115"/>
      <c r="S83" s="115"/>
      <c r="T83" s="116"/>
      <c r="V83" s="11">
        <v>46101</v>
      </c>
      <c r="W83" s="33" t="s">
        <v>5</v>
      </c>
      <c r="X83" s="144" t="s">
        <v>73</v>
      </c>
      <c r="Y83" s="145">
        <v>120</v>
      </c>
      <c r="Z83" s="145">
        <v>12.6</v>
      </c>
      <c r="AA83" s="116"/>
      <c r="AC83" s="11">
        <v>46102</v>
      </c>
      <c r="AD83" s="33" t="s">
        <v>6</v>
      </c>
      <c r="AE83" s="114"/>
      <c r="AF83" s="115"/>
      <c r="AG83" s="145"/>
      <c r="AH83" s="146"/>
      <c r="AJ83" s="11">
        <v>46102</v>
      </c>
      <c r="AK83" s="33" t="s">
        <v>6</v>
      </c>
      <c r="AL83" s="114"/>
      <c r="AM83" s="115"/>
      <c r="AN83" s="115"/>
      <c r="AO83" s="116"/>
      <c r="AQ83" s="11">
        <v>46102</v>
      </c>
      <c r="AR83" s="33" t="s">
        <v>6</v>
      </c>
      <c r="AS83" s="114"/>
      <c r="AT83" s="115"/>
      <c r="AU83" s="115"/>
      <c r="AV83" s="116"/>
      <c r="AX83" s="11">
        <v>46101</v>
      </c>
      <c r="AY83" s="33" t="s">
        <v>5</v>
      </c>
      <c r="AZ83" s="144" t="s">
        <v>32</v>
      </c>
      <c r="BA83" s="145">
        <v>120</v>
      </c>
      <c r="BB83" s="145">
        <v>0</v>
      </c>
      <c r="BC83" s="146">
        <v>10</v>
      </c>
      <c r="BE83" s="11">
        <v>46102</v>
      </c>
      <c r="BF83" s="33" t="s">
        <v>6</v>
      </c>
      <c r="BG83" s="33"/>
      <c r="BH83" s="19"/>
      <c r="BI83" s="19"/>
      <c r="BJ83" s="20"/>
      <c r="BL83" s="11">
        <v>46102</v>
      </c>
      <c r="BM83" s="33" t="s">
        <v>6</v>
      </c>
      <c r="BN83" s="114"/>
      <c r="BO83" s="115"/>
      <c r="BP83" s="115"/>
      <c r="BQ83" s="116"/>
      <c r="BS83" s="11">
        <v>46102</v>
      </c>
      <c r="BT83" s="33" t="s">
        <v>6</v>
      </c>
      <c r="BU83" s="114"/>
      <c r="BV83" s="115"/>
      <c r="BW83" s="115"/>
      <c r="BX83" s="116"/>
      <c r="BZ83" s="11">
        <v>46101</v>
      </c>
      <c r="CA83" s="33" t="s">
        <v>5</v>
      </c>
      <c r="CB83" s="144" t="s">
        <v>32</v>
      </c>
      <c r="CC83" s="145">
        <v>120</v>
      </c>
      <c r="CD83" s="145">
        <v>0</v>
      </c>
      <c r="CE83" s="146">
        <v>10</v>
      </c>
      <c r="CG83" s="11">
        <v>46102</v>
      </c>
      <c r="CH83" s="33" t="s">
        <v>6</v>
      </c>
      <c r="CI83" s="114"/>
      <c r="CJ83" s="115"/>
      <c r="CK83" s="115"/>
      <c r="CL83" s="116"/>
      <c r="CN83" s="11">
        <v>46102</v>
      </c>
      <c r="CO83" s="33" t="s">
        <v>6</v>
      </c>
      <c r="CP83" s="114"/>
      <c r="CQ83" s="115"/>
      <c r="CR83" s="115"/>
      <c r="CS83" s="116"/>
      <c r="CU83" s="11">
        <v>46102</v>
      </c>
      <c r="CV83" s="33" t="s">
        <v>6</v>
      </c>
      <c r="CW83" s="114"/>
      <c r="CX83" s="115"/>
      <c r="CY83" s="115"/>
      <c r="CZ83" s="116"/>
      <c r="DB83" s="11">
        <v>46100</v>
      </c>
      <c r="DC83" s="33" t="s">
        <v>4</v>
      </c>
      <c r="DD83" s="144" t="s">
        <v>32</v>
      </c>
      <c r="DE83" s="145">
        <v>200</v>
      </c>
      <c r="DF83" s="145">
        <v>13</v>
      </c>
      <c r="DG83" s="146">
        <v>10</v>
      </c>
      <c r="DI83" s="11">
        <v>46102</v>
      </c>
      <c r="DJ83" s="33" t="s">
        <v>6</v>
      </c>
      <c r="DK83" s="114"/>
      <c r="DL83" s="115"/>
      <c r="DM83" s="115"/>
      <c r="DN83" s="116"/>
      <c r="DP83" s="11">
        <v>46100</v>
      </c>
      <c r="DQ83" s="33" t="s">
        <v>4</v>
      </c>
      <c r="DR83" s="144" t="s">
        <v>32</v>
      </c>
      <c r="DS83" s="145">
        <v>120</v>
      </c>
      <c r="DT83" s="145">
        <v>13</v>
      </c>
      <c r="DU83" s="146">
        <v>10</v>
      </c>
      <c r="DW83" s="11">
        <v>46102</v>
      </c>
      <c r="DX83" s="33" t="s">
        <v>6</v>
      </c>
      <c r="DY83" s="114"/>
      <c r="DZ83" s="115"/>
      <c r="EA83" s="115"/>
      <c r="EB83" s="116"/>
    </row>
    <row r="84" spans="1:132" x14ac:dyDescent="0.25">
      <c r="A84" s="11">
        <v>46103</v>
      </c>
      <c r="B84" s="33" t="s">
        <v>7</v>
      </c>
      <c r="C84" s="114"/>
      <c r="D84" s="115"/>
      <c r="E84" s="115"/>
      <c r="F84" s="116"/>
      <c r="H84" s="11">
        <v>46103</v>
      </c>
      <c r="I84" s="33" t="s">
        <v>7</v>
      </c>
      <c r="J84" s="114"/>
      <c r="K84" s="115"/>
      <c r="L84" s="115"/>
      <c r="M84" s="116"/>
      <c r="O84" s="11">
        <v>46103</v>
      </c>
      <c r="P84" s="33" t="s">
        <v>7</v>
      </c>
      <c r="Q84" s="114"/>
      <c r="R84" s="115"/>
      <c r="S84" s="115"/>
      <c r="T84" s="116"/>
      <c r="V84" s="11">
        <v>46102</v>
      </c>
      <c r="W84" s="33" t="s">
        <v>6</v>
      </c>
      <c r="X84" s="114"/>
      <c r="Y84" s="115"/>
      <c r="Z84" s="115"/>
      <c r="AA84" s="116"/>
      <c r="AC84" s="11">
        <v>46103</v>
      </c>
      <c r="AD84" s="33" t="s">
        <v>7</v>
      </c>
      <c r="AE84" s="114"/>
      <c r="AF84" s="115"/>
      <c r="AG84" s="145"/>
      <c r="AH84" s="146"/>
      <c r="AJ84" s="11">
        <v>46103</v>
      </c>
      <c r="AK84" s="33" t="s">
        <v>7</v>
      </c>
      <c r="AL84" s="114"/>
      <c r="AM84" s="115"/>
      <c r="AN84" s="115"/>
      <c r="AO84" s="116"/>
      <c r="AQ84" s="11">
        <v>46103</v>
      </c>
      <c r="AR84" s="33" t="s">
        <v>7</v>
      </c>
      <c r="AS84" s="114"/>
      <c r="AT84" s="115"/>
      <c r="AU84" s="115"/>
      <c r="AV84" s="116"/>
      <c r="AX84" s="11">
        <v>46102</v>
      </c>
      <c r="AY84" s="33" t="s">
        <v>6</v>
      </c>
      <c r="AZ84" s="114"/>
      <c r="BA84" s="115"/>
      <c r="BB84" s="115"/>
      <c r="BC84" s="116"/>
      <c r="BE84" s="11">
        <v>46103</v>
      </c>
      <c r="BF84" s="33" t="s">
        <v>7</v>
      </c>
      <c r="BG84" s="33"/>
      <c r="BH84" s="19"/>
      <c r="BI84" s="19"/>
      <c r="BJ84" s="20"/>
      <c r="BL84" s="11">
        <v>46103</v>
      </c>
      <c r="BM84" s="33" t="s">
        <v>7</v>
      </c>
      <c r="BN84" s="114"/>
      <c r="BO84" s="115"/>
      <c r="BP84" s="115"/>
      <c r="BQ84" s="116"/>
      <c r="BS84" s="11">
        <v>46103</v>
      </c>
      <c r="BT84" s="33" t="s">
        <v>7</v>
      </c>
      <c r="BU84" s="114"/>
      <c r="BV84" s="115"/>
      <c r="BW84" s="115"/>
      <c r="BX84" s="116"/>
      <c r="BZ84" s="11">
        <v>46102</v>
      </c>
      <c r="CA84" s="33" t="s">
        <v>6</v>
      </c>
      <c r="CB84" s="144"/>
      <c r="CC84" s="145"/>
      <c r="CD84" s="115"/>
      <c r="CE84" s="116"/>
      <c r="CG84" s="11">
        <v>46103</v>
      </c>
      <c r="CH84" s="33" t="s">
        <v>7</v>
      </c>
      <c r="CI84" s="114"/>
      <c r="CJ84" s="115"/>
      <c r="CK84" s="115"/>
      <c r="CL84" s="116"/>
      <c r="CN84" s="11">
        <v>46103</v>
      </c>
      <c r="CO84" s="33" t="s">
        <v>7</v>
      </c>
      <c r="CP84" s="114"/>
      <c r="CQ84" s="115"/>
      <c r="CR84" s="115"/>
      <c r="CS84" s="116"/>
      <c r="CU84" s="11">
        <v>46103</v>
      </c>
      <c r="CV84" s="33" t="s">
        <v>7</v>
      </c>
      <c r="CW84" s="114"/>
      <c r="CX84" s="115"/>
      <c r="CY84" s="115"/>
      <c r="CZ84" s="116"/>
      <c r="DB84" s="11">
        <v>46101</v>
      </c>
      <c r="DC84" s="33" t="s">
        <v>5</v>
      </c>
      <c r="DD84" s="144" t="s">
        <v>32</v>
      </c>
      <c r="DE84" s="145">
        <v>200</v>
      </c>
      <c r="DF84" s="145">
        <v>13</v>
      </c>
      <c r="DG84" s="146">
        <v>10</v>
      </c>
      <c r="DI84" s="11">
        <v>46103</v>
      </c>
      <c r="DJ84" s="33" t="s">
        <v>7</v>
      </c>
      <c r="DK84" s="114"/>
      <c r="DL84" s="115"/>
      <c r="DM84" s="115"/>
      <c r="DN84" s="116"/>
      <c r="DP84" s="11">
        <v>46101</v>
      </c>
      <c r="DQ84" s="33" t="s">
        <v>5</v>
      </c>
      <c r="DR84" s="144" t="s">
        <v>32</v>
      </c>
      <c r="DS84" s="145">
        <v>120</v>
      </c>
      <c r="DT84" s="145">
        <v>13</v>
      </c>
      <c r="DU84" s="146">
        <v>10</v>
      </c>
      <c r="DW84" s="11">
        <v>46103</v>
      </c>
      <c r="DX84" s="33" t="s">
        <v>7</v>
      </c>
      <c r="DY84" s="114"/>
      <c r="DZ84" s="115"/>
      <c r="EA84" s="115"/>
      <c r="EB84" s="116"/>
    </row>
    <row r="85" spans="1:132" x14ac:dyDescent="0.25">
      <c r="A85" s="11">
        <v>46104</v>
      </c>
      <c r="B85" s="33" t="s">
        <v>8</v>
      </c>
      <c r="C85" s="114" t="s">
        <v>187</v>
      </c>
      <c r="D85" s="115">
        <v>180</v>
      </c>
      <c r="E85" s="145">
        <v>15</v>
      </c>
      <c r="F85" s="146">
        <v>19</v>
      </c>
      <c r="H85" s="11">
        <v>46104</v>
      </c>
      <c r="I85" s="33" t="s">
        <v>8</v>
      </c>
      <c r="J85" s="114"/>
      <c r="K85" s="115"/>
      <c r="L85" s="115"/>
      <c r="M85" s="116"/>
      <c r="O85" s="11">
        <v>46104</v>
      </c>
      <c r="P85" s="33" t="s">
        <v>8</v>
      </c>
      <c r="Q85" s="114"/>
      <c r="R85" s="115"/>
      <c r="S85" s="115"/>
      <c r="T85" s="116"/>
      <c r="V85" s="11">
        <v>46103</v>
      </c>
      <c r="W85" s="33" t="s">
        <v>7</v>
      </c>
      <c r="X85" s="114"/>
      <c r="Y85" s="115"/>
      <c r="Z85" s="145"/>
      <c r="AA85" s="116"/>
      <c r="AC85" s="11">
        <v>46104</v>
      </c>
      <c r="AD85" s="33" t="s">
        <v>8</v>
      </c>
      <c r="AE85" s="114" t="s">
        <v>32</v>
      </c>
      <c r="AF85" s="115">
        <v>180</v>
      </c>
      <c r="AG85" s="145">
        <v>0</v>
      </c>
      <c r="AH85" s="146">
        <v>10</v>
      </c>
      <c r="AJ85" s="11">
        <v>46104</v>
      </c>
      <c r="AK85" s="33" t="s">
        <v>8</v>
      </c>
      <c r="AL85" s="114" t="s">
        <v>50</v>
      </c>
      <c r="AM85" s="115">
        <v>250</v>
      </c>
      <c r="AN85" s="145">
        <v>0</v>
      </c>
      <c r="AO85" s="146">
        <v>10</v>
      </c>
      <c r="AQ85" s="11">
        <v>46104</v>
      </c>
      <c r="AR85" s="33" t="s">
        <v>8</v>
      </c>
      <c r="AS85" s="114"/>
      <c r="AT85" s="115"/>
      <c r="AU85" s="115"/>
      <c r="AV85" s="116"/>
      <c r="AX85" s="11">
        <v>46103</v>
      </c>
      <c r="AY85" s="33" t="s">
        <v>7</v>
      </c>
      <c r="AZ85" s="114"/>
      <c r="BA85" s="115"/>
      <c r="BB85" s="115"/>
      <c r="BC85" s="116"/>
      <c r="BE85" s="11">
        <v>46104</v>
      </c>
      <c r="BF85" s="33" t="s">
        <v>8</v>
      </c>
      <c r="BG85" s="33"/>
      <c r="BH85" s="19"/>
      <c r="BI85" s="19"/>
      <c r="BJ85" s="20"/>
      <c r="BL85" s="11">
        <v>46104</v>
      </c>
      <c r="BM85" s="33" t="s">
        <v>8</v>
      </c>
      <c r="BN85" s="114" t="s">
        <v>36</v>
      </c>
      <c r="BO85" s="115">
        <v>0</v>
      </c>
      <c r="BP85" s="145">
        <v>13</v>
      </c>
      <c r="BQ85" s="116"/>
      <c r="BS85" s="11">
        <v>46104</v>
      </c>
      <c r="BT85" s="33" t="s">
        <v>8</v>
      </c>
      <c r="BU85" s="114"/>
      <c r="BV85" s="115"/>
      <c r="BW85" s="115"/>
      <c r="BX85" s="116"/>
      <c r="BZ85" s="11">
        <v>46103</v>
      </c>
      <c r="CA85" s="33" t="s">
        <v>7</v>
      </c>
      <c r="CB85" s="114"/>
      <c r="CC85" s="115"/>
      <c r="CD85" s="115"/>
      <c r="CE85" s="116"/>
      <c r="CG85" s="11">
        <v>46104</v>
      </c>
      <c r="CH85" s="33" t="s">
        <v>8</v>
      </c>
      <c r="CI85" s="114"/>
      <c r="CJ85" s="115"/>
      <c r="CK85" s="115"/>
      <c r="CL85" s="116"/>
      <c r="CN85" s="11">
        <v>46104</v>
      </c>
      <c r="CO85" s="33" t="s">
        <v>8</v>
      </c>
      <c r="CP85" s="114" t="s">
        <v>32</v>
      </c>
      <c r="CQ85" s="115">
        <v>180</v>
      </c>
      <c r="CR85" s="145">
        <v>13</v>
      </c>
      <c r="CS85" s="146">
        <v>0</v>
      </c>
      <c r="CU85" s="11">
        <v>46104</v>
      </c>
      <c r="CV85" s="33" t="s">
        <v>8</v>
      </c>
      <c r="CW85" s="114" t="s">
        <v>32</v>
      </c>
      <c r="CX85" s="115">
        <v>120</v>
      </c>
      <c r="CY85" s="145">
        <v>0</v>
      </c>
      <c r="CZ85" s="146">
        <v>10</v>
      </c>
      <c r="DB85" s="11">
        <v>46102</v>
      </c>
      <c r="DC85" s="33" t="s">
        <v>6</v>
      </c>
      <c r="DD85" s="114"/>
      <c r="DE85" s="115"/>
      <c r="DF85" s="115"/>
      <c r="DG85" s="116"/>
      <c r="DI85" s="11">
        <v>46104</v>
      </c>
      <c r="DJ85" s="33" t="s">
        <v>8</v>
      </c>
      <c r="DK85" s="114"/>
      <c r="DL85" s="115"/>
      <c r="DM85" s="115"/>
      <c r="DN85" s="116"/>
      <c r="DP85" s="11">
        <v>46102</v>
      </c>
      <c r="DQ85" s="33" t="s">
        <v>6</v>
      </c>
      <c r="DR85" s="114"/>
      <c r="DS85" s="115"/>
      <c r="DT85" s="115"/>
      <c r="DU85" s="116"/>
      <c r="DW85" s="11">
        <v>46104</v>
      </c>
      <c r="DX85" s="33" t="s">
        <v>8</v>
      </c>
      <c r="DY85" s="114" t="s">
        <v>73</v>
      </c>
      <c r="DZ85" s="115">
        <v>120</v>
      </c>
      <c r="EA85" s="145">
        <v>13</v>
      </c>
      <c r="EB85" s="146">
        <v>0</v>
      </c>
    </row>
    <row r="86" spans="1:132" x14ac:dyDescent="0.25">
      <c r="A86" s="11">
        <v>46105</v>
      </c>
      <c r="B86" s="33" t="s">
        <v>9</v>
      </c>
      <c r="C86" s="114"/>
      <c r="D86" s="115"/>
      <c r="E86" s="145">
        <v>15</v>
      </c>
      <c r="F86" s="146">
        <v>19</v>
      </c>
      <c r="H86" s="11">
        <v>46105</v>
      </c>
      <c r="I86" s="33" t="s">
        <v>9</v>
      </c>
      <c r="J86" s="114"/>
      <c r="K86" s="115"/>
      <c r="L86" s="115"/>
      <c r="M86" s="116"/>
      <c r="O86" s="11">
        <v>46105</v>
      </c>
      <c r="P86" s="33" t="s">
        <v>9</v>
      </c>
      <c r="Q86" s="114"/>
      <c r="R86" s="115"/>
      <c r="S86" s="115"/>
      <c r="T86" s="116"/>
      <c r="V86" s="11">
        <v>46104</v>
      </c>
      <c r="W86" s="33" t="s">
        <v>8</v>
      </c>
      <c r="X86" s="114" t="s">
        <v>187</v>
      </c>
      <c r="Y86" s="115">
        <v>120</v>
      </c>
      <c r="Z86" s="145">
        <v>12.6</v>
      </c>
      <c r="AA86" s="116"/>
      <c r="AC86" s="11">
        <v>46105</v>
      </c>
      <c r="AD86" s="33" t="s">
        <v>9</v>
      </c>
      <c r="AE86" s="114"/>
      <c r="AF86" s="115"/>
      <c r="AG86" s="145">
        <v>0</v>
      </c>
      <c r="AH86" s="146">
        <v>10</v>
      </c>
      <c r="AJ86" s="11">
        <v>46105</v>
      </c>
      <c r="AK86" s="33" t="s">
        <v>9</v>
      </c>
      <c r="AL86" s="114"/>
      <c r="AM86" s="115"/>
      <c r="AN86" s="145">
        <v>0</v>
      </c>
      <c r="AO86" s="146">
        <v>10</v>
      </c>
      <c r="AQ86" s="11">
        <v>46105</v>
      </c>
      <c r="AR86" s="33" t="s">
        <v>9</v>
      </c>
      <c r="AS86" s="114"/>
      <c r="AT86" s="115"/>
      <c r="AU86" s="115"/>
      <c r="AV86" s="116"/>
      <c r="AX86" s="11">
        <v>46104</v>
      </c>
      <c r="AY86" s="33" t="s">
        <v>8</v>
      </c>
      <c r="AZ86" s="114" t="s">
        <v>32</v>
      </c>
      <c r="BA86" s="115">
        <v>120</v>
      </c>
      <c r="BB86" s="145">
        <v>0</v>
      </c>
      <c r="BC86" s="146">
        <v>10</v>
      </c>
      <c r="BE86" s="11">
        <v>46105</v>
      </c>
      <c r="BF86" s="33" t="s">
        <v>9</v>
      </c>
      <c r="BG86" s="33"/>
      <c r="BH86" s="19"/>
      <c r="BI86" s="19"/>
      <c r="BJ86" s="20"/>
      <c r="BL86" s="11">
        <v>46105</v>
      </c>
      <c r="BM86" s="33" t="s">
        <v>9</v>
      </c>
      <c r="BN86" s="114"/>
      <c r="BO86" s="115"/>
      <c r="BP86" s="145">
        <v>13</v>
      </c>
      <c r="BQ86" s="116"/>
      <c r="BS86" s="11">
        <v>46105</v>
      </c>
      <c r="BT86" s="33" t="s">
        <v>9</v>
      </c>
      <c r="BU86" s="114"/>
      <c r="BV86" s="115"/>
      <c r="BW86" s="115"/>
      <c r="BX86" s="116"/>
      <c r="BZ86" s="11">
        <v>46104</v>
      </c>
      <c r="CA86" s="33" t="s">
        <v>8</v>
      </c>
      <c r="CB86" s="114" t="s">
        <v>32</v>
      </c>
      <c r="CC86" s="115">
        <v>120</v>
      </c>
      <c r="CD86" s="145">
        <v>0</v>
      </c>
      <c r="CE86" s="146">
        <v>10</v>
      </c>
      <c r="CG86" s="11">
        <v>46105</v>
      </c>
      <c r="CH86" s="33" t="s">
        <v>9</v>
      </c>
      <c r="CI86" s="114"/>
      <c r="CJ86" s="115"/>
      <c r="CK86" s="115"/>
      <c r="CL86" s="116"/>
      <c r="CN86" s="11">
        <v>46105</v>
      </c>
      <c r="CO86" s="33" t="s">
        <v>9</v>
      </c>
      <c r="CP86" s="114"/>
      <c r="CQ86" s="115"/>
      <c r="CR86" s="145">
        <v>13</v>
      </c>
      <c r="CS86" s="146">
        <v>0</v>
      </c>
      <c r="CU86" s="11">
        <v>46105</v>
      </c>
      <c r="CV86" s="33" t="s">
        <v>9</v>
      </c>
      <c r="CW86" s="114"/>
      <c r="CX86" s="115"/>
      <c r="CY86" s="145">
        <v>0</v>
      </c>
      <c r="CZ86" s="146">
        <v>10</v>
      </c>
      <c r="DB86" s="11">
        <v>46103</v>
      </c>
      <c r="DC86" s="33" t="s">
        <v>7</v>
      </c>
      <c r="DD86" s="114"/>
      <c r="DE86" s="115"/>
      <c r="DF86" s="115"/>
      <c r="DG86" s="116"/>
      <c r="DI86" s="11">
        <v>46105</v>
      </c>
      <c r="DJ86" s="33" t="s">
        <v>9</v>
      </c>
      <c r="DK86" s="114"/>
      <c r="DL86" s="115"/>
      <c r="DM86" s="115"/>
      <c r="DN86" s="116"/>
      <c r="DP86" s="11">
        <v>46103</v>
      </c>
      <c r="DQ86" s="33" t="s">
        <v>7</v>
      </c>
      <c r="DR86" s="114"/>
      <c r="DS86" s="115"/>
      <c r="DT86" s="115"/>
      <c r="DU86" s="116"/>
      <c r="DW86" s="11">
        <v>46105</v>
      </c>
      <c r="DX86" s="33" t="s">
        <v>9</v>
      </c>
      <c r="DY86" s="114"/>
      <c r="DZ86" s="115"/>
      <c r="EA86" s="145">
        <v>13</v>
      </c>
      <c r="EB86" s="146">
        <v>0</v>
      </c>
    </row>
    <row r="87" spans="1:132" x14ac:dyDescent="0.25">
      <c r="A87" s="11">
        <v>46106</v>
      </c>
      <c r="B87" s="33" t="s">
        <v>3</v>
      </c>
      <c r="C87" s="114"/>
      <c r="D87" s="115"/>
      <c r="E87" s="145">
        <v>15</v>
      </c>
      <c r="F87" s="146">
        <v>19</v>
      </c>
      <c r="H87" s="11">
        <v>46106</v>
      </c>
      <c r="I87" s="33" t="s">
        <v>3</v>
      </c>
      <c r="J87" s="114"/>
      <c r="K87" s="115"/>
      <c r="L87" s="115"/>
      <c r="M87" s="116"/>
      <c r="O87" s="11">
        <v>46106</v>
      </c>
      <c r="P87" s="33" t="s">
        <v>3</v>
      </c>
      <c r="Q87" s="114"/>
      <c r="R87" s="115"/>
      <c r="S87" s="115"/>
      <c r="T87" s="116"/>
      <c r="V87" s="11">
        <v>46105</v>
      </c>
      <c r="W87" s="33" t="s">
        <v>9</v>
      </c>
      <c r="X87" s="114"/>
      <c r="Y87" s="115"/>
      <c r="Z87" s="145">
        <v>12.6</v>
      </c>
      <c r="AA87" s="116"/>
      <c r="AC87" s="11">
        <v>46106</v>
      </c>
      <c r="AD87" s="33" t="s">
        <v>3</v>
      </c>
      <c r="AE87" s="114"/>
      <c r="AF87" s="115"/>
      <c r="AG87" s="145">
        <v>0</v>
      </c>
      <c r="AH87" s="146">
        <v>10</v>
      </c>
      <c r="AJ87" s="11">
        <v>46106</v>
      </c>
      <c r="AK87" s="33" t="s">
        <v>3</v>
      </c>
      <c r="AL87" s="114"/>
      <c r="AM87" s="115"/>
      <c r="AN87" s="145">
        <v>0</v>
      </c>
      <c r="AO87" s="146">
        <v>10</v>
      </c>
      <c r="AQ87" s="11">
        <v>46106</v>
      </c>
      <c r="AR87" s="33" t="s">
        <v>3</v>
      </c>
      <c r="AS87" s="114"/>
      <c r="AT87" s="115"/>
      <c r="AU87" s="115"/>
      <c r="AV87" s="116"/>
      <c r="AX87" s="11">
        <v>46105</v>
      </c>
      <c r="AY87" s="33" t="s">
        <v>9</v>
      </c>
      <c r="AZ87" s="114"/>
      <c r="BA87" s="115"/>
      <c r="BB87" s="145">
        <v>0</v>
      </c>
      <c r="BC87" s="146">
        <v>10</v>
      </c>
      <c r="BE87" s="11">
        <v>46106</v>
      </c>
      <c r="BF87" s="33" t="s">
        <v>3</v>
      </c>
      <c r="BG87" s="33"/>
      <c r="BH87" s="19"/>
      <c r="BI87" s="19"/>
      <c r="BJ87" s="20"/>
      <c r="BL87" s="11">
        <v>46106</v>
      </c>
      <c r="BM87" s="33" t="s">
        <v>3</v>
      </c>
      <c r="BN87" s="114"/>
      <c r="BO87" s="115"/>
      <c r="BP87" s="145">
        <v>13</v>
      </c>
      <c r="BQ87" s="116"/>
      <c r="BS87" s="11">
        <v>46106</v>
      </c>
      <c r="BT87" s="33" t="s">
        <v>3</v>
      </c>
      <c r="BU87" s="114"/>
      <c r="BV87" s="115"/>
      <c r="BW87" s="115"/>
      <c r="BX87" s="116"/>
      <c r="BZ87" s="11">
        <v>46105</v>
      </c>
      <c r="CA87" s="33" t="s">
        <v>9</v>
      </c>
      <c r="CB87" s="114"/>
      <c r="CC87" s="115"/>
      <c r="CD87" s="145">
        <v>0</v>
      </c>
      <c r="CE87" s="146">
        <v>10</v>
      </c>
      <c r="CG87" s="11">
        <v>46106</v>
      </c>
      <c r="CH87" s="33" t="s">
        <v>3</v>
      </c>
      <c r="CI87" s="114"/>
      <c r="CJ87" s="115"/>
      <c r="CK87" s="115"/>
      <c r="CL87" s="116"/>
      <c r="CN87" s="11">
        <v>46106</v>
      </c>
      <c r="CO87" s="33" t="s">
        <v>3</v>
      </c>
      <c r="CP87" s="114"/>
      <c r="CQ87" s="115"/>
      <c r="CR87" s="145">
        <v>13</v>
      </c>
      <c r="CS87" s="146">
        <v>0</v>
      </c>
      <c r="CU87" s="11">
        <v>46106</v>
      </c>
      <c r="CV87" s="33" t="s">
        <v>3</v>
      </c>
      <c r="CW87" s="114"/>
      <c r="CX87" s="115"/>
      <c r="CY87" s="145">
        <v>0</v>
      </c>
      <c r="CZ87" s="146">
        <v>10</v>
      </c>
      <c r="DB87" s="11">
        <v>46104</v>
      </c>
      <c r="DC87" s="33" t="s">
        <v>8</v>
      </c>
      <c r="DD87" s="114" t="s">
        <v>32</v>
      </c>
      <c r="DE87" s="115">
        <v>200</v>
      </c>
      <c r="DF87" s="145">
        <v>13</v>
      </c>
      <c r="DG87" s="146">
        <v>10</v>
      </c>
      <c r="DI87" s="11">
        <v>46106</v>
      </c>
      <c r="DJ87" s="33" t="s">
        <v>3</v>
      </c>
      <c r="DK87" s="114"/>
      <c r="DL87" s="115"/>
      <c r="DM87" s="115"/>
      <c r="DN87" s="116"/>
      <c r="DP87" s="11">
        <v>46104</v>
      </c>
      <c r="DQ87" s="33" t="s">
        <v>8</v>
      </c>
      <c r="DR87" s="114" t="s">
        <v>32</v>
      </c>
      <c r="DS87" s="115">
        <v>120</v>
      </c>
      <c r="DT87" s="145">
        <v>13</v>
      </c>
      <c r="DU87" s="146">
        <v>10</v>
      </c>
      <c r="DW87" s="11">
        <v>46106</v>
      </c>
      <c r="DX87" s="33" t="s">
        <v>3</v>
      </c>
      <c r="DY87" s="114"/>
      <c r="DZ87" s="115"/>
      <c r="EA87" s="145">
        <v>13</v>
      </c>
      <c r="EB87" s="146">
        <v>0</v>
      </c>
    </row>
    <row r="88" spans="1:132" x14ac:dyDescent="0.25">
      <c r="A88" s="11">
        <v>46107</v>
      </c>
      <c r="B88" s="33" t="s">
        <v>4</v>
      </c>
      <c r="C88" s="114"/>
      <c r="D88" s="115"/>
      <c r="E88" s="145">
        <v>15</v>
      </c>
      <c r="F88" s="146">
        <v>19</v>
      </c>
      <c r="H88" s="11">
        <v>46107</v>
      </c>
      <c r="I88" s="33" t="s">
        <v>4</v>
      </c>
      <c r="J88" s="114"/>
      <c r="K88" s="115"/>
      <c r="L88" s="115"/>
      <c r="M88" s="116"/>
      <c r="O88" s="11">
        <v>46107</v>
      </c>
      <c r="P88" s="33" t="s">
        <v>4</v>
      </c>
      <c r="Q88" s="114"/>
      <c r="R88" s="115"/>
      <c r="S88" s="115"/>
      <c r="T88" s="116"/>
      <c r="V88" s="11">
        <v>46106</v>
      </c>
      <c r="W88" s="33" t="s">
        <v>3</v>
      </c>
      <c r="X88" s="114"/>
      <c r="Y88" s="115"/>
      <c r="Z88" s="145">
        <v>12.6</v>
      </c>
      <c r="AA88" s="116"/>
      <c r="AC88" s="11">
        <v>46107</v>
      </c>
      <c r="AD88" s="33" t="s">
        <v>4</v>
      </c>
      <c r="AE88" s="114"/>
      <c r="AF88" s="115"/>
      <c r="AG88" s="145">
        <v>0</v>
      </c>
      <c r="AH88" s="146">
        <v>10</v>
      </c>
      <c r="AJ88" s="11">
        <v>46107</v>
      </c>
      <c r="AK88" s="33" t="s">
        <v>4</v>
      </c>
      <c r="AL88" s="114"/>
      <c r="AM88" s="115"/>
      <c r="AN88" s="145">
        <v>0</v>
      </c>
      <c r="AO88" s="146">
        <v>10</v>
      </c>
      <c r="AQ88" s="11">
        <v>46107</v>
      </c>
      <c r="AR88" s="33" t="s">
        <v>4</v>
      </c>
      <c r="AS88" s="114"/>
      <c r="AT88" s="115"/>
      <c r="AU88" s="115"/>
      <c r="AV88" s="116"/>
      <c r="AX88" s="11">
        <v>46106</v>
      </c>
      <c r="AY88" s="33" t="s">
        <v>3</v>
      </c>
      <c r="AZ88" s="114"/>
      <c r="BA88" s="115"/>
      <c r="BB88" s="145">
        <v>0</v>
      </c>
      <c r="BC88" s="146">
        <v>10</v>
      </c>
      <c r="BE88" s="11">
        <v>46107</v>
      </c>
      <c r="BF88" s="33" t="s">
        <v>4</v>
      </c>
      <c r="BG88" s="33"/>
      <c r="BH88" s="19"/>
      <c r="BI88" s="19"/>
      <c r="BJ88" s="20"/>
      <c r="BL88" s="11">
        <v>46107</v>
      </c>
      <c r="BM88" s="33" t="s">
        <v>4</v>
      </c>
      <c r="BN88" s="114"/>
      <c r="BO88" s="115"/>
      <c r="BP88" s="145">
        <v>13</v>
      </c>
      <c r="BQ88" s="116"/>
      <c r="BS88" s="11">
        <v>46107</v>
      </c>
      <c r="BT88" s="33" t="s">
        <v>4</v>
      </c>
      <c r="BU88" s="114"/>
      <c r="BV88" s="115"/>
      <c r="BW88" s="115"/>
      <c r="BX88" s="116"/>
      <c r="BZ88" s="11">
        <v>46106</v>
      </c>
      <c r="CA88" s="33" t="s">
        <v>3</v>
      </c>
      <c r="CB88" s="114"/>
      <c r="CC88" s="115"/>
      <c r="CD88" s="145">
        <v>0</v>
      </c>
      <c r="CE88" s="146">
        <v>10</v>
      </c>
      <c r="CG88" s="11">
        <v>46107</v>
      </c>
      <c r="CH88" s="33" t="s">
        <v>4</v>
      </c>
      <c r="CI88" s="114"/>
      <c r="CJ88" s="115"/>
      <c r="CK88" s="115"/>
      <c r="CL88" s="116"/>
      <c r="CN88" s="11">
        <v>46107</v>
      </c>
      <c r="CO88" s="33" t="s">
        <v>4</v>
      </c>
      <c r="CP88" s="114"/>
      <c r="CQ88" s="115"/>
      <c r="CR88" s="145">
        <v>13</v>
      </c>
      <c r="CS88" s="146">
        <v>0</v>
      </c>
      <c r="CU88" s="11">
        <v>46107</v>
      </c>
      <c r="CV88" s="33" t="s">
        <v>4</v>
      </c>
      <c r="CW88" s="114"/>
      <c r="CX88" s="115"/>
      <c r="CY88" s="145">
        <v>0</v>
      </c>
      <c r="CZ88" s="146">
        <v>10</v>
      </c>
      <c r="DB88" s="11">
        <v>46105</v>
      </c>
      <c r="DC88" s="33" t="s">
        <v>9</v>
      </c>
      <c r="DD88" s="114"/>
      <c r="DE88" s="115"/>
      <c r="DF88" s="145">
        <v>13</v>
      </c>
      <c r="DG88" s="146">
        <v>10</v>
      </c>
      <c r="DI88" s="11">
        <v>46107</v>
      </c>
      <c r="DJ88" s="33" t="s">
        <v>4</v>
      </c>
      <c r="DK88" s="114"/>
      <c r="DL88" s="115"/>
      <c r="DM88" s="115"/>
      <c r="DN88" s="116"/>
      <c r="DP88" s="11">
        <v>46105</v>
      </c>
      <c r="DQ88" s="33" t="s">
        <v>9</v>
      </c>
      <c r="DR88" s="114"/>
      <c r="DS88" s="115"/>
      <c r="DT88" s="145">
        <v>13</v>
      </c>
      <c r="DU88" s="146">
        <v>10</v>
      </c>
      <c r="DW88" s="11">
        <v>46107</v>
      </c>
      <c r="DX88" s="33" t="s">
        <v>4</v>
      </c>
      <c r="DY88" s="114"/>
      <c r="DZ88" s="115"/>
      <c r="EA88" s="145">
        <v>13</v>
      </c>
      <c r="EB88" s="146">
        <v>0</v>
      </c>
    </row>
    <row r="89" spans="1:132" x14ac:dyDescent="0.25">
      <c r="A89" s="11">
        <v>46108</v>
      </c>
      <c r="B89" s="33" t="s">
        <v>5</v>
      </c>
      <c r="C89" s="114"/>
      <c r="D89" s="115"/>
      <c r="E89" s="145">
        <v>15</v>
      </c>
      <c r="F89" s="146">
        <v>19</v>
      </c>
      <c r="H89" s="11">
        <v>46108</v>
      </c>
      <c r="I89" s="33" t="s">
        <v>5</v>
      </c>
      <c r="J89" s="114"/>
      <c r="K89" s="115"/>
      <c r="L89" s="115"/>
      <c r="M89" s="116"/>
      <c r="O89" s="11">
        <v>46108</v>
      </c>
      <c r="P89" s="33" t="s">
        <v>5</v>
      </c>
      <c r="Q89" s="114"/>
      <c r="R89" s="115"/>
      <c r="S89" s="115"/>
      <c r="T89" s="116"/>
      <c r="V89" s="11">
        <v>46107</v>
      </c>
      <c r="W89" s="33" t="s">
        <v>4</v>
      </c>
      <c r="X89" s="114"/>
      <c r="Y89" s="115"/>
      <c r="Z89" s="145">
        <v>12.6</v>
      </c>
      <c r="AA89" s="116"/>
      <c r="AC89" s="11">
        <v>46108</v>
      </c>
      <c r="AD89" s="33" t="s">
        <v>5</v>
      </c>
      <c r="AE89" s="114"/>
      <c r="AF89" s="115"/>
      <c r="AG89" s="145">
        <v>0</v>
      </c>
      <c r="AH89" s="146">
        <v>10</v>
      </c>
      <c r="AJ89" s="11">
        <v>46108</v>
      </c>
      <c r="AK89" s="33" t="s">
        <v>5</v>
      </c>
      <c r="AL89" s="114"/>
      <c r="AM89" s="115"/>
      <c r="AN89" s="145">
        <v>0</v>
      </c>
      <c r="AO89" s="146">
        <v>10</v>
      </c>
      <c r="AQ89" s="11">
        <v>46108</v>
      </c>
      <c r="AR89" s="33" t="s">
        <v>5</v>
      </c>
      <c r="AS89" s="114"/>
      <c r="AT89" s="115"/>
      <c r="AU89" s="115"/>
      <c r="AV89" s="116"/>
      <c r="AX89" s="11">
        <v>46107</v>
      </c>
      <c r="AY89" s="33" t="s">
        <v>4</v>
      </c>
      <c r="AZ89" s="114"/>
      <c r="BA89" s="115"/>
      <c r="BB89" s="145">
        <v>0</v>
      </c>
      <c r="BC89" s="146">
        <v>10</v>
      </c>
      <c r="BE89" s="11">
        <v>46108</v>
      </c>
      <c r="BF89" s="33" t="s">
        <v>5</v>
      </c>
      <c r="BG89" s="33"/>
      <c r="BH89" s="19"/>
      <c r="BI89" s="19"/>
      <c r="BJ89" s="20"/>
      <c r="BL89" s="11">
        <v>46108</v>
      </c>
      <c r="BM89" s="33" t="s">
        <v>5</v>
      </c>
      <c r="BN89" s="114"/>
      <c r="BO89" s="115"/>
      <c r="BP89" s="145">
        <v>13</v>
      </c>
      <c r="BQ89" s="116"/>
      <c r="BS89" s="11">
        <v>46108</v>
      </c>
      <c r="BT89" s="33" t="s">
        <v>5</v>
      </c>
      <c r="BU89" s="114"/>
      <c r="BV89" s="115"/>
      <c r="BW89" s="115"/>
      <c r="BX89" s="116"/>
      <c r="BZ89" s="11">
        <v>46107</v>
      </c>
      <c r="CA89" s="33" t="s">
        <v>4</v>
      </c>
      <c r="CB89" s="114"/>
      <c r="CC89" s="115"/>
      <c r="CD89" s="145">
        <v>0</v>
      </c>
      <c r="CE89" s="146">
        <v>10</v>
      </c>
      <c r="CG89" s="11">
        <v>46108</v>
      </c>
      <c r="CH89" s="33" t="s">
        <v>5</v>
      </c>
      <c r="CI89" s="114"/>
      <c r="CJ89" s="115"/>
      <c r="CK89" s="115"/>
      <c r="CL89" s="116"/>
      <c r="CN89" s="11">
        <v>46108</v>
      </c>
      <c r="CO89" s="33" t="s">
        <v>5</v>
      </c>
      <c r="CP89" s="114"/>
      <c r="CQ89" s="115"/>
      <c r="CR89" s="145">
        <v>13</v>
      </c>
      <c r="CS89" s="146">
        <v>0</v>
      </c>
      <c r="CU89" s="11">
        <v>46108</v>
      </c>
      <c r="CV89" s="33" t="s">
        <v>5</v>
      </c>
      <c r="CW89" s="114"/>
      <c r="CX89" s="115"/>
      <c r="CY89" s="145">
        <v>0</v>
      </c>
      <c r="CZ89" s="146">
        <v>10</v>
      </c>
      <c r="DB89" s="11">
        <v>46106</v>
      </c>
      <c r="DC89" s="33" t="s">
        <v>3</v>
      </c>
      <c r="DD89" s="114"/>
      <c r="DE89" s="115"/>
      <c r="DF89" s="145">
        <v>13</v>
      </c>
      <c r="DG89" s="146">
        <v>10</v>
      </c>
      <c r="DI89" s="11">
        <v>46108</v>
      </c>
      <c r="DJ89" s="33" t="s">
        <v>5</v>
      </c>
      <c r="DK89" s="114"/>
      <c r="DL89" s="115"/>
      <c r="DM89" s="115"/>
      <c r="DN89" s="116"/>
      <c r="DP89" s="11">
        <v>46106</v>
      </c>
      <c r="DQ89" s="33" t="s">
        <v>3</v>
      </c>
      <c r="DR89" s="114"/>
      <c r="DS89" s="115"/>
      <c r="DT89" s="145">
        <v>13</v>
      </c>
      <c r="DU89" s="146">
        <v>10</v>
      </c>
      <c r="DW89" s="11">
        <v>46108</v>
      </c>
      <c r="DX89" s="33" t="s">
        <v>5</v>
      </c>
      <c r="DY89" s="114"/>
      <c r="DZ89" s="115"/>
      <c r="EA89" s="145">
        <v>13</v>
      </c>
      <c r="EB89" s="146">
        <v>0</v>
      </c>
    </row>
    <row r="90" spans="1:132" x14ac:dyDescent="0.25">
      <c r="A90" s="11">
        <v>46109</v>
      </c>
      <c r="B90" s="33" t="s">
        <v>6</v>
      </c>
      <c r="C90" s="114"/>
      <c r="D90" s="115"/>
      <c r="E90" s="115"/>
      <c r="F90" s="116"/>
      <c r="H90" s="11">
        <v>46109</v>
      </c>
      <c r="I90" s="33" t="s">
        <v>6</v>
      </c>
      <c r="J90" s="114"/>
      <c r="K90" s="115"/>
      <c r="L90" s="115"/>
      <c r="M90" s="116"/>
      <c r="O90" s="11">
        <v>46109</v>
      </c>
      <c r="P90" s="33" t="s">
        <v>6</v>
      </c>
      <c r="Q90" s="114"/>
      <c r="R90" s="115"/>
      <c r="S90" s="115"/>
      <c r="T90" s="116"/>
      <c r="V90" s="11">
        <v>46108</v>
      </c>
      <c r="W90" s="33" t="s">
        <v>5</v>
      </c>
      <c r="X90" s="114"/>
      <c r="Y90" s="115"/>
      <c r="Z90" s="145">
        <v>12.6</v>
      </c>
      <c r="AA90" s="116"/>
      <c r="AC90" s="11">
        <v>46109</v>
      </c>
      <c r="AD90" s="33" t="s">
        <v>6</v>
      </c>
      <c r="AE90" s="114"/>
      <c r="AF90" s="115"/>
      <c r="AG90" s="115"/>
      <c r="AH90" s="116"/>
      <c r="AJ90" s="11">
        <v>46109</v>
      </c>
      <c r="AK90" s="33" t="s">
        <v>6</v>
      </c>
      <c r="AL90" s="114"/>
      <c r="AM90" s="115"/>
      <c r="AN90" s="115"/>
      <c r="AO90" s="146"/>
      <c r="AQ90" s="11">
        <v>46109</v>
      </c>
      <c r="AR90" s="33" t="s">
        <v>6</v>
      </c>
      <c r="AS90" s="114"/>
      <c r="AT90" s="115"/>
      <c r="AU90" s="115"/>
      <c r="AV90" s="116"/>
      <c r="AX90" s="11">
        <v>46108</v>
      </c>
      <c r="AY90" s="33" t="s">
        <v>5</v>
      </c>
      <c r="AZ90" s="114"/>
      <c r="BA90" s="115"/>
      <c r="BB90" s="145">
        <v>0</v>
      </c>
      <c r="BC90" s="146">
        <v>10</v>
      </c>
      <c r="BE90" s="11">
        <v>46109</v>
      </c>
      <c r="BF90" s="33" t="s">
        <v>6</v>
      </c>
      <c r="BG90" s="33"/>
      <c r="BH90" s="19"/>
      <c r="BI90" s="19"/>
      <c r="BJ90" s="20"/>
      <c r="BL90" s="11">
        <v>46109</v>
      </c>
      <c r="BM90" s="33" t="s">
        <v>6</v>
      </c>
      <c r="BN90" s="114"/>
      <c r="BO90" s="115"/>
      <c r="BP90" s="115"/>
      <c r="BQ90" s="116"/>
      <c r="BS90" s="11">
        <v>46109</v>
      </c>
      <c r="BT90" s="33" t="s">
        <v>6</v>
      </c>
      <c r="BU90" s="114"/>
      <c r="BV90" s="115"/>
      <c r="BW90" s="115"/>
      <c r="BX90" s="116"/>
      <c r="BZ90" s="11">
        <v>46108</v>
      </c>
      <c r="CA90" s="33" t="s">
        <v>5</v>
      </c>
      <c r="CB90" s="114"/>
      <c r="CC90" s="115"/>
      <c r="CD90" s="145">
        <v>0</v>
      </c>
      <c r="CE90" s="146">
        <v>10</v>
      </c>
      <c r="CG90" s="11">
        <v>46109</v>
      </c>
      <c r="CH90" s="33" t="s">
        <v>6</v>
      </c>
      <c r="CI90" s="114"/>
      <c r="CJ90" s="115"/>
      <c r="CK90" s="115"/>
      <c r="CL90" s="116"/>
      <c r="CN90" s="11">
        <v>46109</v>
      </c>
      <c r="CO90" s="33" t="s">
        <v>6</v>
      </c>
      <c r="CP90" s="114"/>
      <c r="CQ90" s="115"/>
      <c r="CR90" s="145"/>
      <c r="CS90" s="116"/>
      <c r="CU90" s="11">
        <v>46109</v>
      </c>
      <c r="CV90" s="33" t="s">
        <v>6</v>
      </c>
      <c r="CW90" s="114"/>
      <c r="CX90" s="115"/>
      <c r="CY90" s="115"/>
      <c r="CZ90" s="116"/>
      <c r="DB90" s="11">
        <v>46107</v>
      </c>
      <c r="DC90" s="33" t="s">
        <v>4</v>
      </c>
      <c r="DD90" s="114"/>
      <c r="DE90" s="115"/>
      <c r="DF90" s="145">
        <v>13</v>
      </c>
      <c r="DG90" s="146">
        <v>10</v>
      </c>
      <c r="DI90" s="11">
        <v>46109</v>
      </c>
      <c r="DJ90" s="33" t="s">
        <v>6</v>
      </c>
      <c r="DK90" s="114"/>
      <c r="DL90" s="115"/>
      <c r="DM90" s="115"/>
      <c r="DN90" s="116"/>
      <c r="DP90" s="11">
        <v>46107</v>
      </c>
      <c r="DQ90" s="33" t="s">
        <v>4</v>
      </c>
      <c r="DR90" s="114"/>
      <c r="DS90" s="115"/>
      <c r="DT90" s="145">
        <v>13</v>
      </c>
      <c r="DU90" s="146">
        <v>10</v>
      </c>
      <c r="DW90" s="11">
        <v>46109</v>
      </c>
      <c r="DX90" s="33" t="s">
        <v>6</v>
      </c>
      <c r="DY90" s="114"/>
      <c r="DZ90" s="115"/>
      <c r="EA90" s="115"/>
      <c r="EB90" s="116"/>
    </row>
    <row r="91" spans="1:132" x14ac:dyDescent="0.25">
      <c r="A91" s="11">
        <v>46110</v>
      </c>
      <c r="B91" s="33" t="s">
        <v>7</v>
      </c>
      <c r="C91" s="114"/>
      <c r="D91" s="115"/>
      <c r="E91" s="115"/>
      <c r="F91" s="116"/>
      <c r="H91" s="11">
        <v>46110</v>
      </c>
      <c r="I91" s="33" t="s">
        <v>7</v>
      </c>
      <c r="J91" s="114"/>
      <c r="K91" s="115"/>
      <c r="L91" s="115"/>
      <c r="M91" s="116"/>
      <c r="O91" s="11">
        <v>46110</v>
      </c>
      <c r="P91" s="33" t="s">
        <v>7</v>
      </c>
      <c r="Q91" s="114"/>
      <c r="R91" s="115"/>
      <c r="S91" s="115"/>
      <c r="T91" s="116"/>
      <c r="V91" s="11">
        <v>46109</v>
      </c>
      <c r="W91" s="33" t="s">
        <v>6</v>
      </c>
      <c r="X91" s="114"/>
      <c r="Y91" s="115"/>
      <c r="Z91" s="145"/>
      <c r="AA91" s="116"/>
      <c r="AC91" s="11">
        <v>46110</v>
      </c>
      <c r="AD91" s="33" t="s">
        <v>7</v>
      </c>
      <c r="AE91" s="114"/>
      <c r="AF91" s="115"/>
      <c r="AG91" s="115"/>
      <c r="AH91" s="116"/>
      <c r="AJ91" s="11">
        <v>46110</v>
      </c>
      <c r="AK91" s="33" t="s">
        <v>7</v>
      </c>
      <c r="AL91" s="114"/>
      <c r="AM91" s="115"/>
      <c r="AN91" s="115"/>
      <c r="AO91" s="116"/>
      <c r="AQ91" s="11">
        <v>46110</v>
      </c>
      <c r="AR91" s="33" t="s">
        <v>7</v>
      </c>
      <c r="AS91" s="114"/>
      <c r="AT91" s="115"/>
      <c r="AU91" s="115"/>
      <c r="AV91" s="116"/>
      <c r="AX91" s="11">
        <v>46109</v>
      </c>
      <c r="AY91" s="33" t="s">
        <v>6</v>
      </c>
      <c r="AZ91" s="114"/>
      <c r="BA91" s="115"/>
      <c r="BB91" s="115"/>
      <c r="BC91" s="116"/>
      <c r="BE91" s="11">
        <v>46110</v>
      </c>
      <c r="BF91" s="33" t="s">
        <v>7</v>
      </c>
      <c r="BG91" s="33"/>
      <c r="BH91" s="19"/>
      <c r="BI91" s="19"/>
      <c r="BJ91" s="20"/>
      <c r="BL91" s="11">
        <v>46110</v>
      </c>
      <c r="BM91" s="33" t="s">
        <v>7</v>
      </c>
      <c r="BN91" s="114"/>
      <c r="BO91" s="115"/>
      <c r="BP91" s="115"/>
      <c r="BQ91" s="116"/>
      <c r="BS91" s="11">
        <v>46110</v>
      </c>
      <c r="BT91" s="33" t="s">
        <v>7</v>
      </c>
      <c r="BU91" s="114"/>
      <c r="BV91" s="115"/>
      <c r="BW91" s="115"/>
      <c r="BX91" s="116"/>
      <c r="BZ91" s="11">
        <v>46109</v>
      </c>
      <c r="CA91" s="33" t="s">
        <v>6</v>
      </c>
      <c r="CB91" s="114"/>
      <c r="CC91" s="115"/>
      <c r="CD91" s="115"/>
      <c r="CE91" s="116"/>
      <c r="CG91" s="11">
        <v>46110</v>
      </c>
      <c r="CH91" s="33" t="s">
        <v>7</v>
      </c>
      <c r="CI91" s="114"/>
      <c r="CJ91" s="115"/>
      <c r="CK91" s="115"/>
      <c r="CL91" s="116"/>
      <c r="CN91" s="11">
        <v>46110</v>
      </c>
      <c r="CO91" s="33" t="s">
        <v>7</v>
      </c>
      <c r="CP91" s="114"/>
      <c r="CQ91" s="115"/>
      <c r="CR91" s="115"/>
      <c r="CS91" s="116"/>
      <c r="CU91" s="11">
        <v>46110</v>
      </c>
      <c r="CV91" s="33" t="s">
        <v>7</v>
      </c>
      <c r="CW91" s="114"/>
      <c r="CX91" s="115"/>
      <c r="CY91" s="115"/>
      <c r="CZ91" s="116"/>
      <c r="DB91" s="11">
        <v>46108</v>
      </c>
      <c r="DC91" s="33" t="s">
        <v>5</v>
      </c>
      <c r="DD91" s="114"/>
      <c r="DE91" s="115"/>
      <c r="DF91" s="145">
        <v>13</v>
      </c>
      <c r="DG91" s="146">
        <v>10</v>
      </c>
      <c r="DI91" s="11">
        <v>46110</v>
      </c>
      <c r="DJ91" s="33" t="s">
        <v>7</v>
      </c>
      <c r="DK91" s="114"/>
      <c r="DL91" s="115"/>
      <c r="DM91" s="115"/>
      <c r="DN91" s="116"/>
      <c r="DP91" s="11">
        <v>46108</v>
      </c>
      <c r="DQ91" s="33" t="s">
        <v>5</v>
      </c>
      <c r="DR91" s="114"/>
      <c r="DS91" s="115"/>
      <c r="DT91" s="145">
        <v>13</v>
      </c>
      <c r="DU91" s="146">
        <v>10</v>
      </c>
      <c r="DW91" s="11">
        <v>46110</v>
      </c>
      <c r="DX91" s="33" t="s">
        <v>7</v>
      </c>
      <c r="DY91" s="114"/>
      <c r="DZ91" s="115"/>
      <c r="EA91" s="115"/>
      <c r="EB91" s="116"/>
    </row>
    <row r="92" spans="1:132" x14ac:dyDescent="0.25">
      <c r="A92" s="11">
        <v>46111</v>
      </c>
      <c r="B92" s="33" t="s">
        <v>8</v>
      </c>
      <c r="C92" s="114"/>
      <c r="D92" s="115"/>
      <c r="E92" s="115"/>
      <c r="F92" s="116"/>
      <c r="H92" s="11">
        <v>46111</v>
      </c>
      <c r="I92" s="33" t="s">
        <v>8</v>
      </c>
      <c r="J92" s="114"/>
      <c r="K92" s="115"/>
      <c r="L92" s="115"/>
      <c r="M92" s="116"/>
      <c r="O92" s="11">
        <v>46111</v>
      </c>
      <c r="P92" s="33" t="s">
        <v>8</v>
      </c>
      <c r="Q92" s="114"/>
      <c r="R92" s="115"/>
      <c r="S92" s="115"/>
      <c r="T92" s="116"/>
      <c r="V92" s="11">
        <v>46110</v>
      </c>
      <c r="W92" s="33" t="s">
        <v>7</v>
      </c>
      <c r="X92" s="114"/>
      <c r="Y92" s="115"/>
      <c r="Z92" s="115"/>
      <c r="AA92" s="116"/>
      <c r="AC92" s="11">
        <v>46111</v>
      </c>
      <c r="AD92" s="33" t="s">
        <v>8</v>
      </c>
      <c r="AE92" s="114"/>
      <c r="AF92" s="115"/>
      <c r="AG92" s="115"/>
      <c r="AH92" s="116"/>
      <c r="AJ92" s="11">
        <v>46111</v>
      </c>
      <c r="AK92" s="33" t="s">
        <v>8</v>
      </c>
      <c r="AL92" s="114"/>
      <c r="AM92" s="115"/>
      <c r="AN92" s="115"/>
      <c r="AO92" s="116"/>
      <c r="AQ92" s="11">
        <v>46111</v>
      </c>
      <c r="AR92" s="33" t="s">
        <v>8</v>
      </c>
      <c r="AS92" s="114"/>
      <c r="AT92" s="115"/>
      <c r="AU92" s="115"/>
      <c r="AV92" s="116"/>
      <c r="AX92" s="11">
        <v>46110</v>
      </c>
      <c r="AY92" s="33" t="s">
        <v>7</v>
      </c>
      <c r="AZ92" s="114"/>
      <c r="BA92" s="115"/>
      <c r="BB92" s="115"/>
      <c r="BC92" s="116"/>
      <c r="BE92" s="11">
        <v>46111</v>
      </c>
      <c r="BF92" s="33" t="s">
        <v>8</v>
      </c>
      <c r="BG92" s="33"/>
      <c r="BH92" s="19"/>
      <c r="BI92" s="19"/>
      <c r="BJ92" s="20"/>
      <c r="BL92" s="11">
        <v>46111</v>
      </c>
      <c r="BM92" s="33" t="s">
        <v>8</v>
      </c>
      <c r="BN92" s="114"/>
      <c r="BO92" s="115"/>
      <c r="BP92" s="115"/>
      <c r="BQ92" s="116"/>
      <c r="BS92" s="11">
        <v>46111</v>
      </c>
      <c r="BT92" s="33" t="s">
        <v>8</v>
      </c>
      <c r="BU92" s="114"/>
      <c r="BV92" s="115"/>
      <c r="BW92" s="115"/>
      <c r="BX92" s="116"/>
      <c r="BZ92" s="11">
        <v>46110</v>
      </c>
      <c r="CA92" s="33" t="s">
        <v>7</v>
      </c>
      <c r="CB92" s="114"/>
      <c r="CC92" s="115"/>
      <c r="CD92" s="115"/>
      <c r="CE92" s="116"/>
      <c r="CG92" s="11">
        <v>46111</v>
      </c>
      <c r="CH92" s="33" t="s">
        <v>8</v>
      </c>
      <c r="CI92" s="114"/>
      <c r="CJ92" s="115"/>
      <c r="CK92" s="115"/>
      <c r="CL92" s="116"/>
      <c r="CN92" s="11">
        <v>46111</v>
      </c>
      <c r="CO92" s="33" t="s">
        <v>8</v>
      </c>
      <c r="CP92" s="114"/>
      <c r="CQ92" s="115"/>
      <c r="CR92" s="115"/>
      <c r="CS92" s="116"/>
      <c r="CU92" s="11">
        <v>46111</v>
      </c>
      <c r="CV92" s="33" t="s">
        <v>8</v>
      </c>
      <c r="CW92" s="114"/>
      <c r="CX92" s="115"/>
      <c r="CY92" s="115"/>
      <c r="CZ92" s="116"/>
      <c r="DB92" s="11">
        <v>46109</v>
      </c>
      <c r="DC92" s="33" t="s">
        <v>6</v>
      </c>
      <c r="DD92" s="114"/>
      <c r="DE92" s="115"/>
      <c r="DF92" s="115"/>
      <c r="DG92" s="116"/>
      <c r="DI92" s="11">
        <v>46111</v>
      </c>
      <c r="DJ92" s="33" t="s">
        <v>8</v>
      </c>
      <c r="DK92" s="114"/>
      <c r="DL92" s="115"/>
      <c r="DM92" s="115"/>
      <c r="DN92" s="116"/>
      <c r="DP92" s="11">
        <v>46109</v>
      </c>
      <c r="DQ92" s="33" t="s">
        <v>6</v>
      </c>
      <c r="DR92" s="114"/>
      <c r="DS92" s="115"/>
      <c r="DT92" s="115"/>
      <c r="DU92" s="116"/>
      <c r="DW92" s="11">
        <v>46111</v>
      </c>
      <c r="DX92" s="33" t="s">
        <v>8</v>
      </c>
      <c r="DY92" s="114"/>
      <c r="DZ92" s="115"/>
      <c r="EA92" s="115"/>
      <c r="EB92" s="116"/>
    </row>
    <row r="93" spans="1:132" x14ac:dyDescent="0.25">
      <c r="A93" s="11">
        <v>46112</v>
      </c>
      <c r="B93" s="33" t="s">
        <v>9</v>
      </c>
      <c r="C93" s="114"/>
      <c r="D93" s="115"/>
      <c r="E93" s="115"/>
      <c r="F93" s="116"/>
      <c r="H93" s="11">
        <v>46112</v>
      </c>
      <c r="I93" s="33" t="s">
        <v>9</v>
      </c>
      <c r="J93" s="114"/>
      <c r="K93" s="115"/>
      <c r="L93" s="115"/>
      <c r="M93" s="116"/>
      <c r="O93" s="11">
        <v>46112</v>
      </c>
      <c r="P93" s="33" t="s">
        <v>9</v>
      </c>
      <c r="Q93" s="114"/>
      <c r="R93" s="115"/>
      <c r="S93" s="115"/>
      <c r="T93" s="116"/>
      <c r="V93" s="11">
        <v>46111</v>
      </c>
      <c r="W93" s="33" t="s">
        <v>8</v>
      </c>
      <c r="X93" s="114"/>
      <c r="Y93" s="115"/>
      <c r="Z93" s="115"/>
      <c r="AA93" s="116"/>
      <c r="AC93" s="11">
        <v>46112</v>
      </c>
      <c r="AD93" s="33" t="s">
        <v>9</v>
      </c>
      <c r="AE93" s="114"/>
      <c r="AF93" s="115"/>
      <c r="AG93" s="115"/>
      <c r="AH93" s="116"/>
      <c r="AJ93" s="11">
        <v>46112</v>
      </c>
      <c r="AK93" s="33" t="s">
        <v>9</v>
      </c>
      <c r="AL93" s="114"/>
      <c r="AM93" s="115"/>
      <c r="AN93" s="115"/>
      <c r="AO93" s="116"/>
      <c r="AQ93" s="11">
        <v>46112</v>
      </c>
      <c r="AR93" s="33" t="s">
        <v>9</v>
      </c>
      <c r="AS93" s="114"/>
      <c r="AT93" s="115"/>
      <c r="AU93" s="115"/>
      <c r="AV93" s="116"/>
      <c r="AX93" s="11">
        <v>46111</v>
      </c>
      <c r="AY93" s="33" t="s">
        <v>8</v>
      </c>
      <c r="AZ93" s="114"/>
      <c r="BA93" s="115"/>
      <c r="BB93" s="115"/>
      <c r="BC93" s="116"/>
      <c r="BE93" s="11">
        <v>46112</v>
      </c>
      <c r="BF93" s="33" t="s">
        <v>9</v>
      </c>
      <c r="BG93" s="33"/>
      <c r="BH93" s="19"/>
      <c r="BI93" s="19"/>
      <c r="BJ93" s="20"/>
      <c r="BL93" s="11">
        <v>46112</v>
      </c>
      <c r="BM93" s="33" t="s">
        <v>9</v>
      </c>
      <c r="BN93" s="114"/>
      <c r="BO93" s="115"/>
      <c r="BP93" s="115"/>
      <c r="BQ93" s="116"/>
      <c r="BS93" s="11">
        <v>46112</v>
      </c>
      <c r="BT93" s="33" t="s">
        <v>9</v>
      </c>
      <c r="BU93" s="114"/>
      <c r="BV93" s="115"/>
      <c r="BW93" s="115"/>
      <c r="BX93" s="116"/>
      <c r="BZ93" s="11">
        <v>46111</v>
      </c>
      <c r="CA93" s="33" t="s">
        <v>8</v>
      </c>
      <c r="CB93" s="114"/>
      <c r="CC93" s="115"/>
      <c r="CD93" s="115"/>
      <c r="CE93" s="116"/>
      <c r="CG93" s="11">
        <v>46112</v>
      </c>
      <c r="CH93" s="33" t="s">
        <v>9</v>
      </c>
      <c r="CI93" s="114"/>
      <c r="CJ93" s="115"/>
      <c r="CK93" s="115"/>
      <c r="CL93" s="116"/>
      <c r="CN93" s="11">
        <v>46112</v>
      </c>
      <c r="CO93" s="33" t="s">
        <v>9</v>
      </c>
      <c r="CP93" s="114"/>
      <c r="CQ93" s="115"/>
      <c r="CR93" s="115"/>
      <c r="CS93" s="116"/>
      <c r="CU93" s="11">
        <v>46112</v>
      </c>
      <c r="CV93" s="33" t="s">
        <v>9</v>
      </c>
      <c r="CW93" s="114"/>
      <c r="CX93" s="115"/>
      <c r="CY93" s="115"/>
      <c r="CZ93" s="116"/>
      <c r="DB93" s="11">
        <v>46110</v>
      </c>
      <c r="DC93" s="33" t="s">
        <v>7</v>
      </c>
      <c r="DD93" s="114"/>
      <c r="DE93" s="115"/>
      <c r="DF93" s="115"/>
      <c r="DG93" s="116"/>
      <c r="DI93" s="11">
        <v>46112</v>
      </c>
      <c r="DJ93" s="33" t="s">
        <v>9</v>
      </c>
      <c r="DK93" s="114"/>
      <c r="DL93" s="115"/>
      <c r="DM93" s="115"/>
      <c r="DN93" s="116"/>
      <c r="DP93" s="11">
        <v>46110</v>
      </c>
      <c r="DQ93" s="33" t="s">
        <v>7</v>
      </c>
      <c r="DR93" s="114"/>
      <c r="DS93" s="115"/>
      <c r="DT93" s="115"/>
      <c r="DU93" s="116"/>
      <c r="DW93" s="11">
        <v>46112</v>
      </c>
      <c r="DX93" s="33" t="s">
        <v>9</v>
      </c>
      <c r="DY93" s="114"/>
      <c r="DZ93" s="115"/>
      <c r="EA93" s="115"/>
      <c r="EB93" s="116"/>
    </row>
    <row r="94" spans="1:132" x14ac:dyDescent="0.25">
      <c r="A94" s="11">
        <v>46113</v>
      </c>
      <c r="B94" s="33" t="s">
        <v>3</v>
      </c>
      <c r="C94" s="114"/>
      <c r="D94" s="115"/>
      <c r="E94" s="115"/>
      <c r="F94" s="116"/>
      <c r="H94" s="11">
        <v>46113</v>
      </c>
      <c r="I94" s="33" t="s">
        <v>3</v>
      </c>
      <c r="J94" s="114"/>
      <c r="K94" s="115"/>
      <c r="L94" s="115"/>
      <c r="M94" s="116"/>
      <c r="O94" s="11">
        <v>46113</v>
      </c>
      <c r="P94" s="33" t="s">
        <v>3</v>
      </c>
      <c r="Q94" s="114"/>
      <c r="R94" s="115"/>
      <c r="S94" s="115"/>
      <c r="T94" s="116"/>
      <c r="V94" s="11">
        <v>46112</v>
      </c>
      <c r="W94" s="33" t="s">
        <v>9</v>
      </c>
      <c r="X94" s="114"/>
      <c r="Y94" s="115"/>
      <c r="Z94" s="115"/>
      <c r="AA94" s="116"/>
      <c r="AC94" s="11">
        <v>46113</v>
      </c>
      <c r="AD94" s="33" t="s">
        <v>3</v>
      </c>
      <c r="AE94" s="114"/>
      <c r="AF94" s="115"/>
      <c r="AG94" s="115"/>
      <c r="AH94" s="116"/>
      <c r="AJ94" s="11">
        <v>46113</v>
      </c>
      <c r="AK94" s="33" t="s">
        <v>3</v>
      </c>
      <c r="AL94" s="114"/>
      <c r="AM94" s="115"/>
      <c r="AN94" s="115"/>
      <c r="AO94" s="116"/>
      <c r="AQ94" s="11">
        <v>46113</v>
      </c>
      <c r="AR94" s="33" t="s">
        <v>3</v>
      </c>
      <c r="AS94" s="114"/>
      <c r="AT94" s="115"/>
      <c r="AU94" s="115"/>
      <c r="AV94" s="116"/>
      <c r="AX94" s="11">
        <v>46112</v>
      </c>
      <c r="AY94" s="33" t="s">
        <v>9</v>
      </c>
      <c r="AZ94" s="114"/>
      <c r="BA94" s="115"/>
      <c r="BB94" s="115"/>
      <c r="BC94" s="116"/>
      <c r="BE94" s="11">
        <v>46113</v>
      </c>
      <c r="BF94" s="33" t="s">
        <v>3</v>
      </c>
      <c r="BG94" s="33"/>
      <c r="BH94" s="19"/>
      <c r="BI94" s="19"/>
      <c r="BJ94" s="20"/>
      <c r="BL94" s="11">
        <v>46113</v>
      </c>
      <c r="BM94" s="33" t="s">
        <v>3</v>
      </c>
      <c r="BN94" s="114"/>
      <c r="BO94" s="115"/>
      <c r="BP94" s="115"/>
      <c r="BQ94" s="116"/>
      <c r="BS94" s="11">
        <v>46113</v>
      </c>
      <c r="BT94" s="33" t="s">
        <v>3</v>
      </c>
      <c r="BU94" s="114"/>
      <c r="BV94" s="115"/>
      <c r="BW94" s="115"/>
      <c r="BX94" s="116"/>
      <c r="BZ94" s="11">
        <v>46112</v>
      </c>
      <c r="CA94" s="33" t="s">
        <v>9</v>
      </c>
      <c r="CB94" s="114"/>
      <c r="CC94" s="115"/>
      <c r="CD94" s="115"/>
      <c r="CE94" s="116"/>
      <c r="CG94" s="11">
        <v>46113</v>
      </c>
      <c r="CH94" s="33" t="s">
        <v>3</v>
      </c>
      <c r="CI94" s="114"/>
      <c r="CJ94" s="115"/>
      <c r="CK94" s="115"/>
      <c r="CL94" s="116"/>
      <c r="CN94" s="11">
        <v>46113</v>
      </c>
      <c r="CO94" s="33" t="s">
        <v>3</v>
      </c>
      <c r="CP94" s="114"/>
      <c r="CQ94" s="115"/>
      <c r="CR94" s="115"/>
      <c r="CS94" s="116"/>
      <c r="CU94" s="11">
        <v>46113</v>
      </c>
      <c r="CV94" s="33" t="s">
        <v>3</v>
      </c>
      <c r="CW94" s="114"/>
      <c r="CX94" s="115"/>
      <c r="CY94" s="115"/>
      <c r="CZ94" s="116"/>
      <c r="DB94" s="11">
        <v>46111</v>
      </c>
      <c r="DC94" s="33" t="s">
        <v>8</v>
      </c>
      <c r="DD94" s="114"/>
      <c r="DE94" s="115"/>
      <c r="DF94" s="115"/>
      <c r="DG94" s="116"/>
      <c r="DI94" s="11">
        <v>46113</v>
      </c>
      <c r="DJ94" s="33" t="s">
        <v>3</v>
      </c>
      <c r="DK94" s="114"/>
      <c r="DL94" s="115"/>
      <c r="DM94" s="115"/>
      <c r="DN94" s="116"/>
      <c r="DP94" s="11">
        <v>46111</v>
      </c>
      <c r="DQ94" s="33" t="s">
        <v>8</v>
      </c>
      <c r="DR94" s="114"/>
      <c r="DS94" s="115"/>
      <c r="DT94" s="115"/>
      <c r="DU94" s="116"/>
      <c r="DW94" s="11">
        <v>46113</v>
      </c>
      <c r="DX94" s="33" t="s">
        <v>3</v>
      </c>
      <c r="DY94" s="114"/>
      <c r="DZ94" s="115"/>
      <c r="EA94" s="115"/>
      <c r="EB94" s="116"/>
    </row>
    <row r="95" spans="1:132" x14ac:dyDescent="0.25">
      <c r="A95" s="11">
        <v>46114</v>
      </c>
      <c r="B95" s="33" t="s">
        <v>4</v>
      </c>
      <c r="C95" s="114"/>
      <c r="D95" s="115"/>
      <c r="E95" s="115"/>
      <c r="F95" s="116"/>
      <c r="H95" s="11">
        <v>46114</v>
      </c>
      <c r="I95" s="33" t="s">
        <v>4</v>
      </c>
      <c r="J95" s="114"/>
      <c r="K95" s="115"/>
      <c r="L95" s="115"/>
      <c r="M95" s="116"/>
      <c r="O95" s="11">
        <v>46114</v>
      </c>
      <c r="P95" s="33" t="s">
        <v>4</v>
      </c>
      <c r="Q95" s="114"/>
      <c r="R95" s="115"/>
      <c r="S95" s="115"/>
      <c r="T95" s="116"/>
      <c r="V95" s="11">
        <v>46113</v>
      </c>
      <c r="W95" s="33" t="s">
        <v>3</v>
      </c>
      <c r="X95" s="114"/>
      <c r="Y95" s="115"/>
      <c r="Z95" s="115"/>
      <c r="AA95" s="116"/>
      <c r="AC95" s="11">
        <v>46114</v>
      </c>
      <c r="AD95" s="33" t="s">
        <v>4</v>
      </c>
      <c r="AE95" s="114"/>
      <c r="AF95" s="115"/>
      <c r="AG95" s="115"/>
      <c r="AH95" s="116"/>
      <c r="AJ95" s="11">
        <v>46114</v>
      </c>
      <c r="AK95" s="33" t="s">
        <v>4</v>
      </c>
      <c r="AL95" s="114"/>
      <c r="AM95" s="115"/>
      <c r="AN95" s="115"/>
      <c r="AO95" s="116"/>
      <c r="AQ95" s="11">
        <v>46114</v>
      </c>
      <c r="AR95" s="33" t="s">
        <v>4</v>
      </c>
      <c r="AS95" s="114"/>
      <c r="AT95" s="115"/>
      <c r="AU95" s="115"/>
      <c r="AV95" s="116"/>
      <c r="AX95" s="11">
        <v>46113</v>
      </c>
      <c r="AY95" s="33" t="s">
        <v>3</v>
      </c>
      <c r="AZ95" s="114"/>
      <c r="BA95" s="115"/>
      <c r="BB95" s="115"/>
      <c r="BC95" s="116"/>
      <c r="BE95" s="11">
        <v>46114</v>
      </c>
      <c r="BF95" s="33" t="s">
        <v>4</v>
      </c>
      <c r="BG95" s="33"/>
      <c r="BH95" s="19"/>
      <c r="BI95" s="19"/>
      <c r="BJ95" s="20"/>
      <c r="BL95" s="11">
        <v>46114</v>
      </c>
      <c r="BM95" s="33" t="s">
        <v>4</v>
      </c>
      <c r="BN95" s="114"/>
      <c r="BO95" s="115"/>
      <c r="BP95" s="115"/>
      <c r="BQ95" s="116"/>
      <c r="BS95" s="11">
        <v>46114</v>
      </c>
      <c r="BT95" s="33" t="s">
        <v>4</v>
      </c>
      <c r="BU95" s="114"/>
      <c r="BV95" s="115"/>
      <c r="BW95" s="115"/>
      <c r="BX95" s="116"/>
      <c r="BZ95" s="11">
        <v>46113</v>
      </c>
      <c r="CA95" s="33" t="s">
        <v>3</v>
      </c>
      <c r="CB95" s="114"/>
      <c r="CC95" s="115"/>
      <c r="CD95" s="115"/>
      <c r="CE95" s="116"/>
      <c r="CG95" s="11">
        <v>46114</v>
      </c>
      <c r="CH95" s="33" t="s">
        <v>4</v>
      </c>
      <c r="CI95" s="114"/>
      <c r="CJ95" s="115"/>
      <c r="CK95" s="115"/>
      <c r="CL95" s="116"/>
      <c r="CN95" s="11">
        <v>46114</v>
      </c>
      <c r="CO95" s="33" t="s">
        <v>4</v>
      </c>
      <c r="CP95" s="114"/>
      <c r="CQ95" s="115"/>
      <c r="CR95" s="115"/>
      <c r="CS95" s="116"/>
      <c r="CU95" s="11">
        <v>46114</v>
      </c>
      <c r="CV95" s="33" t="s">
        <v>4</v>
      </c>
      <c r="CW95" s="114"/>
      <c r="CX95" s="115"/>
      <c r="CY95" s="115"/>
      <c r="CZ95" s="116"/>
      <c r="DB95" s="11">
        <v>46112</v>
      </c>
      <c r="DC95" s="33" t="s">
        <v>9</v>
      </c>
      <c r="DD95" s="114"/>
      <c r="DE95" s="115"/>
      <c r="DF95" s="115"/>
      <c r="DG95" s="116"/>
      <c r="DI95" s="11">
        <v>46114</v>
      </c>
      <c r="DJ95" s="33" t="s">
        <v>4</v>
      </c>
      <c r="DK95" s="114"/>
      <c r="DL95" s="115"/>
      <c r="DM95" s="115"/>
      <c r="DN95" s="116"/>
      <c r="DP95" s="11">
        <v>46112</v>
      </c>
      <c r="DQ95" s="33" t="s">
        <v>9</v>
      </c>
      <c r="DR95" s="114"/>
      <c r="DS95" s="115"/>
      <c r="DT95" s="115"/>
      <c r="DU95" s="116"/>
      <c r="DW95" s="11">
        <v>46114</v>
      </c>
      <c r="DX95" s="33" t="s">
        <v>4</v>
      </c>
      <c r="DY95" s="114"/>
      <c r="DZ95" s="115"/>
      <c r="EA95" s="115"/>
      <c r="EB95" s="116"/>
    </row>
    <row r="96" spans="1:132" x14ac:dyDescent="0.25">
      <c r="A96" s="11">
        <v>46115</v>
      </c>
      <c r="B96" s="33" t="s">
        <v>5</v>
      </c>
      <c r="C96" s="114" t="s">
        <v>60</v>
      </c>
      <c r="D96" s="115"/>
      <c r="E96" s="115"/>
      <c r="F96" s="116"/>
      <c r="H96" s="11">
        <v>46115</v>
      </c>
      <c r="I96" s="33" t="s">
        <v>5</v>
      </c>
      <c r="J96" s="114" t="s">
        <v>60</v>
      </c>
      <c r="K96" s="115"/>
      <c r="L96" s="115"/>
      <c r="M96" s="116"/>
      <c r="O96" s="11">
        <v>46115</v>
      </c>
      <c r="P96" s="33" t="s">
        <v>5</v>
      </c>
      <c r="Q96" s="114" t="s">
        <v>60</v>
      </c>
      <c r="R96" s="115"/>
      <c r="S96" s="115"/>
      <c r="T96" s="116"/>
      <c r="V96" s="11">
        <v>46114</v>
      </c>
      <c r="W96" s="33" t="s">
        <v>4</v>
      </c>
      <c r="X96" s="114"/>
      <c r="Y96" s="115"/>
      <c r="Z96" s="115"/>
      <c r="AA96" s="116"/>
      <c r="AC96" s="11">
        <v>46115</v>
      </c>
      <c r="AD96" s="33" t="s">
        <v>5</v>
      </c>
      <c r="AE96" s="114" t="s">
        <v>60</v>
      </c>
      <c r="AF96" s="115"/>
      <c r="AG96" s="115"/>
      <c r="AH96" s="116"/>
      <c r="AJ96" s="11">
        <v>46115</v>
      </c>
      <c r="AK96" s="33" t="s">
        <v>5</v>
      </c>
      <c r="AL96" s="114" t="s">
        <v>60</v>
      </c>
      <c r="AM96" s="115"/>
      <c r="AN96" s="115"/>
      <c r="AO96" s="116"/>
      <c r="AQ96" s="11">
        <v>46115</v>
      </c>
      <c r="AR96" s="33" t="s">
        <v>5</v>
      </c>
      <c r="AS96" s="114" t="s">
        <v>60</v>
      </c>
      <c r="AT96" s="115"/>
      <c r="AU96" s="115"/>
      <c r="AV96" s="116"/>
      <c r="AX96" s="11">
        <v>46114</v>
      </c>
      <c r="AY96" s="33" t="s">
        <v>4</v>
      </c>
      <c r="AZ96" s="114"/>
      <c r="BA96" s="115"/>
      <c r="BB96" s="115"/>
      <c r="BC96" s="116"/>
      <c r="BE96" s="11">
        <v>46115</v>
      </c>
      <c r="BF96" s="33" t="s">
        <v>5</v>
      </c>
      <c r="BG96" s="33" t="s">
        <v>60</v>
      </c>
      <c r="BH96" s="19"/>
      <c r="BI96" s="19"/>
      <c r="BJ96" s="20"/>
      <c r="BL96" s="11">
        <v>46115</v>
      </c>
      <c r="BM96" s="33" t="s">
        <v>5</v>
      </c>
      <c r="BN96" s="114" t="s">
        <v>60</v>
      </c>
      <c r="BO96" s="115"/>
      <c r="BP96" s="115"/>
      <c r="BQ96" s="116"/>
      <c r="BS96" s="11">
        <v>46115</v>
      </c>
      <c r="BT96" s="33" t="s">
        <v>5</v>
      </c>
      <c r="BU96" s="114" t="s">
        <v>60</v>
      </c>
      <c r="BV96" s="115"/>
      <c r="BW96" s="115"/>
      <c r="BX96" s="116"/>
      <c r="BZ96" s="11">
        <v>46114</v>
      </c>
      <c r="CA96" s="33" t="s">
        <v>4</v>
      </c>
      <c r="CB96" s="114"/>
      <c r="CC96" s="115"/>
      <c r="CD96" s="115"/>
      <c r="CE96" s="116"/>
      <c r="CG96" s="11">
        <v>46115</v>
      </c>
      <c r="CH96" s="33" t="s">
        <v>5</v>
      </c>
      <c r="CI96" s="114" t="s">
        <v>60</v>
      </c>
      <c r="CJ96" s="115"/>
      <c r="CK96" s="115"/>
      <c r="CL96" s="116"/>
      <c r="CN96" s="11">
        <v>46115</v>
      </c>
      <c r="CO96" s="33" t="s">
        <v>5</v>
      </c>
      <c r="CP96" s="114" t="s">
        <v>60</v>
      </c>
      <c r="CQ96" s="115"/>
      <c r="CR96" s="115"/>
      <c r="CS96" s="116"/>
      <c r="CU96" s="11">
        <v>46115</v>
      </c>
      <c r="CV96" s="33" t="s">
        <v>5</v>
      </c>
      <c r="CW96" s="114" t="s">
        <v>60</v>
      </c>
      <c r="CX96" s="115"/>
      <c r="CY96" s="115"/>
      <c r="CZ96" s="116"/>
      <c r="DB96" s="11">
        <v>46113</v>
      </c>
      <c r="DC96" s="33" t="s">
        <v>3</v>
      </c>
      <c r="DD96" s="114"/>
      <c r="DE96" s="115"/>
      <c r="DF96" s="115"/>
      <c r="DG96" s="116"/>
      <c r="DI96" s="11">
        <v>46115</v>
      </c>
      <c r="DJ96" s="33" t="s">
        <v>5</v>
      </c>
      <c r="DK96" s="114" t="s">
        <v>60</v>
      </c>
      <c r="DL96" s="115"/>
      <c r="DM96" s="115"/>
      <c r="DN96" s="116"/>
      <c r="DP96" s="11">
        <v>46113</v>
      </c>
      <c r="DQ96" s="33" t="s">
        <v>3</v>
      </c>
      <c r="DR96" s="114"/>
      <c r="DS96" s="115"/>
      <c r="DT96" s="115"/>
      <c r="DU96" s="116"/>
      <c r="DW96" s="11">
        <v>46115</v>
      </c>
      <c r="DX96" s="33" t="s">
        <v>5</v>
      </c>
      <c r="DY96" s="114" t="s">
        <v>60</v>
      </c>
      <c r="DZ96" s="115"/>
      <c r="EA96" s="115"/>
      <c r="EB96" s="116"/>
    </row>
    <row r="97" spans="1:132" x14ac:dyDescent="0.25">
      <c r="A97" s="11">
        <v>46116</v>
      </c>
      <c r="B97" s="33" t="s">
        <v>6</v>
      </c>
      <c r="C97" s="114"/>
      <c r="D97" s="115"/>
      <c r="E97" s="115"/>
      <c r="F97" s="116"/>
      <c r="H97" s="11">
        <v>46116</v>
      </c>
      <c r="I97" s="33" t="s">
        <v>6</v>
      </c>
      <c r="J97" s="114"/>
      <c r="K97" s="115"/>
      <c r="L97" s="115"/>
      <c r="M97" s="116"/>
      <c r="O97" s="11">
        <v>46116</v>
      </c>
      <c r="P97" s="33" t="s">
        <v>6</v>
      </c>
      <c r="Q97" s="114"/>
      <c r="R97" s="115"/>
      <c r="S97" s="115"/>
      <c r="T97" s="116"/>
      <c r="V97" s="11">
        <v>46115</v>
      </c>
      <c r="W97" s="33" t="s">
        <v>5</v>
      </c>
      <c r="X97" s="114" t="s">
        <v>60</v>
      </c>
      <c r="Y97" s="115"/>
      <c r="Z97" s="115"/>
      <c r="AA97" s="116"/>
      <c r="AC97" s="11">
        <v>46116</v>
      </c>
      <c r="AD97" s="33" t="s">
        <v>6</v>
      </c>
      <c r="AE97" s="114"/>
      <c r="AF97" s="115"/>
      <c r="AG97" s="115"/>
      <c r="AH97" s="116"/>
      <c r="AJ97" s="11">
        <v>46116</v>
      </c>
      <c r="AK97" s="33" t="s">
        <v>6</v>
      </c>
      <c r="AL97" s="114"/>
      <c r="AM97" s="115"/>
      <c r="AN97" s="115"/>
      <c r="AO97" s="116"/>
      <c r="AQ97" s="11">
        <v>46116</v>
      </c>
      <c r="AR97" s="33" t="s">
        <v>6</v>
      </c>
      <c r="AS97" s="114"/>
      <c r="AT97" s="115"/>
      <c r="AU97" s="115"/>
      <c r="AV97" s="116"/>
      <c r="AX97" s="11">
        <v>46115</v>
      </c>
      <c r="AY97" s="33" t="s">
        <v>5</v>
      </c>
      <c r="AZ97" s="114" t="s">
        <v>60</v>
      </c>
      <c r="BA97" s="115"/>
      <c r="BB97" s="115"/>
      <c r="BC97" s="116"/>
      <c r="BE97" s="11">
        <v>46116</v>
      </c>
      <c r="BF97" s="33" t="s">
        <v>6</v>
      </c>
      <c r="BG97" s="33"/>
      <c r="BH97" s="19"/>
      <c r="BI97" s="19"/>
      <c r="BJ97" s="20"/>
      <c r="BL97" s="11">
        <v>46116</v>
      </c>
      <c r="BM97" s="33" t="s">
        <v>6</v>
      </c>
      <c r="BN97" s="114"/>
      <c r="BO97" s="115"/>
      <c r="BP97" s="115"/>
      <c r="BQ97" s="116"/>
      <c r="BS97" s="11">
        <v>46116</v>
      </c>
      <c r="BT97" s="33" t="s">
        <v>6</v>
      </c>
      <c r="BU97" s="114"/>
      <c r="BV97" s="115"/>
      <c r="BW97" s="115"/>
      <c r="BX97" s="116"/>
      <c r="BZ97" s="11">
        <v>46115</v>
      </c>
      <c r="CA97" s="33" t="s">
        <v>5</v>
      </c>
      <c r="CB97" s="114" t="s">
        <v>60</v>
      </c>
      <c r="CC97" s="115"/>
      <c r="CD97" s="115"/>
      <c r="CE97" s="116"/>
      <c r="CG97" s="11">
        <v>46116</v>
      </c>
      <c r="CH97" s="33" t="s">
        <v>6</v>
      </c>
      <c r="CI97" s="114"/>
      <c r="CJ97" s="115"/>
      <c r="CK97" s="115"/>
      <c r="CL97" s="116"/>
      <c r="CN97" s="11">
        <v>46116</v>
      </c>
      <c r="CO97" s="33" t="s">
        <v>6</v>
      </c>
      <c r="CP97" s="114"/>
      <c r="CQ97" s="115"/>
      <c r="CR97" s="115"/>
      <c r="CS97" s="116"/>
      <c r="CU97" s="11">
        <v>46116</v>
      </c>
      <c r="CV97" s="33" t="s">
        <v>6</v>
      </c>
      <c r="CW97" s="114"/>
      <c r="CX97" s="115"/>
      <c r="CY97" s="115"/>
      <c r="CZ97" s="116"/>
      <c r="DB97" s="11">
        <v>46114</v>
      </c>
      <c r="DC97" s="33" t="s">
        <v>4</v>
      </c>
      <c r="DD97" s="114"/>
      <c r="DE97" s="115"/>
      <c r="DF97" s="115"/>
      <c r="DG97" s="116"/>
      <c r="DI97" s="11">
        <v>46116</v>
      </c>
      <c r="DJ97" s="33" t="s">
        <v>6</v>
      </c>
      <c r="DK97" s="114"/>
      <c r="DL97" s="115"/>
      <c r="DM97" s="115"/>
      <c r="DN97" s="116"/>
      <c r="DP97" s="11">
        <v>46114</v>
      </c>
      <c r="DQ97" s="33" t="s">
        <v>4</v>
      </c>
      <c r="DR97" s="114"/>
      <c r="DS97" s="115"/>
      <c r="DT97" s="115"/>
      <c r="DU97" s="116"/>
      <c r="DW97" s="11">
        <v>46116</v>
      </c>
      <c r="DX97" s="33" t="s">
        <v>6</v>
      </c>
      <c r="DY97" s="114"/>
      <c r="DZ97" s="115"/>
      <c r="EA97" s="115"/>
      <c r="EB97" s="116"/>
    </row>
    <row r="98" spans="1:132" x14ac:dyDescent="0.25">
      <c r="A98" s="11">
        <v>46117</v>
      </c>
      <c r="B98" s="33" t="s">
        <v>7</v>
      </c>
      <c r="C98" s="114" t="s">
        <v>60</v>
      </c>
      <c r="D98" s="115"/>
      <c r="E98" s="115"/>
      <c r="F98" s="116"/>
      <c r="H98" s="11">
        <v>46117</v>
      </c>
      <c r="I98" s="33" t="s">
        <v>7</v>
      </c>
      <c r="J98" s="114" t="s">
        <v>60</v>
      </c>
      <c r="K98" s="115"/>
      <c r="L98" s="115"/>
      <c r="M98" s="116"/>
      <c r="O98" s="11">
        <v>46117</v>
      </c>
      <c r="P98" s="33" t="s">
        <v>7</v>
      </c>
      <c r="Q98" s="114" t="s">
        <v>60</v>
      </c>
      <c r="R98" s="115"/>
      <c r="S98" s="115"/>
      <c r="T98" s="116"/>
      <c r="V98" s="11">
        <v>46116</v>
      </c>
      <c r="W98" s="33" t="s">
        <v>6</v>
      </c>
      <c r="X98" s="114"/>
      <c r="Y98" s="115"/>
      <c r="Z98" s="115"/>
      <c r="AA98" s="116"/>
      <c r="AC98" s="11">
        <v>46117</v>
      </c>
      <c r="AD98" s="33" t="s">
        <v>7</v>
      </c>
      <c r="AE98" s="114" t="s">
        <v>60</v>
      </c>
      <c r="AF98" s="115"/>
      <c r="AG98" s="115"/>
      <c r="AH98" s="116"/>
      <c r="AJ98" s="11">
        <v>46117</v>
      </c>
      <c r="AK98" s="33" t="s">
        <v>7</v>
      </c>
      <c r="AL98" s="114" t="s">
        <v>60</v>
      </c>
      <c r="AM98" s="115"/>
      <c r="AN98" s="115"/>
      <c r="AO98" s="116"/>
      <c r="AQ98" s="11">
        <v>46117</v>
      </c>
      <c r="AR98" s="33" t="s">
        <v>7</v>
      </c>
      <c r="AS98" s="114" t="s">
        <v>60</v>
      </c>
      <c r="AT98" s="115"/>
      <c r="AU98" s="115"/>
      <c r="AV98" s="116"/>
      <c r="AX98" s="11">
        <v>46116</v>
      </c>
      <c r="AY98" s="33" t="s">
        <v>6</v>
      </c>
      <c r="AZ98" s="114"/>
      <c r="BA98" s="115"/>
      <c r="BB98" s="115"/>
      <c r="BC98" s="116"/>
      <c r="BE98" s="11">
        <v>46117</v>
      </c>
      <c r="BF98" s="33" t="s">
        <v>7</v>
      </c>
      <c r="BG98" s="33" t="s">
        <v>60</v>
      </c>
      <c r="BH98" s="19"/>
      <c r="BI98" s="19"/>
      <c r="BJ98" s="20"/>
      <c r="BL98" s="11">
        <v>46117</v>
      </c>
      <c r="BM98" s="33" t="s">
        <v>7</v>
      </c>
      <c r="BN98" s="114" t="s">
        <v>60</v>
      </c>
      <c r="BO98" s="115"/>
      <c r="BP98" s="115"/>
      <c r="BQ98" s="116"/>
      <c r="BS98" s="11">
        <v>46117</v>
      </c>
      <c r="BT98" s="33" t="s">
        <v>7</v>
      </c>
      <c r="BU98" s="114" t="s">
        <v>60</v>
      </c>
      <c r="BV98" s="115"/>
      <c r="BW98" s="115"/>
      <c r="BX98" s="116"/>
      <c r="BZ98" s="11">
        <v>46116</v>
      </c>
      <c r="CA98" s="33" t="s">
        <v>6</v>
      </c>
      <c r="CB98" s="114"/>
      <c r="CC98" s="115"/>
      <c r="CD98" s="115"/>
      <c r="CE98" s="116"/>
      <c r="CG98" s="11">
        <v>46117</v>
      </c>
      <c r="CH98" s="33" t="s">
        <v>7</v>
      </c>
      <c r="CI98" s="114" t="s">
        <v>60</v>
      </c>
      <c r="CJ98" s="115"/>
      <c r="CK98" s="115"/>
      <c r="CL98" s="116"/>
      <c r="CN98" s="11">
        <v>46117</v>
      </c>
      <c r="CO98" s="33" t="s">
        <v>7</v>
      </c>
      <c r="CP98" s="114" t="s">
        <v>60</v>
      </c>
      <c r="CQ98" s="115"/>
      <c r="CR98" s="115"/>
      <c r="CS98" s="116"/>
      <c r="CU98" s="11">
        <v>46117</v>
      </c>
      <c r="CV98" s="33" t="s">
        <v>7</v>
      </c>
      <c r="CW98" s="114" t="s">
        <v>60</v>
      </c>
      <c r="CX98" s="115"/>
      <c r="CY98" s="115"/>
      <c r="CZ98" s="116"/>
      <c r="DB98" s="11">
        <v>46115</v>
      </c>
      <c r="DC98" s="33" t="s">
        <v>5</v>
      </c>
      <c r="DD98" s="114" t="s">
        <v>60</v>
      </c>
      <c r="DE98" s="115"/>
      <c r="DF98" s="115"/>
      <c r="DG98" s="116"/>
      <c r="DI98" s="11">
        <v>46117</v>
      </c>
      <c r="DJ98" s="33" t="s">
        <v>7</v>
      </c>
      <c r="DK98" s="114" t="s">
        <v>60</v>
      </c>
      <c r="DL98" s="115"/>
      <c r="DM98" s="115"/>
      <c r="DN98" s="116"/>
      <c r="DP98" s="11">
        <v>46115</v>
      </c>
      <c r="DQ98" s="33" t="s">
        <v>5</v>
      </c>
      <c r="DR98" s="114" t="s">
        <v>60</v>
      </c>
      <c r="DS98" s="115"/>
      <c r="DT98" s="115"/>
      <c r="DU98" s="116"/>
      <c r="DW98" s="11">
        <v>46117</v>
      </c>
      <c r="DX98" s="33" t="s">
        <v>7</v>
      </c>
      <c r="DY98" s="114" t="s">
        <v>60</v>
      </c>
      <c r="DZ98" s="115"/>
      <c r="EA98" s="115"/>
      <c r="EB98" s="116"/>
    </row>
    <row r="99" spans="1:132" x14ac:dyDescent="0.25">
      <c r="A99" s="11">
        <v>46118</v>
      </c>
      <c r="B99" s="33" t="s">
        <v>8</v>
      </c>
      <c r="C99" s="114"/>
      <c r="D99" s="115"/>
      <c r="E99" s="115"/>
      <c r="F99" s="116"/>
      <c r="H99" s="11">
        <v>46118</v>
      </c>
      <c r="I99" s="33" t="s">
        <v>8</v>
      </c>
      <c r="J99" s="114"/>
      <c r="K99" s="115"/>
      <c r="L99" s="115"/>
      <c r="M99" s="116"/>
      <c r="O99" s="11">
        <v>46118</v>
      </c>
      <c r="P99" s="33" t="s">
        <v>8</v>
      </c>
      <c r="Q99" s="114"/>
      <c r="R99" s="115"/>
      <c r="S99" s="115"/>
      <c r="T99" s="116"/>
      <c r="V99" s="11">
        <v>46117</v>
      </c>
      <c r="W99" s="33" t="s">
        <v>7</v>
      </c>
      <c r="X99" s="114" t="s">
        <v>60</v>
      </c>
      <c r="Y99" s="115"/>
      <c r="Z99" s="115"/>
      <c r="AA99" s="116"/>
      <c r="AC99" s="11">
        <v>46118</v>
      </c>
      <c r="AD99" s="33" t="s">
        <v>8</v>
      </c>
      <c r="AE99" s="114"/>
      <c r="AF99" s="115"/>
      <c r="AG99" s="115"/>
      <c r="AH99" s="116"/>
      <c r="AJ99" s="11">
        <v>46118</v>
      </c>
      <c r="AK99" s="33" t="s">
        <v>8</v>
      </c>
      <c r="AL99" s="114"/>
      <c r="AM99" s="115"/>
      <c r="AN99" s="115"/>
      <c r="AO99" s="116"/>
      <c r="AQ99" s="11">
        <v>46118</v>
      </c>
      <c r="AR99" s="33" t="s">
        <v>8</v>
      </c>
      <c r="AS99" s="114"/>
      <c r="AT99" s="115"/>
      <c r="AU99" s="115"/>
      <c r="AV99" s="116"/>
      <c r="AX99" s="11">
        <v>46117</v>
      </c>
      <c r="AY99" s="33" t="s">
        <v>7</v>
      </c>
      <c r="AZ99" s="114" t="s">
        <v>60</v>
      </c>
      <c r="BA99" s="115"/>
      <c r="BB99" s="115"/>
      <c r="BC99" s="116"/>
      <c r="BE99" s="11">
        <v>46118</v>
      </c>
      <c r="BF99" s="33" t="s">
        <v>8</v>
      </c>
      <c r="BG99" s="33"/>
      <c r="BH99" s="19"/>
      <c r="BI99" s="19"/>
      <c r="BJ99" s="20"/>
      <c r="BL99" s="11">
        <v>46118</v>
      </c>
      <c r="BM99" s="33" t="s">
        <v>8</v>
      </c>
      <c r="BN99" s="114"/>
      <c r="BO99" s="115"/>
      <c r="BP99" s="115"/>
      <c r="BQ99" s="116"/>
      <c r="BS99" s="11">
        <v>46118</v>
      </c>
      <c r="BT99" s="33" t="s">
        <v>8</v>
      </c>
      <c r="BU99" s="114"/>
      <c r="BV99" s="115"/>
      <c r="BW99" s="115"/>
      <c r="BX99" s="116"/>
      <c r="BZ99" s="11">
        <v>46117</v>
      </c>
      <c r="CA99" s="33" t="s">
        <v>7</v>
      </c>
      <c r="CB99" s="114" t="s">
        <v>60</v>
      </c>
      <c r="CC99" s="115"/>
      <c r="CD99" s="115"/>
      <c r="CE99" s="116"/>
      <c r="CG99" s="11">
        <v>46118</v>
      </c>
      <c r="CH99" s="33" t="s">
        <v>8</v>
      </c>
      <c r="CI99" s="114"/>
      <c r="CJ99" s="115"/>
      <c r="CK99" s="115"/>
      <c r="CL99" s="116"/>
      <c r="CN99" s="11">
        <v>46118</v>
      </c>
      <c r="CO99" s="33" t="s">
        <v>8</v>
      </c>
      <c r="CP99" s="114"/>
      <c r="CQ99" s="115"/>
      <c r="CR99" s="115"/>
      <c r="CS99" s="116"/>
      <c r="CU99" s="11">
        <v>46118</v>
      </c>
      <c r="CV99" s="33" t="s">
        <v>8</v>
      </c>
      <c r="CW99" s="114"/>
      <c r="CX99" s="115"/>
      <c r="CY99" s="115"/>
      <c r="CZ99" s="116"/>
      <c r="DB99" s="11">
        <v>46116</v>
      </c>
      <c r="DC99" s="33" t="s">
        <v>6</v>
      </c>
      <c r="DD99" s="114"/>
      <c r="DE99" s="115"/>
      <c r="DF99" s="115"/>
      <c r="DG99" s="116"/>
      <c r="DI99" s="11">
        <v>46118</v>
      </c>
      <c r="DJ99" s="33" t="s">
        <v>8</v>
      </c>
      <c r="DK99" s="114"/>
      <c r="DL99" s="115"/>
      <c r="DM99" s="115"/>
      <c r="DN99" s="116"/>
      <c r="DP99" s="11">
        <v>46116</v>
      </c>
      <c r="DQ99" s="33" t="s">
        <v>6</v>
      </c>
      <c r="DR99" s="114"/>
      <c r="DS99" s="115"/>
      <c r="DT99" s="115"/>
      <c r="DU99" s="116"/>
      <c r="DW99" s="11">
        <v>46118</v>
      </c>
      <c r="DX99" s="33" t="s">
        <v>8</v>
      </c>
      <c r="DY99" s="114"/>
      <c r="DZ99" s="115"/>
      <c r="EA99" s="115"/>
      <c r="EB99" s="116"/>
    </row>
    <row r="100" spans="1:132" x14ac:dyDescent="0.25">
      <c r="A100" s="11">
        <v>46119</v>
      </c>
      <c r="B100" s="33" t="s">
        <v>9</v>
      </c>
      <c r="C100" s="114"/>
      <c r="D100" s="115"/>
      <c r="E100" s="115"/>
      <c r="F100" s="116"/>
      <c r="H100" s="11">
        <v>46119</v>
      </c>
      <c r="I100" s="33" t="s">
        <v>9</v>
      </c>
      <c r="J100" s="114"/>
      <c r="K100" s="115"/>
      <c r="L100" s="115"/>
      <c r="M100" s="116"/>
      <c r="O100" s="11">
        <v>46119</v>
      </c>
      <c r="P100" s="33" t="s">
        <v>9</v>
      </c>
      <c r="Q100" s="114"/>
      <c r="R100" s="115"/>
      <c r="S100" s="115"/>
      <c r="T100" s="116"/>
      <c r="V100" s="11">
        <v>46118</v>
      </c>
      <c r="W100" s="33" t="s">
        <v>8</v>
      </c>
      <c r="X100" s="114"/>
      <c r="Y100" s="115"/>
      <c r="Z100" s="115"/>
      <c r="AA100" s="116"/>
      <c r="AC100" s="11">
        <v>46119</v>
      </c>
      <c r="AD100" s="33" t="s">
        <v>9</v>
      </c>
      <c r="AE100" s="114"/>
      <c r="AF100" s="115"/>
      <c r="AG100" s="115"/>
      <c r="AH100" s="116"/>
      <c r="AJ100" s="11">
        <v>46119</v>
      </c>
      <c r="AK100" s="33" t="s">
        <v>9</v>
      </c>
      <c r="AL100" s="114"/>
      <c r="AM100" s="115"/>
      <c r="AN100" s="115"/>
      <c r="AO100" s="116"/>
      <c r="AQ100" s="11">
        <v>46119</v>
      </c>
      <c r="AR100" s="33" t="s">
        <v>9</v>
      </c>
      <c r="AS100" s="114"/>
      <c r="AT100" s="115"/>
      <c r="AU100" s="115"/>
      <c r="AV100" s="116"/>
      <c r="AX100" s="11">
        <v>46118</v>
      </c>
      <c r="AY100" s="33" t="s">
        <v>8</v>
      </c>
      <c r="AZ100" s="114"/>
      <c r="BA100" s="115"/>
      <c r="BB100" s="115"/>
      <c r="BC100" s="116"/>
      <c r="BE100" s="11">
        <v>46119</v>
      </c>
      <c r="BF100" s="33" t="s">
        <v>9</v>
      </c>
      <c r="BG100" s="33"/>
      <c r="BH100" s="19"/>
      <c r="BI100" s="19"/>
      <c r="BJ100" s="20"/>
      <c r="BL100" s="11">
        <v>46119</v>
      </c>
      <c r="BM100" s="33" t="s">
        <v>9</v>
      </c>
      <c r="BN100" s="114"/>
      <c r="BO100" s="115"/>
      <c r="BP100" s="115"/>
      <c r="BQ100" s="116"/>
      <c r="BS100" s="11">
        <v>46119</v>
      </c>
      <c r="BT100" s="33" t="s">
        <v>9</v>
      </c>
      <c r="BU100" s="114"/>
      <c r="BV100" s="115"/>
      <c r="BW100" s="115"/>
      <c r="BX100" s="116"/>
      <c r="BZ100" s="11">
        <v>46118</v>
      </c>
      <c r="CA100" s="33" t="s">
        <v>8</v>
      </c>
      <c r="CB100" s="114"/>
      <c r="CC100" s="115"/>
      <c r="CD100" s="115"/>
      <c r="CE100" s="116"/>
      <c r="CG100" s="11">
        <v>46119</v>
      </c>
      <c r="CH100" s="33" t="s">
        <v>9</v>
      </c>
      <c r="CI100" s="114"/>
      <c r="CJ100" s="115"/>
      <c r="CK100" s="115"/>
      <c r="CL100" s="116"/>
      <c r="CN100" s="11">
        <v>46119</v>
      </c>
      <c r="CO100" s="33" t="s">
        <v>9</v>
      </c>
      <c r="CP100" s="114"/>
      <c r="CQ100" s="115"/>
      <c r="CR100" s="115"/>
      <c r="CS100" s="116"/>
      <c r="CU100" s="11">
        <v>46119</v>
      </c>
      <c r="CV100" s="33" t="s">
        <v>9</v>
      </c>
      <c r="CW100" s="114"/>
      <c r="CX100" s="115"/>
      <c r="CY100" s="115"/>
      <c r="CZ100" s="116"/>
      <c r="DB100" s="11">
        <v>46117</v>
      </c>
      <c r="DC100" s="33" t="s">
        <v>7</v>
      </c>
      <c r="DD100" s="114" t="s">
        <v>60</v>
      </c>
      <c r="DE100" s="115"/>
      <c r="DF100" s="115"/>
      <c r="DG100" s="116"/>
      <c r="DI100" s="11">
        <v>46119</v>
      </c>
      <c r="DJ100" s="33" t="s">
        <v>9</v>
      </c>
      <c r="DK100" s="114"/>
      <c r="DL100" s="115"/>
      <c r="DM100" s="115"/>
      <c r="DN100" s="116"/>
      <c r="DP100" s="11">
        <v>46117</v>
      </c>
      <c r="DQ100" s="33" t="s">
        <v>7</v>
      </c>
      <c r="DR100" s="114" t="s">
        <v>60</v>
      </c>
      <c r="DS100" s="115"/>
      <c r="DT100" s="115"/>
      <c r="DU100" s="116"/>
      <c r="DW100" s="11">
        <v>46119</v>
      </c>
      <c r="DX100" s="33" t="s">
        <v>9</v>
      </c>
      <c r="DY100" s="114"/>
      <c r="DZ100" s="115"/>
      <c r="EA100" s="115"/>
      <c r="EB100" s="116"/>
    </row>
    <row r="101" spans="1:132" x14ac:dyDescent="0.25">
      <c r="A101" s="11">
        <v>46120</v>
      </c>
      <c r="B101" s="33" t="s">
        <v>3</v>
      </c>
      <c r="C101" s="114"/>
      <c r="D101" s="115"/>
      <c r="E101" s="115"/>
      <c r="F101" s="116"/>
      <c r="H101" s="11">
        <v>46120</v>
      </c>
      <c r="I101" s="33" t="s">
        <v>3</v>
      </c>
      <c r="J101" s="114"/>
      <c r="K101" s="115"/>
      <c r="L101" s="115"/>
      <c r="M101" s="116"/>
      <c r="O101" s="11">
        <v>46120</v>
      </c>
      <c r="P101" s="33" t="s">
        <v>3</v>
      </c>
      <c r="Q101" s="114"/>
      <c r="R101" s="115"/>
      <c r="S101" s="115"/>
      <c r="T101" s="116"/>
      <c r="V101" s="11">
        <v>46119</v>
      </c>
      <c r="W101" s="33" t="s">
        <v>9</v>
      </c>
      <c r="X101" s="114"/>
      <c r="Y101" s="115"/>
      <c r="Z101" s="115"/>
      <c r="AA101" s="116"/>
      <c r="AC101" s="11">
        <v>46120</v>
      </c>
      <c r="AD101" s="33" t="s">
        <v>3</v>
      </c>
      <c r="AE101" s="114"/>
      <c r="AF101" s="115"/>
      <c r="AG101" s="115"/>
      <c r="AH101" s="116"/>
      <c r="AJ101" s="11">
        <v>46120</v>
      </c>
      <c r="AK101" s="33" t="s">
        <v>3</v>
      </c>
      <c r="AL101" s="114"/>
      <c r="AM101" s="115"/>
      <c r="AN101" s="115"/>
      <c r="AO101" s="116"/>
      <c r="AQ101" s="11">
        <v>46120</v>
      </c>
      <c r="AR101" s="33" t="s">
        <v>3</v>
      </c>
      <c r="AS101" s="114"/>
      <c r="AT101" s="115"/>
      <c r="AU101" s="115"/>
      <c r="AV101" s="116"/>
      <c r="AX101" s="11">
        <v>46119</v>
      </c>
      <c r="AY101" s="33" t="s">
        <v>9</v>
      </c>
      <c r="AZ101" s="114"/>
      <c r="BA101" s="115"/>
      <c r="BB101" s="115"/>
      <c r="BC101" s="116"/>
      <c r="BE101" s="11">
        <v>46120</v>
      </c>
      <c r="BF101" s="33" t="s">
        <v>3</v>
      </c>
      <c r="BG101" s="33"/>
      <c r="BH101" s="19"/>
      <c r="BI101" s="19"/>
      <c r="BJ101" s="20"/>
      <c r="BL101" s="11">
        <v>46120</v>
      </c>
      <c r="BM101" s="33" t="s">
        <v>3</v>
      </c>
      <c r="BN101" s="114"/>
      <c r="BO101" s="115"/>
      <c r="BP101" s="115"/>
      <c r="BQ101" s="116"/>
      <c r="BS101" s="11">
        <v>46120</v>
      </c>
      <c r="BT101" s="33" t="s">
        <v>3</v>
      </c>
      <c r="BU101" s="114"/>
      <c r="BV101" s="115"/>
      <c r="BW101" s="115"/>
      <c r="BX101" s="116"/>
      <c r="BZ101" s="11">
        <v>46119</v>
      </c>
      <c r="CA101" s="33" t="s">
        <v>9</v>
      </c>
      <c r="CB101" s="114"/>
      <c r="CC101" s="115"/>
      <c r="CD101" s="115"/>
      <c r="CE101" s="116"/>
      <c r="CG101" s="11">
        <v>46120</v>
      </c>
      <c r="CH101" s="33" t="s">
        <v>3</v>
      </c>
      <c r="CI101" s="114"/>
      <c r="CJ101" s="115"/>
      <c r="CK101" s="115"/>
      <c r="CL101" s="116"/>
      <c r="CN101" s="11">
        <v>46120</v>
      </c>
      <c r="CO101" s="33" t="s">
        <v>3</v>
      </c>
      <c r="CP101" s="114"/>
      <c r="CQ101" s="115"/>
      <c r="CR101" s="115"/>
      <c r="CS101" s="116"/>
      <c r="CU101" s="11">
        <v>46120</v>
      </c>
      <c r="CV101" s="33" t="s">
        <v>3</v>
      </c>
      <c r="CW101" s="114"/>
      <c r="CX101" s="115"/>
      <c r="CY101" s="115"/>
      <c r="CZ101" s="116"/>
      <c r="DB101" s="11">
        <v>46118</v>
      </c>
      <c r="DC101" s="33" t="s">
        <v>8</v>
      </c>
      <c r="DD101" s="114"/>
      <c r="DE101" s="115"/>
      <c r="DF101" s="115"/>
      <c r="DG101" s="116"/>
      <c r="DI101" s="11">
        <v>46120</v>
      </c>
      <c r="DJ101" s="33" t="s">
        <v>3</v>
      </c>
      <c r="DK101" s="114"/>
      <c r="DL101" s="115"/>
      <c r="DM101" s="115"/>
      <c r="DN101" s="116"/>
      <c r="DP101" s="11">
        <v>46118</v>
      </c>
      <c r="DQ101" s="33" t="s">
        <v>8</v>
      </c>
      <c r="DR101" s="114"/>
      <c r="DS101" s="115"/>
      <c r="DT101" s="115"/>
      <c r="DU101" s="116"/>
      <c r="DW101" s="11">
        <v>46120</v>
      </c>
      <c r="DX101" s="33" t="s">
        <v>3</v>
      </c>
      <c r="DY101" s="114"/>
      <c r="DZ101" s="115"/>
      <c r="EA101" s="115"/>
      <c r="EB101" s="116"/>
    </row>
    <row r="102" spans="1:132" x14ac:dyDescent="0.25">
      <c r="A102" s="11">
        <v>46121</v>
      </c>
      <c r="B102" s="33" t="s">
        <v>4</v>
      </c>
      <c r="C102" s="114"/>
      <c r="D102" s="115"/>
      <c r="E102" s="115"/>
      <c r="F102" s="116"/>
      <c r="H102" s="11">
        <v>46121</v>
      </c>
      <c r="I102" s="33" t="s">
        <v>4</v>
      </c>
      <c r="J102" s="114"/>
      <c r="K102" s="115"/>
      <c r="L102" s="115"/>
      <c r="M102" s="116"/>
      <c r="O102" s="11">
        <v>46121</v>
      </c>
      <c r="P102" s="33" t="s">
        <v>4</v>
      </c>
      <c r="Q102" s="114"/>
      <c r="R102" s="115"/>
      <c r="S102" s="115"/>
      <c r="T102" s="116"/>
      <c r="V102" s="11">
        <v>46120</v>
      </c>
      <c r="W102" s="33" t="s">
        <v>3</v>
      </c>
      <c r="X102" s="114"/>
      <c r="Y102" s="115"/>
      <c r="Z102" s="115"/>
      <c r="AA102" s="116"/>
      <c r="AC102" s="11">
        <v>46121</v>
      </c>
      <c r="AD102" s="33" t="s">
        <v>4</v>
      </c>
      <c r="AE102" s="114"/>
      <c r="AF102" s="115"/>
      <c r="AG102" s="115"/>
      <c r="AH102" s="116"/>
      <c r="AJ102" s="11">
        <v>46121</v>
      </c>
      <c r="AK102" s="33" t="s">
        <v>4</v>
      </c>
      <c r="AL102" s="114"/>
      <c r="AM102" s="115"/>
      <c r="AN102" s="115"/>
      <c r="AO102" s="116"/>
      <c r="AQ102" s="11">
        <v>46121</v>
      </c>
      <c r="AR102" s="33" t="s">
        <v>4</v>
      </c>
      <c r="AS102" s="114"/>
      <c r="AT102" s="115"/>
      <c r="AU102" s="115"/>
      <c r="AV102" s="116"/>
      <c r="AX102" s="11">
        <v>46120</v>
      </c>
      <c r="AY102" s="33" t="s">
        <v>3</v>
      </c>
      <c r="AZ102" s="114"/>
      <c r="BA102" s="115"/>
      <c r="BB102" s="115"/>
      <c r="BC102" s="116"/>
      <c r="BE102" s="11">
        <v>46121</v>
      </c>
      <c r="BF102" s="33" t="s">
        <v>4</v>
      </c>
      <c r="BG102" s="33"/>
      <c r="BH102" s="19"/>
      <c r="BI102" s="19"/>
      <c r="BJ102" s="20"/>
      <c r="BL102" s="11">
        <v>46121</v>
      </c>
      <c r="BM102" s="33" t="s">
        <v>4</v>
      </c>
      <c r="BN102" s="114"/>
      <c r="BO102" s="115"/>
      <c r="BP102" s="115"/>
      <c r="BQ102" s="116"/>
      <c r="BS102" s="11">
        <v>46121</v>
      </c>
      <c r="BT102" s="33" t="s">
        <v>4</v>
      </c>
      <c r="BU102" s="114"/>
      <c r="BV102" s="115"/>
      <c r="BW102" s="115"/>
      <c r="BX102" s="116"/>
      <c r="BZ102" s="11">
        <v>46120</v>
      </c>
      <c r="CA102" s="33" t="s">
        <v>3</v>
      </c>
      <c r="CB102" s="114"/>
      <c r="CC102" s="115"/>
      <c r="CD102" s="115"/>
      <c r="CE102" s="116"/>
      <c r="CG102" s="11">
        <v>46121</v>
      </c>
      <c r="CH102" s="33" t="s">
        <v>4</v>
      </c>
      <c r="CI102" s="114"/>
      <c r="CJ102" s="115"/>
      <c r="CK102" s="115"/>
      <c r="CL102" s="116"/>
      <c r="CN102" s="11">
        <v>46121</v>
      </c>
      <c r="CO102" s="33" t="s">
        <v>4</v>
      </c>
      <c r="CP102" s="114"/>
      <c r="CQ102" s="115"/>
      <c r="CR102" s="115"/>
      <c r="CS102" s="116"/>
      <c r="CU102" s="11">
        <v>46121</v>
      </c>
      <c r="CV102" s="33" t="s">
        <v>4</v>
      </c>
      <c r="CW102" s="114"/>
      <c r="CX102" s="115"/>
      <c r="CY102" s="115"/>
      <c r="CZ102" s="116"/>
      <c r="DB102" s="11">
        <v>46119</v>
      </c>
      <c r="DC102" s="33" t="s">
        <v>9</v>
      </c>
      <c r="DD102" s="114"/>
      <c r="DE102" s="115"/>
      <c r="DF102" s="115"/>
      <c r="DG102" s="116"/>
      <c r="DI102" s="11">
        <v>46121</v>
      </c>
      <c r="DJ102" s="33" t="s">
        <v>4</v>
      </c>
      <c r="DK102" s="114"/>
      <c r="DL102" s="115"/>
      <c r="DM102" s="115"/>
      <c r="DN102" s="116"/>
      <c r="DP102" s="11">
        <v>46119</v>
      </c>
      <c r="DQ102" s="33" t="s">
        <v>9</v>
      </c>
      <c r="DR102" s="114"/>
      <c r="DS102" s="115"/>
      <c r="DT102" s="115"/>
      <c r="DU102" s="116"/>
      <c r="DW102" s="11">
        <v>46121</v>
      </c>
      <c r="DX102" s="33" t="s">
        <v>4</v>
      </c>
      <c r="DY102" s="114"/>
      <c r="DZ102" s="115"/>
      <c r="EA102" s="115"/>
      <c r="EB102" s="116"/>
    </row>
    <row r="103" spans="1:132" x14ac:dyDescent="0.25">
      <c r="A103" s="11">
        <v>46122</v>
      </c>
      <c r="B103" s="33" t="s">
        <v>5</v>
      </c>
      <c r="C103" s="114"/>
      <c r="D103" s="115"/>
      <c r="E103" s="115"/>
      <c r="F103" s="116"/>
      <c r="H103" s="11">
        <v>46122</v>
      </c>
      <c r="I103" s="33" t="s">
        <v>5</v>
      </c>
      <c r="J103" s="114"/>
      <c r="K103" s="115"/>
      <c r="L103" s="115"/>
      <c r="M103" s="116"/>
      <c r="O103" s="11">
        <v>46122</v>
      </c>
      <c r="P103" s="33" t="s">
        <v>5</v>
      </c>
      <c r="Q103" s="114"/>
      <c r="R103" s="115"/>
      <c r="S103" s="115"/>
      <c r="T103" s="116"/>
      <c r="V103" s="11">
        <v>46121</v>
      </c>
      <c r="W103" s="33" t="s">
        <v>4</v>
      </c>
      <c r="X103" s="114"/>
      <c r="Y103" s="115"/>
      <c r="Z103" s="115"/>
      <c r="AA103" s="116"/>
      <c r="AC103" s="11">
        <v>46122</v>
      </c>
      <c r="AD103" s="33" t="s">
        <v>5</v>
      </c>
      <c r="AE103" s="114"/>
      <c r="AF103" s="115"/>
      <c r="AG103" s="115"/>
      <c r="AH103" s="116"/>
      <c r="AJ103" s="11">
        <v>46122</v>
      </c>
      <c r="AK103" s="33" t="s">
        <v>5</v>
      </c>
      <c r="AL103" s="114"/>
      <c r="AM103" s="115"/>
      <c r="AN103" s="115"/>
      <c r="AO103" s="116"/>
      <c r="AQ103" s="11">
        <v>46122</v>
      </c>
      <c r="AR103" s="33" t="s">
        <v>5</v>
      </c>
      <c r="AS103" s="114"/>
      <c r="AT103" s="115"/>
      <c r="AU103" s="115"/>
      <c r="AV103" s="116"/>
      <c r="AX103" s="11">
        <v>46121</v>
      </c>
      <c r="AY103" s="33" t="s">
        <v>4</v>
      </c>
      <c r="AZ103" s="114"/>
      <c r="BA103" s="115"/>
      <c r="BB103" s="115"/>
      <c r="BC103" s="116"/>
      <c r="BE103" s="11">
        <v>46122</v>
      </c>
      <c r="BF103" s="33" t="s">
        <v>5</v>
      </c>
      <c r="BG103" s="33"/>
      <c r="BH103" s="19"/>
      <c r="BI103" s="19"/>
      <c r="BJ103" s="20"/>
      <c r="BL103" s="11">
        <v>46122</v>
      </c>
      <c r="BM103" s="33" t="s">
        <v>5</v>
      </c>
      <c r="BN103" s="114"/>
      <c r="BO103" s="115"/>
      <c r="BP103" s="115"/>
      <c r="BQ103" s="116"/>
      <c r="BS103" s="11">
        <v>46122</v>
      </c>
      <c r="BT103" s="33" t="s">
        <v>5</v>
      </c>
      <c r="BU103" s="114"/>
      <c r="BV103" s="115"/>
      <c r="BW103" s="115"/>
      <c r="BX103" s="116"/>
      <c r="BZ103" s="11">
        <v>46121</v>
      </c>
      <c r="CA103" s="33" t="s">
        <v>4</v>
      </c>
      <c r="CB103" s="114"/>
      <c r="CC103" s="115"/>
      <c r="CD103" s="115"/>
      <c r="CE103" s="116"/>
      <c r="CG103" s="11">
        <v>46122</v>
      </c>
      <c r="CH103" s="33" t="s">
        <v>5</v>
      </c>
      <c r="CI103" s="114"/>
      <c r="CJ103" s="115"/>
      <c r="CK103" s="115"/>
      <c r="CL103" s="116"/>
      <c r="CN103" s="11">
        <v>46122</v>
      </c>
      <c r="CO103" s="33" t="s">
        <v>5</v>
      </c>
      <c r="CP103" s="114"/>
      <c r="CQ103" s="115"/>
      <c r="CR103" s="115"/>
      <c r="CS103" s="116"/>
      <c r="CU103" s="11">
        <v>46122</v>
      </c>
      <c r="CV103" s="33" t="s">
        <v>5</v>
      </c>
      <c r="CW103" s="114"/>
      <c r="CX103" s="115"/>
      <c r="CY103" s="115"/>
      <c r="CZ103" s="116"/>
      <c r="DB103" s="11">
        <v>46120</v>
      </c>
      <c r="DC103" s="33" t="s">
        <v>3</v>
      </c>
      <c r="DD103" s="114"/>
      <c r="DE103" s="115"/>
      <c r="DF103" s="115"/>
      <c r="DG103" s="116"/>
      <c r="DI103" s="11">
        <v>46122</v>
      </c>
      <c r="DJ103" s="33" t="s">
        <v>5</v>
      </c>
      <c r="DK103" s="114"/>
      <c r="DL103" s="115"/>
      <c r="DM103" s="115"/>
      <c r="DN103" s="116"/>
      <c r="DP103" s="11">
        <v>46120</v>
      </c>
      <c r="DQ103" s="33" t="s">
        <v>3</v>
      </c>
      <c r="DR103" s="114"/>
      <c r="DS103" s="115"/>
      <c r="DT103" s="115"/>
      <c r="DU103" s="116"/>
      <c r="DW103" s="11">
        <v>46122</v>
      </c>
      <c r="DX103" s="33" t="s">
        <v>5</v>
      </c>
      <c r="DY103" s="114"/>
      <c r="DZ103" s="115"/>
      <c r="EA103" s="115"/>
      <c r="EB103" s="116"/>
    </row>
    <row r="104" spans="1:132" x14ac:dyDescent="0.25">
      <c r="A104" s="11">
        <v>46123</v>
      </c>
      <c r="B104" s="33" t="s">
        <v>6</v>
      </c>
      <c r="C104" s="114"/>
      <c r="D104" s="115"/>
      <c r="E104" s="115"/>
      <c r="F104" s="116"/>
      <c r="H104" s="11">
        <v>46123</v>
      </c>
      <c r="I104" s="33" t="s">
        <v>6</v>
      </c>
      <c r="J104" s="114"/>
      <c r="K104" s="115"/>
      <c r="L104" s="115"/>
      <c r="M104" s="116"/>
      <c r="O104" s="11">
        <v>46123</v>
      </c>
      <c r="P104" s="33" t="s">
        <v>6</v>
      </c>
      <c r="Q104" s="114"/>
      <c r="R104" s="115"/>
      <c r="S104" s="115"/>
      <c r="T104" s="116"/>
      <c r="V104" s="11">
        <v>46122</v>
      </c>
      <c r="W104" s="33" t="s">
        <v>5</v>
      </c>
      <c r="X104" s="114"/>
      <c r="Y104" s="115"/>
      <c r="Z104" s="115"/>
      <c r="AA104" s="116"/>
      <c r="AC104" s="11">
        <v>46123</v>
      </c>
      <c r="AD104" s="33" t="s">
        <v>6</v>
      </c>
      <c r="AE104" s="114"/>
      <c r="AF104" s="115"/>
      <c r="AG104" s="115"/>
      <c r="AH104" s="116"/>
      <c r="AJ104" s="11">
        <v>46123</v>
      </c>
      <c r="AK104" s="33" t="s">
        <v>6</v>
      </c>
      <c r="AL104" s="114"/>
      <c r="AM104" s="115"/>
      <c r="AN104" s="115"/>
      <c r="AO104" s="116"/>
      <c r="AQ104" s="11">
        <v>46123</v>
      </c>
      <c r="AR104" s="33" t="s">
        <v>6</v>
      </c>
      <c r="AS104" s="114"/>
      <c r="AT104" s="115"/>
      <c r="AU104" s="115"/>
      <c r="AV104" s="116"/>
      <c r="AX104" s="11">
        <v>46122</v>
      </c>
      <c r="AY104" s="33" t="s">
        <v>5</v>
      </c>
      <c r="AZ104" s="114"/>
      <c r="BA104" s="115"/>
      <c r="BB104" s="115"/>
      <c r="BC104" s="116"/>
      <c r="BE104" s="11">
        <v>46123</v>
      </c>
      <c r="BF104" s="33" t="s">
        <v>6</v>
      </c>
      <c r="BG104" s="33"/>
      <c r="BH104" s="19"/>
      <c r="BI104" s="19"/>
      <c r="BJ104" s="20"/>
      <c r="BL104" s="11">
        <v>46123</v>
      </c>
      <c r="BM104" s="33" t="s">
        <v>6</v>
      </c>
      <c r="BN104" s="114"/>
      <c r="BO104" s="115"/>
      <c r="BP104" s="115"/>
      <c r="BQ104" s="116"/>
      <c r="BS104" s="11">
        <v>46123</v>
      </c>
      <c r="BT104" s="33" t="s">
        <v>6</v>
      </c>
      <c r="BU104" s="114"/>
      <c r="BV104" s="115"/>
      <c r="BW104" s="115"/>
      <c r="BX104" s="116"/>
      <c r="BZ104" s="11">
        <v>46122</v>
      </c>
      <c r="CA104" s="33" t="s">
        <v>5</v>
      </c>
      <c r="CB104" s="114"/>
      <c r="CC104" s="115"/>
      <c r="CD104" s="115"/>
      <c r="CE104" s="116"/>
      <c r="CG104" s="11">
        <v>46123</v>
      </c>
      <c r="CH104" s="33" t="s">
        <v>6</v>
      </c>
      <c r="CI104" s="114"/>
      <c r="CJ104" s="115"/>
      <c r="CK104" s="115"/>
      <c r="CL104" s="116"/>
      <c r="CN104" s="11">
        <v>46123</v>
      </c>
      <c r="CO104" s="33" t="s">
        <v>6</v>
      </c>
      <c r="CP104" s="114"/>
      <c r="CQ104" s="115"/>
      <c r="CR104" s="115"/>
      <c r="CS104" s="116"/>
      <c r="CU104" s="11">
        <v>46123</v>
      </c>
      <c r="CV104" s="33" t="s">
        <v>6</v>
      </c>
      <c r="CW104" s="114"/>
      <c r="CX104" s="115"/>
      <c r="CY104" s="115"/>
      <c r="CZ104" s="116"/>
      <c r="DB104" s="11">
        <v>46121</v>
      </c>
      <c r="DC104" s="33" t="s">
        <v>4</v>
      </c>
      <c r="DD104" s="114"/>
      <c r="DE104" s="115"/>
      <c r="DF104" s="115"/>
      <c r="DG104" s="116"/>
      <c r="DI104" s="11">
        <v>46123</v>
      </c>
      <c r="DJ104" s="33" t="s">
        <v>6</v>
      </c>
      <c r="DK104" s="114"/>
      <c r="DL104" s="115"/>
      <c r="DM104" s="115"/>
      <c r="DN104" s="116"/>
      <c r="DP104" s="11">
        <v>46121</v>
      </c>
      <c r="DQ104" s="33" t="s">
        <v>4</v>
      </c>
      <c r="DR104" s="114"/>
      <c r="DS104" s="115"/>
      <c r="DT104" s="115"/>
      <c r="DU104" s="116"/>
      <c r="DW104" s="11">
        <v>46123</v>
      </c>
      <c r="DX104" s="33" t="s">
        <v>6</v>
      </c>
      <c r="DY104" s="114"/>
      <c r="DZ104" s="115"/>
      <c r="EA104" s="115"/>
      <c r="EB104" s="116"/>
    </row>
    <row r="105" spans="1:132" x14ac:dyDescent="0.25">
      <c r="A105" s="11">
        <v>46124</v>
      </c>
      <c r="B105" s="33" t="s">
        <v>7</v>
      </c>
      <c r="C105" s="114"/>
      <c r="D105" s="115"/>
      <c r="E105" s="115"/>
      <c r="F105" s="116"/>
      <c r="H105" s="11">
        <v>46124</v>
      </c>
      <c r="I105" s="33" t="s">
        <v>7</v>
      </c>
      <c r="J105" s="114"/>
      <c r="K105" s="115"/>
      <c r="L105" s="115"/>
      <c r="M105" s="116"/>
      <c r="O105" s="11">
        <v>46124</v>
      </c>
      <c r="P105" s="33" t="s">
        <v>7</v>
      </c>
      <c r="Q105" s="114"/>
      <c r="R105" s="115"/>
      <c r="S105" s="115"/>
      <c r="T105" s="116"/>
      <c r="V105" s="11">
        <v>46123</v>
      </c>
      <c r="W105" s="33" t="s">
        <v>6</v>
      </c>
      <c r="X105" s="114"/>
      <c r="Y105" s="115"/>
      <c r="Z105" s="115"/>
      <c r="AA105" s="116"/>
      <c r="AC105" s="11">
        <v>46124</v>
      </c>
      <c r="AD105" s="33" t="s">
        <v>7</v>
      </c>
      <c r="AE105" s="114"/>
      <c r="AF105" s="115"/>
      <c r="AG105" s="115"/>
      <c r="AH105" s="116"/>
      <c r="AJ105" s="11">
        <v>46124</v>
      </c>
      <c r="AK105" s="33" t="s">
        <v>7</v>
      </c>
      <c r="AL105" s="114"/>
      <c r="AM105" s="115"/>
      <c r="AN105" s="115"/>
      <c r="AO105" s="116"/>
      <c r="AQ105" s="11">
        <v>46124</v>
      </c>
      <c r="AR105" s="33" t="s">
        <v>7</v>
      </c>
      <c r="AS105" s="114"/>
      <c r="AT105" s="115"/>
      <c r="AU105" s="115"/>
      <c r="AV105" s="116"/>
      <c r="AX105" s="11">
        <v>46123</v>
      </c>
      <c r="AY105" s="33" t="s">
        <v>6</v>
      </c>
      <c r="AZ105" s="114"/>
      <c r="BA105" s="115"/>
      <c r="BB105" s="115"/>
      <c r="BC105" s="116"/>
      <c r="BE105" s="11">
        <v>46124</v>
      </c>
      <c r="BF105" s="33" t="s">
        <v>7</v>
      </c>
      <c r="BG105" s="33"/>
      <c r="BH105" s="19"/>
      <c r="BI105" s="19"/>
      <c r="BJ105" s="20"/>
      <c r="BL105" s="11">
        <v>46124</v>
      </c>
      <c r="BM105" s="33" t="s">
        <v>7</v>
      </c>
      <c r="BN105" s="114"/>
      <c r="BO105" s="115"/>
      <c r="BP105" s="115"/>
      <c r="BQ105" s="116"/>
      <c r="BS105" s="11">
        <v>46124</v>
      </c>
      <c r="BT105" s="33" t="s">
        <v>7</v>
      </c>
      <c r="BU105" s="114"/>
      <c r="BV105" s="115"/>
      <c r="BW105" s="115"/>
      <c r="BX105" s="116"/>
      <c r="BZ105" s="11">
        <v>46123</v>
      </c>
      <c r="CA105" s="33" t="s">
        <v>6</v>
      </c>
      <c r="CB105" s="114"/>
      <c r="CC105" s="115"/>
      <c r="CD105" s="115"/>
      <c r="CE105" s="116"/>
      <c r="CG105" s="11">
        <v>46124</v>
      </c>
      <c r="CH105" s="33" t="s">
        <v>7</v>
      </c>
      <c r="CI105" s="114"/>
      <c r="CJ105" s="115"/>
      <c r="CK105" s="115"/>
      <c r="CL105" s="116"/>
      <c r="CN105" s="11">
        <v>46124</v>
      </c>
      <c r="CO105" s="33" t="s">
        <v>7</v>
      </c>
      <c r="CP105" s="114"/>
      <c r="CQ105" s="115"/>
      <c r="CR105" s="115"/>
      <c r="CS105" s="116"/>
      <c r="CU105" s="11">
        <v>46124</v>
      </c>
      <c r="CV105" s="33" t="s">
        <v>7</v>
      </c>
      <c r="CW105" s="114"/>
      <c r="CX105" s="115"/>
      <c r="CY105" s="115"/>
      <c r="CZ105" s="116"/>
      <c r="DB105" s="11">
        <v>46122</v>
      </c>
      <c r="DC105" s="33" t="s">
        <v>5</v>
      </c>
      <c r="DD105" s="114"/>
      <c r="DE105" s="115"/>
      <c r="DF105" s="115"/>
      <c r="DG105" s="116"/>
      <c r="DI105" s="11">
        <v>46124</v>
      </c>
      <c r="DJ105" s="33" t="s">
        <v>7</v>
      </c>
      <c r="DK105" s="114"/>
      <c r="DL105" s="115"/>
      <c r="DM105" s="115"/>
      <c r="DN105" s="116"/>
      <c r="DP105" s="11">
        <v>46122</v>
      </c>
      <c r="DQ105" s="33" t="s">
        <v>5</v>
      </c>
      <c r="DR105" s="114"/>
      <c r="DS105" s="115"/>
      <c r="DT105" s="115"/>
      <c r="DU105" s="116"/>
      <c r="DW105" s="11">
        <v>46124</v>
      </c>
      <c r="DX105" s="33" t="s">
        <v>7</v>
      </c>
      <c r="DY105" s="114"/>
      <c r="DZ105" s="115"/>
      <c r="EA105" s="115"/>
      <c r="EB105" s="116"/>
    </row>
    <row r="106" spans="1:132" x14ac:dyDescent="0.25">
      <c r="A106" s="11">
        <v>46125</v>
      </c>
      <c r="B106" s="33" t="s">
        <v>8</v>
      </c>
      <c r="C106" s="114"/>
      <c r="D106" s="115"/>
      <c r="E106" s="115"/>
      <c r="F106" s="116"/>
      <c r="H106" s="11">
        <v>46125</v>
      </c>
      <c r="I106" s="33" t="s">
        <v>8</v>
      </c>
      <c r="J106" s="114"/>
      <c r="K106" s="115"/>
      <c r="L106" s="115"/>
      <c r="M106" s="116"/>
      <c r="O106" s="11">
        <v>46125</v>
      </c>
      <c r="P106" s="33" t="s">
        <v>8</v>
      </c>
      <c r="Q106" s="114"/>
      <c r="R106" s="115"/>
      <c r="S106" s="115"/>
      <c r="T106" s="116"/>
      <c r="V106" s="11">
        <v>46124</v>
      </c>
      <c r="W106" s="33" t="s">
        <v>7</v>
      </c>
      <c r="X106" s="114"/>
      <c r="Y106" s="115"/>
      <c r="Z106" s="115"/>
      <c r="AA106" s="116"/>
      <c r="AC106" s="11">
        <v>46125</v>
      </c>
      <c r="AD106" s="33" t="s">
        <v>8</v>
      </c>
      <c r="AE106" s="114"/>
      <c r="AF106" s="115"/>
      <c r="AG106" s="115"/>
      <c r="AH106" s="116"/>
      <c r="AJ106" s="11">
        <v>46125</v>
      </c>
      <c r="AK106" s="33" t="s">
        <v>8</v>
      </c>
      <c r="AL106" s="114"/>
      <c r="AM106" s="115"/>
      <c r="AN106" s="115"/>
      <c r="AO106" s="116"/>
      <c r="AQ106" s="11">
        <v>46125</v>
      </c>
      <c r="AR106" s="33" t="s">
        <v>8</v>
      </c>
      <c r="AS106" s="114"/>
      <c r="AT106" s="115"/>
      <c r="AU106" s="115"/>
      <c r="AV106" s="116"/>
      <c r="AX106" s="11">
        <v>46124</v>
      </c>
      <c r="AY106" s="33" t="s">
        <v>7</v>
      </c>
      <c r="AZ106" s="114"/>
      <c r="BA106" s="115"/>
      <c r="BB106" s="115"/>
      <c r="BC106" s="116"/>
      <c r="BE106" s="11">
        <v>46125</v>
      </c>
      <c r="BF106" s="33" t="s">
        <v>8</v>
      </c>
      <c r="BG106" s="33"/>
      <c r="BH106" s="19"/>
      <c r="BI106" s="19"/>
      <c r="BJ106" s="20"/>
      <c r="BL106" s="11">
        <v>46125</v>
      </c>
      <c r="BM106" s="33" t="s">
        <v>8</v>
      </c>
      <c r="BN106" s="114"/>
      <c r="BO106" s="115"/>
      <c r="BP106" s="115"/>
      <c r="BQ106" s="116"/>
      <c r="BS106" s="11">
        <v>46125</v>
      </c>
      <c r="BT106" s="33" t="s">
        <v>8</v>
      </c>
      <c r="BU106" s="114"/>
      <c r="BV106" s="115"/>
      <c r="BW106" s="115"/>
      <c r="BX106" s="116"/>
      <c r="BZ106" s="11">
        <v>46124</v>
      </c>
      <c r="CA106" s="33" t="s">
        <v>7</v>
      </c>
      <c r="CB106" s="114"/>
      <c r="CC106" s="115"/>
      <c r="CD106" s="115"/>
      <c r="CE106" s="116"/>
      <c r="CG106" s="11">
        <v>46125</v>
      </c>
      <c r="CH106" s="33" t="s">
        <v>8</v>
      </c>
      <c r="CI106" s="114"/>
      <c r="CJ106" s="115"/>
      <c r="CK106" s="115"/>
      <c r="CL106" s="116"/>
      <c r="CN106" s="11">
        <v>46125</v>
      </c>
      <c r="CO106" s="33" t="s">
        <v>8</v>
      </c>
      <c r="CP106" s="114"/>
      <c r="CQ106" s="115"/>
      <c r="CR106" s="115"/>
      <c r="CS106" s="116"/>
      <c r="CU106" s="11">
        <v>46125</v>
      </c>
      <c r="CV106" s="33" t="s">
        <v>8</v>
      </c>
      <c r="CW106" s="114"/>
      <c r="CX106" s="115"/>
      <c r="CY106" s="115"/>
      <c r="CZ106" s="116"/>
      <c r="DB106" s="11">
        <v>46123</v>
      </c>
      <c r="DC106" s="33" t="s">
        <v>6</v>
      </c>
      <c r="DD106" s="114"/>
      <c r="DE106" s="115"/>
      <c r="DF106" s="115"/>
      <c r="DG106" s="116"/>
      <c r="DI106" s="11">
        <v>46125</v>
      </c>
      <c r="DJ106" s="33" t="s">
        <v>8</v>
      </c>
      <c r="DK106" s="114"/>
      <c r="DL106" s="115"/>
      <c r="DM106" s="115"/>
      <c r="DN106" s="116"/>
      <c r="DP106" s="11">
        <v>46123</v>
      </c>
      <c r="DQ106" s="33" t="s">
        <v>6</v>
      </c>
      <c r="DR106" s="114"/>
      <c r="DS106" s="115"/>
      <c r="DT106" s="115"/>
      <c r="DU106" s="116"/>
      <c r="DW106" s="11">
        <v>46125</v>
      </c>
      <c r="DX106" s="33" t="s">
        <v>8</v>
      </c>
      <c r="DY106" s="114"/>
      <c r="DZ106" s="115"/>
      <c r="EA106" s="115"/>
      <c r="EB106" s="116"/>
    </row>
    <row r="107" spans="1:132" x14ac:dyDescent="0.25">
      <c r="A107" s="11">
        <v>46126</v>
      </c>
      <c r="B107" s="33" t="s">
        <v>9</v>
      </c>
      <c r="C107" s="114"/>
      <c r="D107" s="115"/>
      <c r="E107" s="115"/>
      <c r="F107" s="116"/>
      <c r="H107" s="11">
        <v>46126</v>
      </c>
      <c r="I107" s="33" t="s">
        <v>9</v>
      </c>
      <c r="J107" s="114"/>
      <c r="K107" s="115"/>
      <c r="L107" s="115"/>
      <c r="M107" s="116"/>
      <c r="O107" s="11">
        <v>46126</v>
      </c>
      <c r="P107" s="33" t="s">
        <v>9</v>
      </c>
      <c r="Q107" s="114"/>
      <c r="R107" s="115"/>
      <c r="S107" s="115"/>
      <c r="T107" s="116"/>
      <c r="V107" s="11">
        <v>46125</v>
      </c>
      <c r="W107" s="33" t="s">
        <v>8</v>
      </c>
      <c r="X107" s="114"/>
      <c r="Y107" s="115"/>
      <c r="Z107" s="115"/>
      <c r="AA107" s="116"/>
      <c r="AC107" s="11">
        <v>46126</v>
      </c>
      <c r="AD107" s="33" t="s">
        <v>9</v>
      </c>
      <c r="AE107" s="114"/>
      <c r="AF107" s="115"/>
      <c r="AG107" s="115"/>
      <c r="AH107" s="116"/>
      <c r="AJ107" s="11">
        <v>46126</v>
      </c>
      <c r="AK107" s="33" t="s">
        <v>9</v>
      </c>
      <c r="AL107" s="114"/>
      <c r="AM107" s="115"/>
      <c r="AN107" s="115"/>
      <c r="AO107" s="116"/>
      <c r="AQ107" s="11">
        <v>46126</v>
      </c>
      <c r="AR107" s="33" t="s">
        <v>9</v>
      </c>
      <c r="AS107" s="114"/>
      <c r="AT107" s="115"/>
      <c r="AU107" s="115"/>
      <c r="AV107" s="116"/>
      <c r="AX107" s="11">
        <v>46125</v>
      </c>
      <c r="AY107" s="33" t="s">
        <v>8</v>
      </c>
      <c r="AZ107" s="114"/>
      <c r="BA107" s="115"/>
      <c r="BB107" s="115"/>
      <c r="BC107" s="116"/>
      <c r="BE107" s="11">
        <v>46126</v>
      </c>
      <c r="BF107" s="33" t="s">
        <v>9</v>
      </c>
      <c r="BG107" s="33"/>
      <c r="BH107" s="19"/>
      <c r="BI107" s="19"/>
      <c r="BJ107" s="20"/>
      <c r="BL107" s="11">
        <v>46126</v>
      </c>
      <c r="BM107" s="33" t="s">
        <v>9</v>
      </c>
      <c r="BN107" s="114"/>
      <c r="BO107" s="115"/>
      <c r="BP107" s="115"/>
      <c r="BQ107" s="116"/>
      <c r="BS107" s="11">
        <v>46126</v>
      </c>
      <c r="BT107" s="33" t="s">
        <v>9</v>
      </c>
      <c r="BU107" s="114"/>
      <c r="BV107" s="115"/>
      <c r="BW107" s="115"/>
      <c r="BX107" s="116"/>
      <c r="BZ107" s="11">
        <v>46125</v>
      </c>
      <c r="CA107" s="33" t="s">
        <v>8</v>
      </c>
      <c r="CB107" s="114"/>
      <c r="CC107" s="115"/>
      <c r="CD107" s="115"/>
      <c r="CE107" s="116"/>
      <c r="CG107" s="11">
        <v>46126</v>
      </c>
      <c r="CH107" s="33" t="s">
        <v>9</v>
      </c>
      <c r="CI107" s="114"/>
      <c r="CJ107" s="115"/>
      <c r="CK107" s="115"/>
      <c r="CL107" s="116"/>
      <c r="CN107" s="11">
        <v>46126</v>
      </c>
      <c r="CO107" s="33" t="s">
        <v>9</v>
      </c>
      <c r="CP107" s="114"/>
      <c r="CQ107" s="115"/>
      <c r="CR107" s="115"/>
      <c r="CS107" s="116"/>
      <c r="CU107" s="11">
        <v>46126</v>
      </c>
      <c r="CV107" s="33" t="s">
        <v>9</v>
      </c>
      <c r="CW107" s="114"/>
      <c r="CX107" s="115"/>
      <c r="CY107" s="115"/>
      <c r="CZ107" s="116"/>
      <c r="DB107" s="11">
        <v>46124</v>
      </c>
      <c r="DC107" s="33" t="s">
        <v>7</v>
      </c>
      <c r="DD107" s="114"/>
      <c r="DE107" s="115"/>
      <c r="DF107" s="115"/>
      <c r="DG107" s="116"/>
      <c r="DI107" s="11">
        <v>46126</v>
      </c>
      <c r="DJ107" s="33" t="s">
        <v>9</v>
      </c>
      <c r="DK107" s="114"/>
      <c r="DL107" s="115"/>
      <c r="DM107" s="115"/>
      <c r="DN107" s="116"/>
      <c r="DP107" s="11">
        <v>46124</v>
      </c>
      <c r="DQ107" s="33" t="s">
        <v>7</v>
      </c>
      <c r="DR107" s="114"/>
      <c r="DS107" s="115"/>
      <c r="DT107" s="115"/>
      <c r="DU107" s="116"/>
      <c r="DW107" s="11">
        <v>46126</v>
      </c>
      <c r="DX107" s="33" t="s">
        <v>9</v>
      </c>
      <c r="DY107" s="114"/>
      <c r="DZ107" s="115"/>
      <c r="EA107" s="115"/>
      <c r="EB107" s="116"/>
    </row>
    <row r="108" spans="1:132" x14ac:dyDescent="0.25">
      <c r="A108" s="11">
        <v>46127</v>
      </c>
      <c r="B108" s="33" t="s">
        <v>3</v>
      </c>
      <c r="C108" s="114"/>
      <c r="D108" s="115"/>
      <c r="E108" s="115"/>
      <c r="F108" s="116"/>
      <c r="H108" s="11">
        <v>46127</v>
      </c>
      <c r="I108" s="33" t="s">
        <v>3</v>
      </c>
      <c r="J108" s="114"/>
      <c r="K108" s="115"/>
      <c r="L108" s="115"/>
      <c r="M108" s="116"/>
      <c r="O108" s="11">
        <v>46127</v>
      </c>
      <c r="P108" s="33" t="s">
        <v>3</v>
      </c>
      <c r="Q108" s="114"/>
      <c r="R108" s="115"/>
      <c r="S108" s="115"/>
      <c r="T108" s="116"/>
      <c r="V108" s="11">
        <v>46126</v>
      </c>
      <c r="W108" s="33" t="s">
        <v>9</v>
      </c>
      <c r="X108" s="114"/>
      <c r="Y108" s="115"/>
      <c r="Z108" s="115"/>
      <c r="AA108" s="116"/>
      <c r="AC108" s="11">
        <v>46127</v>
      </c>
      <c r="AD108" s="33" t="s">
        <v>3</v>
      </c>
      <c r="AE108" s="114"/>
      <c r="AF108" s="115"/>
      <c r="AG108" s="115"/>
      <c r="AH108" s="116"/>
      <c r="AJ108" s="11">
        <v>46127</v>
      </c>
      <c r="AK108" s="33" t="s">
        <v>3</v>
      </c>
      <c r="AL108" s="114"/>
      <c r="AM108" s="115"/>
      <c r="AN108" s="115"/>
      <c r="AO108" s="116"/>
      <c r="AQ108" s="11">
        <v>46127</v>
      </c>
      <c r="AR108" s="33" t="s">
        <v>3</v>
      </c>
      <c r="AS108" s="114"/>
      <c r="AT108" s="115"/>
      <c r="AU108" s="115"/>
      <c r="AV108" s="116"/>
      <c r="AX108" s="11">
        <v>46126</v>
      </c>
      <c r="AY108" s="33" t="s">
        <v>9</v>
      </c>
      <c r="AZ108" s="114"/>
      <c r="BA108" s="115"/>
      <c r="BB108" s="115"/>
      <c r="BC108" s="116"/>
      <c r="BE108" s="11">
        <v>46127</v>
      </c>
      <c r="BF108" s="33" t="s">
        <v>3</v>
      </c>
      <c r="BG108" s="33"/>
      <c r="BH108" s="19"/>
      <c r="BI108" s="19"/>
      <c r="BJ108" s="20"/>
      <c r="BL108" s="11">
        <v>46127</v>
      </c>
      <c r="BM108" s="33" t="s">
        <v>3</v>
      </c>
      <c r="BN108" s="114"/>
      <c r="BO108" s="115"/>
      <c r="BP108" s="115"/>
      <c r="BQ108" s="116"/>
      <c r="BS108" s="11">
        <v>46127</v>
      </c>
      <c r="BT108" s="33" t="s">
        <v>3</v>
      </c>
      <c r="BU108" s="114"/>
      <c r="BV108" s="115"/>
      <c r="BW108" s="115"/>
      <c r="BX108" s="116"/>
      <c r="BZ108" s="11">
        <v>46126</v>
      </c>
      <c r="CA108" s="33" t="s">
        <v>9</v>
      </c>
      <c r="CB108" s="114"/>
      <c r="CC108" s="115"/>
      <c r="CD108" s="115"/>
      <c r="CE108" s="116"/>
      <c r="CG108" s="11">
        <v>46127</v>
      </c>
      <c r="CH108" s="33" t="s">
        <v>3</v>
      </c>
      <c r="CI108" s="114"/>
      <c r="CJ108" s="115"/>
      <c r="CK108" s="115"/>
      <c r="CL108" s="116"/>
      <c r="CN108" s="11">
        <v>46127</v>
      </c>
      <c r="CO108" s="33" t="s">
        <v>3</v>
      </c>
      <c r="CP108" s="114"/>
      <c r="CQ108" s="115"/>
      <c r="CR108" s="115"/>
      <c r="CS108" s="116"/>
      <c r="CU108" s="11">
        <v>46127</v>
      </c>
      <c r="CV108" s="33" t="s">
        <v>3</v>
      </c>
      <c r="CW108" s="114"/>
      <c r="CX108" s="115"/>
      <c r="CY108" s="115"/>
      <c r="CZ108" s="116"/>
      <c r="DB108" s="11">
        <v>46125</v>
      </c>
      <c r="DC108" s="33" t="s">
        <v>8</v>
      </c>
      <c r="DD108" s="114"/>
      <c r="DE108" s="115"/>
      <c r="DF108" s="115"/>
      <c r="DG108" s="116"/>
      <c r="DI108" s="11">
        <v>46127</v>
      </c>
      <c r="DJ108" s="33" t="s">
        <v>3</v>
      </c>
      <c r="DK108" s="114"/>
      <c r="DL108" s="115"/>
      <c r="DM108" s="115"/>
      <c r="DN108" s="116"/>
      <c r="DP108" s="11">
        <v>46125</v>
      </c>
      <c r="DQ108" s="33" t="s">
        <v>8</v>
      </c>
      <c r="DR108" s="114"/>
      <c r="DS108" s="115"/>
      <c r="DT108" s="115"/>
      <c r="DU108" s="116"/>
      <c r="DW108" s="11">
        <v>46127</v>
      </c>
      <c r="DX108" s="33" t="s">
        <v>3</v>
      </c>
      <c r="DY108" s="114"/>
      <c r="DZ108" s="115"/>
      <c r="EA108" s="115"/>
      <c r="EB108" s="116"/>
    </row>
    <row r="109" spans="1:132" x14ac:dyDescent="0.25">
      <c r="A109" s="11">
        <v>46128</v>
      </c>
      <c r="B109" s="33" t="s">
        <v>4</v>
      </c>
      <c r="C109" s="114"/>
      <c r="D109" s="115"/>
      <c r="E109" s="115"/>
      <c r="F109" s="116"/>
      <c r="H109" s="11">
        <v>46128</v>
      </c>
      <c r="I109" s="33" t="s">
        <v>4</v>
      </c>
      <c r="J109" s="114"/>
      <c r="K109" s="115"/>
      <c r="L109" s="115"/>
      <c r="M109" s="116"/>
      <c r="O109" s="11">
        <v>46128</v>
      </c>
      <c r="P109" s="33" t="s">
        <v>4</v>
      </c>
      <c r="Q109" s="114"/>
      <c r="R109" s="115"/>
      <c r="S109" s="115"/>
      <c r="T109" s="116"/>
      <c r="V109" s="11">
        <v>46127</v>
      </c>
      <c r="W109" s="33" t="s">
        <v>3</v>
      </c>
      <c r="X109" s="114"/>
      <c r="Y109" s="115"/>
      <c r="Z109" s="115"/>
      <c r="AA109" s="116"/>
      <c r="AC109" s="11">
        <v>46128</v>
      </c>
      <c r="AD109" s="33" t="s">
        <v>4</v>
      </c>
      <c r="AE109" s="114"/>
      <c r="AF109" s="115"/>
      <c r="AG109" s="115"/>
      <c r="AH109" s="116"/>
      <c r="AJ109" s="11">
        <v>46128</v>
      </c>
      <c r="AK109" s="33" t="s">
        <v>4</v>
      </c>
      <c r="AL109" s="114"/>
      <c r="AM109" s="115"/>
      <c r="AN109" s="115"/>
      <c r="AO109" s="116"/>
      <c r="AQ109" s="11">
        <v>46128</v>
      </c>
      <c r="AR109" s="33" t="s">
        <v>4</v>
      </c>
      <c r="AS109" s="114"/>
      <c r="AT109" s="115"/>
      <c r="AU109" s="115"/>
      <c r="AV109" s="116"/>
      <c r="AX109" s="11">
        <v>46127</v>
      </c>
      <c r="AY109" s="33" t="s">
        <v>3</v>
      </c>
      <c r="AZ109" s="114"/>
      <c r="BA109" s="115"/>
      <c r="BB109" s="115"/>
      <c r="BC109" s="116"/>
      <c r="BE109" s="11">
        <v>46128</v>
      </c>
      <c r="BF109" s="33" t="s">
        <v>4</v>
      </c>
      <c r="BG109" s="33"/>
      <c r="BH109" s="19"/>
      <c r="BI109" s="19"/>
      <c r="BJ109" s="20"/>
      <c r="BL109" s="11">
        <v>46128</v>
      </c>
      <c r="BM109" s="33" t="s">
        <v>4</v>
      </c>
      <c r="BN109" s="114"/>
      <c r="BO109" s="115"/>
      <c r="BP109" s="115"/>
      <c r="BQ109" s="116"/>
      <c r="BS109" s="11">
        <v>46128</v>
      </c>
      <c r="BT109" s="33" t="s">
        <v>4</v>
      </c>
      <c r="BU109" s="114"/>
      <c r="BV109" s="115"/>
      <c r="BW109" s="115"/>
      <c r="BX109" s="116"/>
      <c r="BZ109" s="11">
        <v>46127</v>
      </c>
      <c r="CA109" s="33" t="s">
        <v>3</v>
      </c>
      <c r="CB109" s="114"/>
      <c r="CC109" s="115"/>
      <c r="CD109" s="115"/>
      <c r="CE109" s="116"/>
      <c r="CG109" s="11">
        <v>46128</v>
      </c>
      <c r="CH109" s="33" t="s">
        <v>4</v>
      </c>
      <c r="CI109" s="114"/>
      <c r="CJ109" s="115"/>
      <c r="CK109" s="115"/>
      <c r="CL109" s="116"/>
      <c r="CN109" s="11">
        <v>46128</v>
      </c>
      <c r="CO109" s="33" t="s">
        <v>4</v>
      </c>
      <c r="CP109" s="114"/>
      <c r="CQ109" s="115"/>
      <c r="CR109" s="115"/>
      <c r="CS109" s="116"/>
      <c r="CU109" s="11">
        <v>46128</v>
      </c>
      <c r="CV109" s="33" t="s">
        <v>4</v>
      </c>
      <c r="CW109" s="114"/>
      <c r="CX109" s="115"/>
      <c r="CY109" s="115"/>
      <c r="CZ109" s="116"/>
      <c r="DB109" s="11">
        <v>46126</v>
      </c>
      <c r="DC109" s="33" t="s">
        <v>9</v>
      </c>
      <c r="DD109" s="114"/>
      <c r="DE109" s="115"/>
      <c r="DF109" s="115"/>
      <c r="DG109" s="116"/>
      <c r="DI109" s="11">
        <v>46128</v>
      </c>
      <c r="DJ109" s="33" t="s">
        <v>4</v>
      </c>
      <c r="DK109" s="114"/>
      <c r="DL109" s="115"/>
      <c r="DM109" s="115"/>
      <c r="DN109" s="116"/>
      <c r="DP109" s="11">
        <v>46126</v>
      </c>
      <c r="DQ109" s="33" t="s">
        <v>9</v>
      </c>
      <c r="DR109" s="114"/>
      <c r="DS109" s="115"/>
      <c r="DT109" s="115"/>
      <c r="DU109" s="116"/>
      <c r="DW109" s="11">
        <v>46128</v>
      </c>
      <c r="DX109" s="33" t="s">
        <v>4</v>
      </c>
      <c r="DY109" s="114"/>
      <c r="DZ109" s="115"/>
      <c r="EA109" s="115"/>
      <c r="EB109" s="116"/>
    </row>
    <row r="110" spans="1:132" x14ac:dyDescent="0.25">
      <c r="A110" s="11">
        <v>46129</v>
      </c>
      <c r="B110" s="33" t="s">
        <v>5</v>
      </c>
      <c r="C110" s="114"/>
      <c r="D110" s="115"/>
      <c r="E110" s="115"/>
      <c r="F110" s="116"/>
      <c r="H110" s="11">
        <v>46129</v>
      </c>
      <c r="I110" s="33" t="s">
        <v>5</v>
      </c>
      <c r="J110" s="114"/>
      <c r="K110" s="115"/>
      <c r="L110" s="115"/>
      <c r="M110" s="116"/>
      <c r="O110" s="11">
        <v>46129</v>
      </c>
      <c r="P110" s="33" t="s">
        <v>5</v>
      </c>
      <c r="Q110" s="114"/>
      <c r="R110" s="115"/>
      <c r="S110" s="115"/>
      <c r="T110" s="116"/>
      <c r="V110" s="11">
        <v>46128</v>
      </c>
      <c r="W110" s="33" t="s">
        <v>4</v>
      </c>
      <c r="X110" s="114"/>
      <c r="Y110" s="115"/>
      <c r="Z110" s="115"/>
      <c r="AA110" s="116"/>
      <c r="AC110" s="11">
        <v>46129</v>
      </c>
      <c r="AD110" s="33" t="s">
        <v>5</v>
      </c>
      <c r="AE110" s="114"/>
      <c r="AF110" s="115"/>
      <c r="AG110" s="115"/>
      <c r="AH110" s="116"/>
      <c r="AJ110" s="11">
        <v>46129</v>
      </c>
      <c r="AK110" s="33" t="s">
        <v>5</v>
      </c>
      <c r="AL110" s="114"/>
      <c r="AM110" s="115"/>
      <c r="AN110" s="115"/>
      <c r="AO110" s="116"/>
      <c r="AQ110" s="11">
        <v>46129</v>
      </c>
      <c r="AR110" s="33" t="s">
        <v>5</v>
      </c>
      <c r="AS110" s="114"/>
      <c r="AT110" s="115"/>
      <c r="AU110" s="115"/>
      <c r="AV110" s="116"/>
      <c r="AX110" s="11">
        <v>46128</v>
      </c>
      <c r="AY110" s="33" t="s">
        <v>4</v>
      </c>
      <c r="AZ110" s="114"/>
      <c r="BA110" s="115"/>
      <c r="BB110" s="115"/>
      <c r="BC110" s="116"/>
      <c r="BE110" s="11">
        <v>46129</v>
      </c>
      <c r="BF110" s="33" t="s">
        <v>5</v>
      </c>
      <c r="BG110" s="33"/>
      <c r="BH110" s="19"/>
      <c r="BI110" s="19"/>
      <c r="BJ110" s="20"/>
      <c r="BL110" s="11">
        <v>46129</v>
      </c>
      <c r="BM110" s="33" t="s">
        <v>5</v>
      </c>
      <c r="BN110" s="114"/>
      <c r="BO110" s="115"/>
      <c r="BP110" s="115"/>
      <c r="BQ110" s="116"/>
      <c r="BS110" s="11">
        <v>46129</v>
      </c>
      <c r="BT110" s="33" t="s">
        <v>5</v>
      </c>
      <c r="BU110" s="114"/>
      <c r="BV110" s="115"/>
      <c r="BW110" s="115"/>
      <c r="BX110" s="116"/>
      <c r="BZ110" s="11">
        <v>46128</v>
      </c>
      <c r="CA110" s="33" t="s">
        <v>4</v>
      </c>
      <c r="CB110" s="114"/>
      <c r="CC110" s="115"/>
      <c r="CD110" s="115"/>
      <c r="CE110" s="116"/>
      <c r="CG110" s="11">
        <v>46129</v>
      </c>
      <c r="CH110" s="33" t="s">
        <v>5</v>
      </c>
      <c r="CI110" s="114"/>
      <c r="CJ110" s="115"/>
      <c r="CK110" s="115"/>
      <c r="CL110" s="116"/>
      <c r="CN110" s="11">
        <v>46129</v>
      </c>
      <c r="CO110" s="33" t="s">
        <v>5</v>
      </c>
      <c r="CP110" s="114"/>
      <c r="CQ110" s="115"/>
      <c r="CR110" s="115"/>
      <c r="CS110" s="116"/>
      <c r="CU110" s="11">
        <v>46129</v>
      </c>
      <c r="CV110" s="33" t="s">
        <v>5</v>
      </c>
      <c r="CW110" s="114"/>
      <c r="CX110" s="115"/>
      <c r="CY110" s="115"/>
      <c r="CZ110" s="116"/>
      <c r="DB110" s="11">
        <v>46127</v>
      </c>
      <c r="DC110" s="33" t="s">
        <v>3</v>
      </c>
      <c r="DD110" s="114"/>
      <c r="DE110" s="115"/>
      <c r="DF110" s="115"/>
      <c r="DG110" s="116"/>
      <c r="DI110" s="11">
        <v>46129</v>
      </c>
      <c r="DJ110" s="33" t="s">
        <v>5</v>
      </c>
      <c r="DK110" s="114"/>
      <c r="DL110" s="115"/>
      <c r="DM110" s="115"/>
      <c r="DN110" s="116"/>
      <c r="DP110" s="11">
        <v>46127</v>
      </c>
      <c r="DQ110" s="33" t="s">
        <v>3</v>
      </c>
      <c r="DR110" s="114"/>
      <c r="DS110" s="115"/>
      <c r="DT110" s="115"/>
      <c r="DU110" s="116"/>
      <c r="DW110" s="11">
        <v>46129</v>
      </c>
      <c r="DX110" s="33" t="s">
        <v>5</v>
      </c>
      <c r="DY110" s="114"/>
      <c r="DZ110" s="115"/>
      <c r="EA110" s="115"/>
      <c r="EB110" s="116"/>
    </row>
    <row r="111" spans="1:132" x14ac:dyDescent="0.25">
      <c r="A111" s="11">
        <v>46130</v>
      </c>
      <c r="B111" s="33" t="s">
        <v>6</v>
      </c>
      <c r="C111" s="114"/>
      <c r="D111" s="115"/>
      <c r="E111" s="115"/>
      <c r="F111" s="116"/>
      <c r="H111" s="11">
        <v>46130</v>
      </c>
      <c r="I111" s="33" t="s">
        <v>6</v>
      </c>
      <c r="J111" s="114"/>
      <c r="K111" s="115"/>
      <c r="L111" s="115"/>
      <c r="M111" s="116"/>
      <c r="O111" s="11">
        <v>46130</v>
      </c>
      <c r="P111" s="33" t="s">
        <v>6</v>
      </c>
      <c r="Q111" s="114"/>
      <c r="R111" s="115"/>
      <c r="S111" s="115"/>
      <c r="T111" s="116"/>
      <c r="V111" s="11">
        <v>46129</v>
      </c>
      <c r="W111" s="33" t="s">
        <v>5</v>
      </c>
      <c r="X111" s="114"/>
      <c r="Y111" s="115"/>
      <c r="Z111" s="115"/>
      <c r="AA111" s="116"/>
      <c r="AC111" s="11">
        <v>46130</v>
      </c>
      <c r="AD111" s="33" t="s">
        <v>6</v>
      </c>
      <c r="AE111" s="114"/>
      <c r="AF111" s="115"/>
      <c r="AG111" s="115"/>
      <c r="AH111" s="116"/>
      <c r="AJ111" s="11">
        <v>46130</v>
      </c>
      <c r="AK111" s="33" t="s">
        <v>6</v>
      </c>
      <c r="AL111" s="114"/>
      <c r="AM111" s="115"/>
      <c r="AN111" s="115"/>
      <c r="AO111" s="116"/>
      <c r="AQ111" s="11">
        <v>46130</v>
      </c>
      <c r="AR111" s="33" t="s">
        <v>6</v>
      </c>
      <c r="AS111" s="114"/>
      <c r="AT111" s="115"/>
      <c r="AU111" s="115"/>
      <c r="AV111" s="116"/>
      <c r="AX111" s="11">
        <v>46129</v>
      </c>
      <c r="AY111" s="33" t="s">
        <v>5</v>
      </c>
      <c r="AZ111" s="114"/>
      <c r="BA111" s="115"/>
      <c r="BB111" s="115"/>
      <c r="BC111" s="116"/>
      <c r="BE111" s="11">
        <v>46130</v>
      </c>
      <c r="BF111" s="33" t="s">
        <v>6</v>
      </c>
      <c r="BG111" s="33"/>
      <c r="BH111" s="19"/>
      <c r="BI111" s="19"/>
      <c r="BJ111" s="20"/>
      <c r="BL111" s="11">
        <v>46130</v>
      </c>
      <c r="BM111" s="33" t="s">
        <v>6</v>
      </c>
      <c r="BN111" s="114"/>
      <c r="BO111" s="115"/>
      <c r="BP111" s="115"/>
      <c r="BQ111" s="116"/>
      <c r="BS111" s="11">
        <v>46130</v>
      </c>
      <c r="BT111" s="33" t="s">
        <v>6</v>
      </c>
      <c r="BU111" s="114"/>
      <c r="BV111" s="115"/>
      <c r="BW111" s="115"/>
      <c r="BX111" s="116"/>
      <c r="BZ111" s="11">
        <v>46129</v>
      </c>
      <c r="CA111" s="33" t="s">
        <v>5</v>
      </c>
      <c r="CB111" s="114"/>
      <c r="CC111" s="115"/>
      <c r="CD111" s="115"/>
      <c r="CE111" s="116"/>
      <c r="CG111" s="11">
        <v>46130</v>
      </c>
      <c r="CH111" s="33" t="s">
        <v>6</v>
      </c>
      <c r="CI111" s="114"/>
      <c r="CJ111" s="115"/>
      <c r="CK111" s="115"/>
      <c r="CL111" s="116"/>
      <c r="CN111" s="11">
        <v>46130</v>
      </c>
      <c r="CO111" s="33" t="s">
        <v>6</v>
      </c>
      <c r="CP111" s="114"/>
      <c r="CQ111" s="115"/>
      <c r="CR111" s="115"/>
      <c r="CS111" s="116"/>
      <c r="CU111" s="11">
        <v>46130</v>
      </c>
      <c r="CV111" s="33" t="s">
        <v>6</v>
      </c>
      <c r="CW111" s="114"/>
      <c r="CX111" s="115"/>
      <c r="CY111" s="115"/>
      <c r="CZ111" s="116"/>
      <c r="DB111" s="11">
        <v>46128</v>
      </c>
      <c r="DC111" s="33" t="s">
        <v>4</v>
      </c>
      <c r="DD111" s="114"/>
      <c r="DE111" s="115"/>
      <c r="DF111" s="115"/>
      <c r="DG111" s="116"/>
      <c r="DI111" s="11">
        <v>46130</v>
      </c>
      <c r="DJ111" s="33" t="s">
        <v>6</v>
      </c>
      <c r="DK111" s="114"/>
      <c r="DL111" s="115"/>
      <c r="DM111" s="115"/>
      <c r="DN111" s="116"/>
      <c r="DP111" s="11">
        <v>46128</v>
      </c>
      <c r="DQ111" s="33" t="s">
        <v>4</v>
      </c>
      <c r="DR111" s="114"/>
      <c r="DS111" s="115"/>
      <c r="DT111" s="115"/>
      <c r="DU111" s="116"/>
      <c r="DW111" s="11">
        <v>46130</v>
      </c>
      <c r="DX111" s="33" t="s">
        <v>6</v>
      </c>
      <c r="DY111" s="114"/>
      <c r="DZ111" s="115"/>
      <c r="EA111" s="115"/>
      <c r="EB111" s="116"/>
    </row>
    <row r="112" spans="1:132" x14ac:dyDescent="0.25">
      <c r="A112" s="11">
        <v>46131</v>
      </c>
      <c r="B112" s="33" t="s">
        <v>7</v>
      </c>
      <c r="C112" s="114"/>
      <c r="D112" s="115"/>
      <c r="E112" s="115"/>
      <c r="F112" s="116"/>
      <c r="H112" s="11">
        <v>46131</v>
      </c>
      <c r="I112" s="33" t="s">
        <v>7</v>
      </c>
      <c r="J112" s="114"/>
      <c r="K112" s="115"/>
      <c r="L112" s="115"/>
      <c r="M112" s="116"/>
      <c r="O112" s="11">
        <v>46131</v>
      </c>
      <c r="P112" s="33" t="s">
        <v>7</v>
      </c>
      <c r="Q112" s="114"/>
      <c r="R112" s="115"/>
      <c r="S112" s="115"/>
      <c r="T112" s="116"/>
      <c r="V112" s="11">
        <v>46130</v>
      </c>
      <c r="W112" s="33" t="s">
        <v>6</v>
      </c>
      <c r="X112" s="114"/>
      <c r="Y112" s="115"/>
      <c r="Z112" s="115"/>
      <c r="AA112" s="116"/>
      <c r="AC112" s="11">
        <v>46131</v>
      </c>
      <c r="AD112" s="33" t="s">
        <v>7</v>
      </c>
      <c r="AE112" s="114"/>
      <c r="AF112" s="115"/>
      <c r="AG112" s="115"/>
      <c r="AH112" s="116"/>
      <c r="AJ112" s="11">
        <v>46131</v>
      </c>
      <c r="AK112" s="33" t="s">
        <v>7</v>
      </c>
      <c r="AL112" s="114"/>
      <c r="AM112" s="115"/>
      <c r="AN112" s="115"/>
      <c r="AO112" s="116"/>
      <c r="AQ112" s="11">
        <v>46131</v>
      </c>
      <c r="AR112" s="33" t="s">
        <v>7</v>
      </c>
      <c r="AS112" s="114"/>
      <c r="AT112" s="115"/>
      <c r="AU112" s="115"/>
      <c r="AV112" s="116"/>
      <c r="AX112" s="11">
        <v>46130</v>
      </c>
      <c r="AY112" s="33" t="s">
        <v>6</v>
      </c>
      <c r="AZ112" s="114"/>
      <c r="BA112" s="115"/>
      <c r="BB112" s="115"/>
      <c r="BC112" s="116"/>
      <c r="BE112" s="11">
        <v>46131</v>
      </c>
      <c r="BF112" s="33" t="s">
        <v>7</v>
      </c>
      <c r="BG112" s="33"/>
      <c r="BH112" s="19"/>
      <c r="BI112" s="19"/>
      <c r="BJ112" s="20"/>
      <c r="BL112" s="11">
        <v>46131</v>
      </c>
      <c r="BM112" s="33" t="s">
        <v>7</v>
      </c>
      <c r="BN112" s="114"/>
      <c r="BO112" s="115"/>
      <c r="BP112" s="115"/>
      <c r="BQ112" s="116"/>
      <c r="BS112" s="11">
        <v>46131</v>
      </c>
      <c r="BT112" s="33" t="s">
        <v>7</v>
      </c>
      <c r="BU112" s="114"/>
      <c r="BV112" s="115"/>
      <c r="BW112" s="115"/>
      <c r="BX112" s="116"/>
      <c r="BZ112" s="11">
        <v>46130</v>
      </c>
      <c r="CA112" s="33" t="s">
        <v>6</v>
      </c>
      <c r="CB112" s="114"/>
      <c r="CC112" s="115"/>
      <c r="CD112" s="115"/>
      <c r="CE112" s="116"/>
      <c r="CG112" s="11">
        <v>46131</v>
      </c>
      <c r="CH112" s="33" t="s">
        <v>7</v>
      </c>
      <c r="CI112" s="114"/>
      <c r="CJ112" s="115"/>
      <c r="CK112" s="115"/>
      <c r="CL112" s="116"/>
      <c r="CN112" s="11">
        <v>46131</v>
      </c>
      <c r="CO112" s="33" t="s">
        <v>7</v>
      </c>
      <c r="CP112" s="114"/>
      <c r="CQ112" s="115"/>
      <c r="CR112" s="115"/>
      <c r="CS112" s="116"/>
      <c r="CU112" s="11">
        <v>46131</v>
      </c>
      <c r="CV112" s="33" t="s">
        <v>7</v>
      </c>
      <c r="CW112" s="114"/>
      <c r="CX112" s="115"/>
      <c r="CY112" s="115"/>
      <c r="CZ112" s="116"/>
      <c r="DB112" s="11">
        <v>46129</v>
      </c>
      <c r="DC112" s="33" t="s">
        <v>5</v>
      </c>
      <c r="DD112" s="114"/>
      <c r="DE112" s="115"/>
      <c r="DF112" s="115"/>
      <c r="DG112" s="116"/>
      <c r="DI112" s="11">
        <v>46131</v>
      </c>
      <c r="DJ112" s="33" t="s">
        <v>7</v>
      </c>
      <c r="DK112" s="114"/>
      <c r="DL112" s="115"/>
      <c r="DM112" s="115"/>
      <c r="DN112" s="116"/>
      <c r="DP112" s="11">
        <v>46129</v>
      </c>
      <c r="DQ112" s="33" t="s">
        <v>5</v>
      </c>
      <c r="DR112" s="114"/>
      <c r="DS112" s="115"/>
      <c r="DT112" s="115"/>
      <c r="DU112" s="116"/>
      <c r="DW112" s="11">
        <v>46131</v>
      </c>
      <c r="DX112" s="33" t="s">
        <v>7</v>
      </c>
      <c r="DY112" s="114"/>
      <c r="DZ112" s="115"/>
      <c r="EA112" s="115"/>
      <c r="EB112" s="116"/>
    </row>
    <row r="113" spans="1:132" x14ac:dyDescent="0.25">
      <c r="A113" s="11">
        <v>46132</v>
      </c>
      <c r="B113" s="33" t="s">
        <v>8</v>
      </c>
      <c r="C113" s="114"/>
      <c r="D113" s="115"/>
      <c r="E113" s="115"/>
      <c r="F113" s="116"/>
      <c r="H113" s="11">
        <v>46132</v>
      </c>
      <c r="I113" s="33" t="s">
        <v>8</v>
      </c>
      <c r="J113" s="114"/>
      <c r="K113" s="115"/>
      <c r="L113" s="115"/>
      <c r="M113" s="116"/>
      <c r="O113" s="11">
        <v>46132</v>
      </c>
      <c r="P113" s="33" t="s">
        <v>8</v>
      </c>
      <c r="Q113" s="114"/>
      <c r="R113" s="115"/>
      <c r="S113" s="115"/>
      <c r="T113" s="116"/>
      <c r="V113" s="11">
        <v>46131</v>
      </c>
      <c r="W113" s="33" t="s">
        <v>7</v>
      </c>
      <c r="X113" s="114"/>
      <c r="Y113" s="115"/>
      <c r="Z113" s="115"/>
      <c r="AA113" s="116"/>
      <c r="AC113" s="11">
        <v>46132</v>
      </c>
      <c r="AD113" s="33" t="s">
        <v>8</v>
      </c>
      <c r="AE113" s="114"/>
      <c r="AF113" s="115"/>
      <c r="AG113" s="115"/>
      <c r="AH113" s="116"/>
      <c r="AJ113" s="11">
        <v>46132</v>
      </c>
      <c r="AK113" s="33" t="s">
        <v>8</v>
      </c>
      <c r="AL113" s="114"/>
      <c r="AM113" s="115"/>
      <c r="AN113" s="115"/>
      <c r="AO113" s="116"/>
      <c r="AQ113" s="11">
        <v>46132</v>
      </c>
      <c r="AR113" s="33" t="s">
        <v>8</v>
      </c>
      <c r="AS113" s="114"/>
      <c r="AT113" s="115"/>
      <c r="AU113" s="115"/>
      <c r="AV113" s="116"/>
      <c r="AX113" s="11">
        <v>46131</v>
      </c>
      <c r="AY113" s="33" t="s">
        <v>7</v>
      </c>
      <c r="AZ113" s="114"/>
      <c r="BA113" s="115"/>
      <c r="BB113" s="115"/>
      <c r="BC113" s="116"/>
      <c r="BE113" s="11">
        <v>46132</v>
      </c>
      <c r="BF113" s="33" t="s">
        <v>8</v>
      </c>
      <c r="BG113" s="33"/>
      <c r="BH113" s="19"/>
      <c r="BI113" s="19"/>
      <c r="BJ113" s="20"/>
      <c r="BL113" s="11">
        <v>46132</v>
      </c>
      <c r="BM113" s="33" t="s">
        <v>8</v>
      </c>
      <c r="BN113" s="114"/>
      <c r="BO113" s="115"/>
      <c r="BP113" s="115"/>
      <c r="BQ113" s="116"/>
      <c r="BS113" s="11">
        <v>46132</v>
      </c>
      <c r="BT113" s="33" t="s">
        <v>8</v>
      </c>
      <c r="BU113" s="114"/>
      <c r="BV113" s="115"/>
      <c r="BW113" s="115"/>
      <c r="BX113" s="116"/>
      <c r="BZ113" s="11">
        <v>46131</v>
      </c>
      <c r="CA113" s="33" t="s">
        <v>7</v>
      </c>
      <c r="CB113" s="114"/>
      <c r="CC113" s="115"/>
      <c r="CD113" s="115"/>
      <c r="CE113" s="116"/>
      <c r="CG113" s="11">
        <v>46132</v>
      </c>
      <c r="CH113" s="33" t="s">
        <v>8</v>
      </c>
      <c r="CI113" s="114"/>
      <c r="CJ113" s="115"/>
      <c r="CK113" s="115"/>
      <c r="CL113" s="116"/>
      <c r="CN113" s="11">
        <v>46132</v>
      </c>
      <c r="CO113" s="33" t="s">
        <v>8</v>
      </c>
      <c r="CP113" s="114"/>
      <c r="CQ113" s="115"/>
      <c r="CR113" s="115"/>
      <c r="CS113" s="116"/>
      <c r="CU113" s="11">
        <v>46132</v>
      </c>
      <c r="CV113" s="33" t="s">
        <v>8</v>
      </c>
      <c r="CW113" s="114"/>
      <c r="CX113" s="115"/>
      <c r="CY113" s="115"/>
      <c r="CZ113" s="116"/>
      <c r="DB113" s="11">
        <v>46130</v>
      </c>
      <c r="DC113" s="33" t="s">
        <v>6</v>
      </c>
      <c r="DD113" s="114"/>
      <c r="DE113" s="115"/>
      <c r="DF113" s="115"/>
      <c r="DG113" s="116"/>
      <c r="DI113" s="11">
        <v>46132</v>
      </c>
      <c r="DJ113" s="33" t="s">
        <v>8</v>
      </c>
      <c r="DK113" s="114"/>
      <c r="DL113" s="115"/>
      <c r="DM113" s="115"/>
      <c r="DN113" s="116"/>
      <c r="DP113" s="11">
        <v>46130</v>
      </c>
      <c r="DQ113" s="33" t="s">
        <v>6</v>
      </c>
      <c r="DR113" s="114"/>
      <c r="DS113" s="115"/>
      <c r="DT113" s="115"/>
      <c r="DU113" s="116"/>
      <c r="DW113" s="11">
        <v>46132</v>
      </c>
      <c r="DX113" s="33" t="s">
        <v>8</v>
      </c>
      <c r="DY113" s="114"/>
      <c r="DZ113" s="115"/>
      <c r="EA113" s="115"/>
      <c r="EB113" s="116"/>
    </row>
    <row r="114" spans="1:132" x14ac:dyDescent="0.25">
      <c r="A114" s="11">
        <v>46133</v>
      </c>
      <c r="B114" s="33" t="s">
        <v>9</v>
      </c>
      <c r="C114" s="114" t="s">
        <v>60</v>
      </c>
      <c r="D114" s="115"/>
      <c r="E114" s="115"/>
      <c r="F114" s="116"/>
      <c r="H114" s="11">
        <v>46133</v>
      </c>
      <c r="I114" s="33" t="s">
        <v>9</v>
      </c>
      <c r="J114" s="114" t="s">
        <v>60</v>
      </c>
      <c r="K114" s="115"/>
      <c r="L114" s="115"/>
      <c r="M114" s="116"/>
      <c r="O114" s="11">
        <v>46133</v>
      </c>
      <c r="P114" s="33" t="s">
        <v>9</v>
      </c>
      <c r="Q114" s="114" t="s">
        <v>60</v>
      </c>
      <c r="R114" s="115"/>
      <c r="S114" s="115"/>
      <c r="T114" s="116"/>
      <c r="V114" s="11">
        <v>46132</v>
      </c>
      <c r="W114" s="33" t="s">
        <v>8</v>
      </c>
      <c r="X114" s="114"/>
      <c r="Y114" s="115"/>
      <c r="Z114" s="115"/>
      <c r="AA114" s="116"/>
      <c r="AC114" s="11">
        <v>46133</v>
      </c>
      <c r="AD114" s="33" t="s">
        <v>9</v>
      </c>
      <c r="AE114" s="114" t="s">
        <v>60</v>
      </c>
      <c r="AF114" s="115"/>
      <c r="AG114" s="115"/>
      <c r="AH114" s="116"/>
      <c r="AJ114" s="11">
        <v>46133</v>
      </c>
      <c r="AK114" s="33" t="s">
        <v>9</v>
      </c>
      <c r="AL114" s="114" t="s">
        <v>60</v>
      </c>
      <c r="AM114" s="115"/>
      <c r="AN114" s="115"/>
      <c r="AO114" s="116"/>
      <c r="AQ114" s="11">
        <v>46133</v>
      </c>
      <c r="AR114" s="33" t="s">
        <v>9</v>
      </c>
      <c r="AS114" s="114" t="s">
        <v>60</v>
      </c>
      <c r="AT114" s="115"/>
      <c r="AU114" s="115"/>
      <c r="AV114" s="116"/>
      <c r="AX114" s="11">
        <v>46132</v>
      </c>
      <c r="AY114" s="33" t="s">
        <v>8</v>
      </c>
      <c r="AZ114" s="114"/>
      <c r="BA114" s="115"/>
      <c r="BB114" s="115"/>
      <c r="BC114" s="116"/>
      <c r="BE114" s="11">
        <v>46133</v>
      </c>
      <c r="BF114" s="33" t="s">
        <v>9</v>
      </c>
      <c r="BG114" s="33" t="s">
        <v>60</v>
      </c>
      <c r="BH114" s="19"/>
      <c r="BI114" s="19"/>
      <c r="BJ114" s="20"/>
      <c r="BL114" s="11">
        <v>46133</v>
      </c>
      <c r="BM114" s="33" t="s">
        <v>9</v>
      </c>
      <c r="BN114" s="114" t="s">
        <v>60</v>
      </c>
      <c r="BO114" s="115"/>
      <c r="BP114" s="115"/>
      <c r="BQ114" s="116"/>
      <c r="BS114" s="11">
        <v>46133</v>
      </c>
      <c r="BT114" s="33" t="s">
        <v>9</v>
      </c>
      <c r="BU114" s="114" t="s">
        <v>60</v>
      </c>
      <c r="BV114" s="115"/>
      <c r="BW114" s="115"/>
      <c r="BX114" s="116"/>
      <c r="BZ114" s="11">
        <v>46132</v>
      </c>
      <c r="CA114" s="33" t="s">
        <v>8</v>
      </c>
      <c r="CB114" s="114"/>
      <c r="CC114" s="115"/>
      <c r="CD114" s="115"/>
      <c r="CE114" s="116"/>
      <c r="CG114" s="11">
        <v>46133</v>
      </c>
      <c r="CH114" s="33" t="s">
        <v>9</v>
      </c>
      <c r="CI114" s="114" t="s">
        <v>60</v>
      </c>
      <c r="CJ114" s="115"/>
      <c r="CK114" s="115"/>
      <c r="CL114" s="116"/>
      <c r="CN114" s="11">
        <v>46133</v>
      </c>
      <c r="CO114" s="33" t="s">
        <v>9</v>
      </c>
      <c r="CP114" s="114" t="s">
        <v>60</v>
      </c>
      <c r="CQ114" s="115"/>
      <c r="CR114" s="115"/>
      <c r="CS114" s="116"/>
      <c r="CU114" s="11">
        <v>46133</v>
      </c>
      <c r="CV114" s="33" t="s">
        <v>9</v>
      </c>
      <c r="CW114" s="114" t="s">
        <v>60</v>
      </c>
      <c r="CX114" s="115"/>
      <c r="CY114" s="115"/>
      <c r="CZ114" s="116"/>
      <c r="DB114" s="11">
        <v>46131</v>
      </c>
      <c r="DC114" s="33" t="s">
        <v>7</v>
      </c>
      <c r="DD114" s="114"/>
      <c r="DE114" s="115"/>
      <c r="DF114" s="115"/>
      <c r="DG114" s="116"/>
      <c r="DI114" s="11">
        <v>46133</v>
      </c>
      <c r="DJ114" s="33" t="s">
        <v>9</v>
      </c>
      <c r="DK114" s="114" t="s">
        <v>60</v>
      </c>
      <c r="DL114" s="115"/>
      <c r="DM114" s="115"/>
      <c r="DN114" s="116"/>
      <c r="DP114" s="11">
        <v>46131</v>
      </c>
      <c r="DQ114" s="33" t="s">
        <v>7</v>
      </c>
      <c r="DR114" s="114"/>
      <c r="DS114" s="115"/>
      <c r="DT114" s="115"/>
      <c r="DU114" s="116"/>
      <c r="DW114" s="11">
        <v>46133</v>
      </c>
      <c r="DX114" s="33" t="s">
        <v>9</v>
      </c>
      <c r="DY114" s="114" t="s">
        <v>60</v>
      </c>
      <c r="DZ114" s="115"/>
      <c r="EA114" s="115"/>
      <c r="EB114" s="116"/>
    </row>
    <row r="115" spans="1:132" x14ac:dyDescent="0.25">
      <c r="A115" s="11">
        <v>46134</v>
      </c>
      <c r="B115" s="33" t="s">
        <v>3</v>
      </c>
      <c r="C115" s="114"/>
      <c r="D115" s="115"/>
      <c r="E115" s="115"/>
      <c r="F115" s="116"/>
      <c r="H115" s="11">
        <v>46134</v>
      </c>
      <c r="I115" s="33" t="s">
        <v>3</v>
      </c>
      <c r="J115" s="114"/>
      <c r="K115" s="115"/>
      <c r="L115" s="115"/>
      <c r="M115" s="116"/>
      <c r="O115" s="11">
        <v>46134</v>
      </c>
      <c r="P115" s="33" t="s">
        <v>3</v>
      </c>
      <c r="Q115" s="114"/>
      <c r="R115" s="115"/>
      <c r="S115" s="115"/>
      <c r="T115" s="116"/>
      <c r="V115" s="11">
        <v>46133</v>
      </c>
      <c r="W115" s="33" t="s">
        <v>9</v>
      </c>
      <c r="X115" s="114" t="s">
        <v>60</v>
      </c>
      <c r="Y115" s="115"/>
      <c r="Z115" s="115"/>
      <c r="AA115" s="116"/>
      <c r="AC115" s="11">
        <v>46134</v>
      </c>
      <c r="AD115" s="33" t="s">
        <v>3</v>
      </c>
      <c r="AE115" s="114"/>
      <c r="AF115" s="115"/>
      <c r="AG115" s="115"/>
      <c r="AH115" s="116"/>
      <c r="AJ115" s="11">
        <v>46134</v>
      </c>
      <c r="AK115" s="33" t="s">
        <v>3</v>
      </c>
      <c r="AL115" s="114"/>
      <c r="AM115" s="115"/>
      <c r="AN115" s="115"/>
      <c r="AO115" s="116"/>
      <c r="AQ115" s="11">
        <v>46134</v>
      </c>
      <c r="AR115" s="33" t="s">
        <v>3</v>
      </c>
      <c r="AS115" s="114"/>
      <c r="AT115" s="115"/>
      <c r="AU115" s="115"/>
      <c r="AV115" s="116"/>
      <c r="AX115" s="11">
        <v>46133</v>
      </c>
      <c r="AY115" s="33" t="s">
        <v>9</v>
      </c>
      <c r="AZ115" s="114" t="s">
        <v>60</v>
      </c>
      <c r="BA115" s="115"/>
      <c r="BB115" s="115"/>
      <c r="BC115" s="116"/>
      <c r="BE115" s="11">
        <v>46134</v>
      </c>
      <c r="BF115" s="33" t="s">
        <v>3</v>
      </c>
      <c r="BG115" s="33"/>
      <c r="BH115" s="19"/>
      <c r="BI115" s="19"/>
      <c r="BJ115" s="20"/>
      <c r="BL115" s="11">
        <v>46134</v>
      </c>
      <c r="BM115" s="33" t="s">
        <v>3</v>
      </c>
      <c r="BN115" s="114"/>
      <c r="BO115" s="115"/>
      <c r="BP115" s="115"/>
      <c r="BQ115" s="116"/>
      <c r="BS115" s="11">
        <v>46134</v>
      </c>
      <c r="BT115" s="33" t="s">
        <v>3</v>
      </c>
      <c r="BU115" s="114"/>
      <c r="BV115" s="115"/>
      <c r="BW115" s="115"/>
      <c r="BX115" s="116"/>
      <c r="BZ115" s="11">
        <v>46133</v>
      </c>
      <c r="CA115" s="33" t="s">
        <v>9</v>
      </c>
      <c r="CB115" s="114" t="s">
        <v>60</v>
      </c>
      <c r="CC115" s="115"/>
      <c r="CD115" s="115"/>
      <c r="CE115" s="116"/>
      <c r="CG115" s="11">
        <v>46134</v>
      </c>
      <c r="CH115" s="33" t="s">
        <v>3</v>
      </c>
      <c r="CI115" s="114"/>
      <c r="CJ115" s="115"/>
      <c r="CK115" s="115"/>
      <c r="CL115" s="116"/>
      <c r="CN115" s="11">
        <v>46134</v>
      </c>
      <c r="CO115" s="33" t="s">
        <v>3</v>
      </c>
      <c r="CP115" s="114"/>
      <c r="CQ115" s="115"/>
      <c r="CR115" s="115"/>
      <c r="CS115" s="116"/>
      <c r="CU115" s="11">
        <v>46134</v>
      </c>
      <c r="CV115" s="33" t="s">
        <v>3</v>
      </c>
      <c r="CW115" s="114"/>
      <c r="CX115" s="115"/>
      <c r="CY115" s="115"/>
      <c r="CZ115" s="116"/>
      <c r="DB115" s="11">
        <v>46132</v>
      </c>
      <c r="DC115" s="33" t="s">
        <v>8</v>
      </c>
      <c r="DD115" s="114"/>
      <c r="DE115" s="115"/>
      <c r="DF115" s="115"/>
      <c r="DG115" s="116"/>
      <c r="DI115" s="11">
        <v>46134</v>
      </c>
      <c r="DJ115" s="33" t="s">
        <v>3</v>
      </c>
      <c r="DK115" s="114"/>
      <c r="DL115" s="115"/>
      <c r="DM115" s="115"/>
      <c r="DN115" s="116"/>
      <c r="DP115" s="11">
        <v>46132</v>
      </c>
      <c r="DQ115" s="33" t="s">
        <v>8</v>
      </c>
      <c r="DR115" s="114"/>
      <c r="DS115" s="115"/>
      <c r="DT115" s="115"/>
      <c r="DU115" s="116"/>
      <c r="DW115" s="11">
        <v>46134</v>
      </c>
      <c r="DX115" s="33" t="s">
        <v>3</v>
      </c>
      <c r="DY115" s="114"/>
      <c r="DZ115" s="115"/>
      <c r="EA115" s="115"/>
      <c r="EB115" s="116"/>
    </row>
    <row r="116" spans="1:132" x14ac:dyDescent="0.25">
      <c r="A116" s="11">
        <v>46135</v>
      </c>
      <c r="B116" s="33" t="s">
        <v>4</v>
      </c>
      <c r="C116" s="114"/>
      <c r="D116" s="115"/>
      <c r="E116" s="115"/>
      <c r="F116" s="116"/>
      <c r="H116" s="11">
        <v>46135</v>
      </c>
      <c r="I116" s="33" t="s">
        <v>4</v>
      </c>
      <c r="J116" s="114"/>
      <c r="K116" s="115"/>
      <c r="L116" s="115"/>
      <c r="M116" s="116"/>
      <c r="O116" s="11">
        <v>46135</v>
      </c>
      <c r="P116" s="33" t="s">
        <v>4</v>
      </c>
      <c r="Q116" s="114"/>
      <c r="R116" s="115"/>
      <c r="S116" s="115"/>
      <c r="T116" s="116"/>
      <c r="V116" s="11">
        <v>46134</v>
      </c>
      <c r="W116" s="33" t="s">
        <v>3</v>
      </c>
      <c r="X116" s="114"/>
      <c r="Y116" s="115"/>
      <c r="Z116" s="115"/>
      <c r="AA116" s="116"/>
      <c r="AC116" s="11">
        <v>46135</v>
      </c>
      <c r="AD116" s="33" t="s">
        <v>4</v>
      </c>
      <c r="AE116" s="114"/>
      <c r="AF116" s="115"/>
      <c r="AG116" s="115"/>
      <c r="AH116" s="116"/>
      <c r="AJ116" s="11">
        <v>46135</v>
      </c>
      <c r="AK116" s="33" t="s">
        <v>4</v>
      </c>
      <c r="AL116" s="114"/>
      <c r="AM116" s="115"/>
      <c r="AN116" s="115"/>
      <c r="AO116" s="116"/>
      <c r="AQ116" s="11">
        <v>46135</v>
      </c>
      <c r="AR116" s="33" t="s">
        <v>4</v>
      </c>
      <c r="AS116" s="114"/>
      <c r="AT116" s="115"/>
      <c r="AU116" s="115"/>
      <c r="AV116" s="116"/>
      <c r="AX116" s="11">
        <v>46134</v>
      </c>
      <c r="AY116" s="33" t="s">
        <v>3</v>
      </c>
      <c r="AZ116" s="114"/>
      <c r="BA116" s="115"/>
      <c r="BB116" s="115"/>
      <c r="BC116" s="116"/>
      <c r="BE116" s="11">
        <v>46135</v>
      </c>
      <c r="BF116" s="33" t="s">
        <v>4</v>
      </c>
      <c r="BG116" s="33"/>
      <c r="BH116" s="19"/>
      <c r="BI116" s="19"/>
      <c r="BJ116" s="20"/>
      <c r="BL116" s="11">
        <v>46135</v>
      </c>
      <c r="BM116" s="33" t="s">
        <v>4</v>
      </c>
      <c r="BN116" s="114"/>
      <c r="BO116" s="115"/>
      <c r="BP116" s="115"/>
      <c r="BQ116" s="116"/>
      <c r="BS116" s="11">
        <v>46135</v>
      </c>
      <c r="BT116" s="33" t="s">
        <v>4</v>
      </c>
      <c r="BU116" s="114"/>
      <c r="BV116" s="115"/>
      <c r="BW116" s="115"/>
      <c r="BX116" s="116"/>
      <c r="BZ116" s="11">
        <v>46134</v>
      </c>
      <c r="CA116" s="33" t="s">
        <v>3</v>
      </c>
      <c r="CB116" s="114"/>
      <c r="CC116" s="115"/>
      <c r="CD116" s="115"/>
      <c r="CE116" s="116"/>
      <c r="CG116" s="11">
        <v>46135</v>
      </c>
      <c r="CH116" s="33" t="s">
        <v>4</v>
      </c>
      <c r="CI116" s="114"/>
      <c r="CJ116" s="115"/>
      <c r="CK116" s="115"/>
      <c r="CL116" s="116"/>
      <c r="CN116" s="11">
        <v>46135</v>
      </c>
      <c r="CO116" s="33" t="s">
        <v>4</v>
      </c>
      <c r="CP116" s="114"/>
      <c r="CQ116" s="115"/>
      <c r="CR116" s="115"/>
      <c r="CS116" s="116"/>
      <c r="CU116" s="11">
        <v>46135</v>
      </c>
      <c r="CV116" s="33" t="s">
        <v>4</v>
      </c>
      <c r="CW116" s="114"/>
      <c r="CX116" s="115"/>
      <c r="CY116" s="115"/>
      <c r="CZ116" s="116"/>
      <c r="DB116" s="11">
        <v>46133</v>
      </c>
      <c r="DC116" s="33" t="s">
        <v>9</v>
      </c>
      <c r="DD116" s="114" t="s">
        <v>60</v>
      </c>
      <c r="DE116" s="115"/>
      <c r="DF116" s="115"/>
      <c r="DG116" s="116"/>
      <c r="DI116" s="11">
        <v>46135</v>
      </c>
      <c r="DJ116" s="33" t="s">
        <v>4</v>
      </c>
      <c r="DK116" s="114"/>
      <c r="DL116" s="115"/>
      <c r="DM116" s="115"/>
      <c r="DN116" s="116"/>
      <c r="DP116" s="11">
        <v>46133</v>
      </c>
      <c r="DQ116" s="33" t="s">
        <v>9</v>
      </c>
      <c r="DR116" s="114" t="s">
        <v>60</v>
      </c>
      <c r="DS116" s="115"/>
      <c r="DT116" s="115"/>
      <c r="DU116" s="116"/>
      <c r="DW116" s="11">
        <v>46135</v>
      </c>
      <c r="DX116" s="33" t="s">
        <v>4</v>
      </c>
      <c r="DY116" s="114"/>
      <c r="DZ116" s="115"/>
      <c r="EA116" s="115"/>
      <c r="EB116" s="116"/>
    </row>
    <row r="117" spans="1:132" x14ac:dyDescent="0.25">
      <c r="A117" s="11">
        <v>46136</v>
      </c>
      <c r="B117" s="33" t="s">
        <v>5</v>
      </c>
      <c r="C117" s="114"/>
      <c r="D117" s="115"/>
      <c r="E117" s="115"/>
      <c r="F117" s="116"/>
      <c r="H117" s="11">
        <v>46136</v>
      </c>
      <c r="I117" s="33" t="s">
        <v>5</v>
      </c>
      <c r="J117" s="114"/>
      <c r="K117" s="115"/>
      <c r="L117" s="115"/>
      <c r="M117" s="116"/>
      <c r="O117" s="11">
        <v>46136</v>
      </c>
      <c r="P117" s="33" t="s">
        <v>5</v>
      </c>
      <c r="Q117" s="114"/>
      <c r="R117" s="115"/>
      <c r="S117" s="115"/>
      <c r="T117" s="116"/>
      <c r="V117" s="11">
        <v>46135</v>
      </c>
      <c r="W117" s="33" t="s">
        <v>4</v>
      </c>
      <c r="X117" s="114"/>
      <c r="Y117" s="115"/>
      <c r="Z117" s="115"/>
      <c r="AA117" s="116"/>
      <c r="AC117" s="11">
        <v>46136</v>
      </c>
      <c r="AD117" s="33" t="s">
        <v>5</v>
      </c>
      <c r="AE117" s="114"/>
      <c r="AF117" s="115"/>
      <c r="AG117" s="115"/>
      <c r="AH117" s="116"/>
      <c r="AJ117" s="11">
        <v>46136</v>
      </c>
      <c r="AK117" s="33" t="s">
        <v>5</v>
      </c>
      <c r="AL117" s="114"/>
      <c r="AM117" s="115"/>
      <c r="AN117" s="115"/>
      <c r="AO117" s="116"/>
      <c r="AQ117" s="11">
        <v>46136</v>
      </c>
      <c r="AR117" s="33" t="s">
        <v>5</v>
      </c>
      <c r="AS117" s="114"/>
      <c r="AT117" s="115"/>
      <c r="AU117" s="115"/>
      <c r="AV117" s="116"/>
      <c r="AX117" s="11">
        <v>46135</v>
      </c>
      <c r="AY117" s="33" t="s">
        <v>4</v>
      </c>
      <c r="AZ117" s="114"/>
      <c r="BA117" s="115"/>
      <c r="BB117" s="115"/>
      <c r="BC117" s="116"/>
      <c r="BE117" s="11">
        <v>46136</v>
      </c>
      <c r="BF117" s="33" t="s">
        <v>5</v>
      </c>
      <c r="BG117" s="33"/>
      <c r="BH117" s="19"/>
      <c r="BI117" s="19"/>
      <c r="BJ117" s="20"/>
      <c r="BL117" s="11">
        <v>46136</v>
      </c>
      <c r="BM117" s="33" t="s">
        <v>5</v>
      </c>
      <c r="BN117" s="114"/>
      <c r="BO117" s="115"/>
      <c r="BP117" s="115"/>
      <c r="BQ117" s="116"/>
      <c r="BS117" s="11">
        <v>46136</v>
      </c>
      <c r="BT117" s="33" t="s">
        <v>5</v>
      </c>
      <c r="BU117" s="114"/>
      <c r="BV117" s="115"/>
      <c r="BW117" s="115"/>
      <c r="BX117" s="116"/>
      <c r="BZ117" s="11">
        <v>46135</v>
      </c>
      <c r="CA117" s="33" t="s">
        <v>4</v>
      </c>
      <c r="CB117" s="114"/>
      <c r="CC117" s="115"/>
      <c r="CD117" s="115"/>
      <c r="CE117" s="116"/>
      <c r="CG117" s="11">
        <v>46136</v>
      </c>
      <c r="CH117" s="33" t="s">
        <v>5</v>
      </c>
      <c r="CI117" s="114"/>
      <c r="CJ117" s="115"/>
      <c r="CK117" s="115"/>
      <c r="CL117" s="116"/>
      <c r="CN117" s="11">
        <v>46136</v>
      </c>
      <c r="CO117" s="33" t="s">
        <v>5</v>
      </c>
      <c r="CP117" s="114"/>
      <c r="CQ117" s="115"/>
      <c r="CR117" s="115"/>
      <c r="CS117" s="116"/>
      <c r="CU117" s="11">
        <v>46136</v>
      </c>
      <c r="CV117" s="33" t="s">
        <v>5</v>
      </c>
      <c r="CW117" s="114"/>
      <c r="CX117" s="115"/>
      <c r="CY117" s="115"/>
      <c r="CZ117" s="116"/>
      <c r="DB117" s="11">
        <v>46134</v>
      </c>
      <c r="DC117" s="33" t="s">
        <v>3</v>
      </c>
      <c r="DD117" s="114"/>
      <c r="DE117" s="115"/>
      <c r="DF117" s="115"/>
      <c r="DG117" s="116"/>
      <c r="DI117" s="11">
        <v>46136</v>
      </c>
      <c r="DJ117" s="33" t="s">
        <v>5</v>
      </c>
      <c r="DK117" s="114"/>
      <c r="DL117" s="115"/>
      <c r="DM117" s="115"/>
      <c r="DN117" s="116"/>
      <c r="DP117" s="11">
        <v>46134</v>
      </c>
      <c r="DQ117" s="33" t="s">
        <v>3</v>
      </c>
      <c r="DR117" s="114"/>
      <c r="DS117" s="115"/>
      <c r="DT117" s="115"/>
      <c r="DU117" s="116"/>
      <c r="DW117" s="11">
        <v>46136</v>
      </c>
      <c r="DX117" s="33" t="s">
        <v>5</v>
      </c>
      <c r="DY117" s="114"/>
      <c r="DZ117" s="115"/>
      <c r="EA117" s="115"/>
      <c r="EB117" s="116"/>
    </row>
    <row r="118" spans="1:132" x14ac:dyDescent="0.25">
      <c r="A118" s="11">
        <v>46137</v>
      </c>
      <c r="B118" s="33" t="s">
        <v>6</v>
      </c>
      <c r="C118" s="114"/>
      <c r="D118" s="115"/>
      <c r="E118" s="115"/>
      <c r="F118" s="116"/>
      <c r="H118" s="11">
        <v>46137</v>
      </c>
      <c r="I118" s="33" t="s">
        <v>6</v>
      </c>
      <c r="J118" s="114"/>
      <c r="K118" s="115"/>
      <c r="L118" s="115"/>
      <c r="M118" s="116"/>
      <c r="O118" s="11">
        <v>46137</v>
      </c>
      <c r="P118" s="33" t="s">
        <v>6</v>
      </c>
      <c r="Q118" s="114"/>
      <c r="R118" s="115"/>
      <c r="S118" s="115"/>
      <c r="T118" s="116"/>
      <c r="V118" s="11">
        <v>46136</v>
      </c>
      <c r="W118" s="33" t="s">
        <v>5</v>
      </c>
      <c r="X118" s="114"/>
      <c r="Y118" s="115"/>
      <c r="Z118" s="115"/>
      <c r="AA118" s="116"/>
      <c r="AC118" s="11">
        <v>46137</v>
      </c>
      <c r="AD118" s="33" t="s">
        <v>6</v>
      </c>
      <c r="AE118" s="114"/>
      <c r="AF118" s="115"/>
      <c r="AG118" s="115"/>
      <c r="AH118" s="116"/>
      <c r="AJ118" s="11">
        <v>46137</v>
      </c>
      <c r="AK118" s="33" t="s">
        <v>6</v>
      </c>
      <c r="AL118" s="114"/>
      <c r="AM118" s="115"/>
      <c r="AN118" s="115"/>
      <c r="AO118" s="116"/>
      <c r="AQ118" s="11">
        <v>46137</v>
      </c>
      <c r="AR118" s="33" t="s">
        <v>6</v>
      </c>
      <c r="AS118" s="114"/>
      <c r="AT118" s="115"/>
      <c r="AU118" s="115"/>
      <c r="AV118" s="116"/>
      <c r="AX118" s="11">
        <v>46136</v>
      </c>
      <c r="AY118" s="33" t="s">
        <v>5</v>
      </c>
      <c r="AZ118" s="114"/>
      <c r="BA118" s="115"/>
      <c r="BB118" s="115"/>
      <c r="BC118" s="116"/>
      <c r="BE118" s="11">
        <v>46137</v>
      </c>
      <c r="BF118" s="33" t="s">
        <v>6</v>
      </c>
      <c r="BG118" s="33"/>
      <c r="BH118" s="19"/>
      <c r="BI118" s="19"/>
      <c r="BJ118" s="20"/>
      <c r="BL118" s="11">
        <v>46137</v>
      </c>
      <c r="BM118" s="33" t="s">
        <v>6</v>
      </c>
      <c r="BN118" s="114"/>
      <c r="BO118" s="115"/>
      <c r="BP118" s="115"/>
      <c r="BQ118" s="116"/>
      <c r="BS118" s="11">
        <v>46137</v>
      </c>
      <c r="BT118" s="33" t="s">
        <v>6</v>
      </c>
      <c r="BU118" s="114"/>
      <c r="BV118" s="115"/>
      <c r="BW118" s="115"/>
      <c r="BX118" s="116"/>
      <c r="BZ118" s="11">
        <v>46136</v>
      </c>
      <c r="CA118" s="33" t="s">
        <v>5</v>
      </c>
      <c r="CB118" s="114"/>
      <c r="CC118" s="115"/>
      <c r="CD118" s="115"/>
      <c r="CE118" s="116"/>
      <c r="CG118" s="11">
        <v>46137</v>
      </c>
      <c r="CH118" s="33" t="s">
        <v>6</v>
      </c>
      <c r="CI118" s="114"/>
      <c r="CJ118" s="115"/>
      <c r="CK118" s="115"/>
      <c r="CL118" s="116"/>
      <c r="CN118" s="11">
        <v>46137</v>
      </c>
      <c r="CO118" s="33" t="s">
        <v>6</v>
      </c>
      <c r="CP118" s="114"/>
      <c r="CQ118" s="115"/>
      <c r="CR118" s="115"/>
      <c r="CS118" s="116"/>
      <c r="CU118" s="11">
        <v>46137</v>
      </c>
      <c r="CV118" s="33" t="s">
        <v>6</v>
      </c>
      <c r="CW118" s="114"/>
      <c r="CX118" s="115"/>
      <c r="CY118" s="115"/>
      <c r="CZ118" s="116"/>
      <c r="DB118" s="11">
        <v>46135</v>
      </c>
      <c r="DC118" s="33" t="s">
        <v>4</v>
      </c>
      <c r="DD118" s="114"/>
      <c r="DE118" s="115"/>
      <c r="DF118" s="115"/>
      <c r="DG118" s="116"/>
      <c r="DI118" s="11">
        <v>46137</v>
      </c>
      <c r="DJ118" s="33" t="s">
        <v>6</v>
      </c>
      <c r="DK118" s="114"/>
      <c r="DL118" s="115"/>
      <c r="DM118" s="115"/>
      <c r="DN118" s="116"/>
      <c r="DP118" s="11">
        <v>46135</v>
      </c>
      <c r="DQ118" s="33" t="s">
        <v>4</v>
      </c>
      <c r="DR118" s="114"/>
      <c r="DS118" s="115"/>
      <c r="DT118" s="115"/>
      <c r="DU118" s="116"/>
      <c r="DW118" s="11">
        <v>46137</v>
      </c>
      <c r="DX118" s="33" t="s">
        <v>6</v>
      </c>
      <c r="DY118" s="114"/>
      <c r="DZ118" s="115"/>
      <c r="EA118" s="115"/>
      <c r="EB118" s="116"/>
    </row>
    <row r="119" spans="1:132" x14ac:dyDescent="0.25">
      <c r="A119" s="11">
        <v>46138</v>
      </c>
      <c r="B119" s="33" t="s">
        <v>7</v>
      </c>
      <c r="C119" s="114"/>
      <c r="D119" s="115"/>
      <c r="E119" s="115"/>
      <c r="F119" s="116"/>
      <c r="H119" s="11">
        <v>46138</v>
      </c>
      <c r="I119" s="33" t="s">
        <v>7</v>
      </c>
      <c r="J119" s="114"/>
      <c r="K119" s="115"/>
      <c r="L119" s="115"/>
      <c r="M119" s="116"/>
      <c r="O119" s="11">
        <v>46138</v>
      </c>
      <c r="P119" s="33" t="s">
        <v>7</v>
      </c>
      <c r="Q119" s="114"/>
      <c r="R119" s="115"/>
      <c r="S119" s="115"/>
      <c r="T119" s="116"/>
      <c r="V119" s="11">
        <v>46137</v>
      </c>
      <c r="W119" s="33" t="s">
        <v>6</v>
      </c>
      <c r="X119" s="114"/>
      <c r="Y119" s="115"/>
      <c r="Z119" s="115"/>
      <c r="AA119" s="116"/>
      <c r="AC119" s="11">
        <v>46138</v>
      </c>
      <c r="AD119" s="33" t="s">
        <v>7</v>
      </c>
      <c r="AE119" s="114"/>
      <c r="AF119" s="115"/>
      <c r="AG119" s="115"/>
      <c r="AH119" s="116"/>
      <c r="AJ119" s="11">
        <v>46138</v>
      </c>
      <c r="AK119" s="33" t="s">
        <v>7</v>
      </c>
      <c r="AL119" s="114"/>
      <c r="AM119" s="115"/>
      <c r="AN119" s="115"/>
      <c r="AO119" s="116"/>
      <c r="AQ119" s="11">
        <v>46138</v>
      </c>
      <c r="AR119" s="33" t="s">
        <v>7</v>
      </c>
      <c r="AS119" s="114"/>
      <c r="AT119" s="115"/>
      <c r="AU119" s="115"/>
      <c r="AV119" s="116"/>
      <c r="AX119" s="11">
        <v>46137</v>
      </c>
      <c r="AY119" s="33" t="s">
        <v>6</v>
      </c>
      <c r="AZ119" s="114"/>
      <c r="BA119" s="115"/>
      <c r="BB119" s="115"/>
      <c r="BC119" s="116"/>
      <c r="BE119" s="11">
        <v>46138</v>
      </c>
      <c r="BF119" s="33" t="s">
        <v>7</v>
      </c>
      <c r="BG119" s="33"/>
      <c r="BH119" s="19"/>
      <c r="BI119" s="19"/>
      <c r="BJ119" s="20"/>
      <c r="BL119" s="11">
        <v>46138</v>
      </c>
      <c r="BM119" s="33" t="s">
        <v>7</v>
      </c>
      <c r="BN119" s="114"/>
      <c r="BO119" s="115"/>
      <c r="BP119" s="115"/>
      <c r="BQ119" s="116"/>
      <c r="BS119" s="11">
        <v>46138</v>
      </c>
      <c r="BT119" s="33" t="s">
        <v>7</v>
      </c>
      <c r="BU119" s="114"/>
      <c r="BV119" s="115"/>
      <c r="BW119" s="115"/>
      <c r="BX119" s="116"/>
      <c r="BZ119" s="11">
        <v>46137</v>
      </c>
      <c r="CA119" s="33" t="s">
        <v>6</v>
      </c>
      <c r="CB119" s="114"/>
      <c r="CC119" s="115"/>
      <c r="CD119" s="115"/>
      <c r="CE119" s="116"/>
      <c r="CG119" s="11">
        <v>46138</v>
      </c>
      <c r="CH119" s="33" t="s">
        <v>7</v>
      </c>
      <c r="CI119" s="114"/>
      <c r="CJ119" s="115"/>
      <c r="CK119" s="115"/>
      <c r="CL119" s="116"/>
      <c r="CN119" s="11">
        <v>46138</v>
      </c>
      <c r="CO119" s="33" t="s">
        <v>7</v>
      </c>
      <c r="CP119" s="114"/>
      <c r="CQ119" s="115"/>
      <c r="CR119" s="115"/>
      <c r="CS119" s="116"/>
      <c r="CU119" s="11">
        <v>46138</v>
      </c>
      <c r="CV119" s="33" t="s">
        <v>7</v>
      </c>
      <c r="CW119" s="114"/>
      <c r="CX119" s="115"/>
      <c r="CY119" s="115"/>
      <c r="CZ119" s="116"/>
      <c r="DB119" s="11">
        <v>46136</v>
      </c>
      <c r="DC119" s="33" t="s">
        <v>5</v>
      </c>
      <c r="DD119" s="114"/>
      <c r="DE119" s="115"/>
      <c r="DF119" s="115"/>
      <c r="DG119" s="116"/>
      <c r="DI119" s="11">
        <v>46138</v>
      </c>
      <c r="DJ119" s="33" t="s">
        <v>7</v>
      </c>
      <c r="DK119" s="114"/>
      <c r="DL119" s="115"/>
      <c r="DM119" s="115"/>
      <c r="DN119" s="116"/>
      <c r="DP119" s="11">
        <v>46136</v>
      </c>
      <c r="DQ119" s="33" t="s">
        <v>5</v>
      </c>
      <c r="DR119" s="114"/>
      <c r="DS119" s="115"/>
      <c r="DT119" s="115"/>
      <c r="DU119" s="116"/>
      <c r="DW119" s="11">
        <v>46138</v>
      </c>
      <c r="DX119" s="33" t="s">
        <v>7</v>
      </c>
      <c r="DY119" s="114"/>
      <c r="DZ119" s="115"/>
      <c r="EA119" s="115"/>
      <c r="EB119" s="116"/>
    </row>
    <row r="120" spans="1:132" x14ac:dyDescent="0.25">
      <c r="A120" s="11">
        <v>46139</v>
      </c>
      <c r="B120" s="33" t="s">
        <v>8</v>
      </c>
      <c r="C120" s="114"/>
      <c r="D120" s="115"/>
      <c r="E120" s="115"/>
      <c r="F120" s="116"/>
      <c r="H120" s="11">
        <v>46139</v>
      </c>
      <c r="I120" s="33" t="s">
        <v>8</v>
      </c>
      <c r="J120" s="114"/>
      <c r="K120" s="115"/>
      <c r="L120" s="115"/>
      <c r="M120" s="116"/>
      <c r="O120" s="11">
        <v>46139</v>
      </c>
      <c r="P120" s="33" t="s">
        <v>8</v>
      </c>
      <c r="Q120" s="114"/>
      <c r="R120" s="115"/>
      <c r="S120" s="115"/>
      <c r="T120" s="116"/>
      <c r="V120" s="11">
        <v>46138</v>
      </c>
      <c r="W120" s="33" t="s">
        <v>7</v>
      </c>
      <c r="X120" s="114"/>
      <c r="Y120" s="115"/>
      <c r="Z120" s="115"/>
      <c r="AA120" s="116"/>
      <c r="AC120" s="11">
        <v>46139</v>
      </c>
      <c r="AD120" s="33" t="s">
        <v>8</v>
      </c>
      <c r="AE120" s="114"/>
      <c r="AF120" s="115"/>
      <c r="AG120" s="115"/>
      <c r="AH120" s="116"/>
      <c r="AJ120" s="11">
        <v>46139</v>
      </c>
      <c r="AK120" s="33" t="s">
        <v>8</v>
      </c>
      <c r="AL120" s="114"/>
      <c r="AM120" s="115"/>
      <c r="AN120" s="115"/>
      <c r="AO120" s="116"/>
      <c r="AQ120" s="11">
        <v>46139</v>
      </c>
      <c r="AR120" s="33" t="s">
        <v>8</v>
      </c>
      <c r="AS120" s="114"/>
      <c r="AT120" s="115"/>
      <c r="AU120" s="115"/>
      <c r="AV120" s="116"/>
      <c r="AX120" s="11">
        <v>46138</v>
      </c>
      <c r="AY120" s="33" t="s">
        <v>7</v>
      </c>
      <c r="AZ120" s="114"/>
      <c r="BA120" s="115"/>
      <c r="BB120" s="115"/>
      <c r="BC120" s="116"/>
      <c r="BE120" s="11">
        <v>46139</v>
      </c>
      <c r="BF120" s="33" t="s">
        <v>8</v>
      </c>
      <c r="BG120" s="33"/>
      <c r="BH120" s="19"/>
      <c r="BI120" s="19"/>
      <c r="BJ120" s="20"/>
      <c r="BL120" s="11">
        <v>46139</v>
      </c>
      <c r="BM120" s="33" t="s">
        <v>8</v>
      </c>
      <c r="BN120" s="114"/>
      <c r="BO120" s="115"/>
      <c r="BP120" s="115"/>
      <c r="BQ120" s="116"/>
      <c r="BS120" s="11">
        <v>46139</v>
      </c>
      <c r="BT120" s="33" t="s">
        <v>8</v>
      </c>
      <c r="BU120" s="114"/>
      <c r="BV120" s="115"/>
      <c r="BW120" s="115"/>
      <c r="BX120" s="116"/>
      <c r="BZ120" s="11">
        <v>46138</v>
      </c>
      <c r="CA120" s="33" t="s">
        <v>7</v>
      </c>
      <c r="CB120" s="114"/>
      <c r="CC120" s="115"/>
      <c r="CD120" s="115"/>
      <c r="CE120" s="116"/>
      <c r="CG120" s="11">
        <v>46139</v>
      </c>
      <c r="CH120" s="33" t="s">
        <v>8</v>
      </c>
      <c r="CI120" s="114"/>
      <c r="CJ120" s="115"/>
      <c r="CK120" s="115"/>
      <c r="CL120" s="116"/>
      <c r="CN120" s="11">
        <v>46139</v>
      </c>
      <c r="CO120" s="33" t="s">
        <v>8</v>
      </c>
      <c r="CP120" s="114"/>
      <c r="CQ120" s="115"/>
      <c r="CR120" s="115"/>
      <c r="CS120" s="116"/>
      <c r="CU120" s="11">
        <v>46139</v>
      </c>
      <c r="CV120" s="33" t="s">
        <v>8</v>
      </c>
      <c r="CW120" s="114"/>
      <c r="CX120" s="115"/>
      <c r="CY120" s="115"/>
      <c r="CZ120" s="116"/>
      <c r="DB120" s="11">
        <v>46137</v>
      </c>
      <c r="DC120" s="33" t="s">
        <v>6</v>
      </c>
      <c r="DD120" s="114"/>
      <c r="DE120" s="115"/>
      <c r="DF120" s="115"/>
      <c r="DG120" s="116"/>
      <c r="DI120" s="11">
        <v>46139</v>
      </c>
      <c r="DJ120" s="33" t="s">
        <v>8</v>
      </c>
      <c r="DK120" s="114"/>
      <c r="DL120" s="115"/>
      <c r="DM120" s="115"/>
      <c r="DN120" s="116"/>
      <c r="DP120" s="11">
        <v>46137</v>
      </c>
      <c r="DQ120" s="33" t="s">
        <v>6</v>
      </c>
      <c r="DR120" s="114"/>
      <c r="DS120" s="115"/>
      <c r="DT120" s="115"/>
      <c r="DU120" s="116"/>
      <c r="DW120" s="11">
        <v>46139</v>
      </c>
      <c r="DX120" s="33" t="s">
        <v>8</v>
      </c>
      <c r="DY120" s="114"/>
      <c r="DZ120" s="115"/>
      <c r="EA120" s="115"/>
      <c r="EB120" s="116"/>
    </row>
    <row r="121" spans="1:132" x14ac:dyDescent="0.25">
      <c r="A121" s="11">
        <v>46140</v>
      </c>
      <c r="B121" s="33" t="s">
        <v>9</v>
      </c>
      <c r="C121" s="114"/>
      <c r="D121" s="115"/>
      <c r="E121" s="115"/>
      <c r="F121" s="116"/>
      <c r="H121" s="11">
        <v>46140</v>
      </c>
      <c r="I121" s="33" t="s">
        <v>9</v>
      </c>
      <c r="J121" s="114"/>
      <c r="K121" s="115"/>
      <c r="L121" s="115"/>
      <c r="M121" s="116"/>
      <c r="O121" s="11">
        <v>46140</v>
      </c>
      <c r="P121" s="33" t="s">
        <v>9</v>
      </c>
      <c r="Q121" s="114"/>
      <c r="R121" s="115"/>
      <c r="S121" s="115"/>
      <c r="T121" s="116"/>
      <c r="V121" s="11">
        <v>46139</v>
      </c>
      <c r="W121" s="33" t="s">
        <v>8</v>
      </c>
      <c r="X121" s="114"/>
      <c r="Y121" s="115"/>
      <c r="Z121" s="115"/>
      <c r="AA121" s="116"/>
      <c r="AC121" s="11">
        <v>46140</v>
      </c>
      <c r="AD121" s="33" t="s">
        <v>9</v>
      </c>
      <c r="AE121" s="114"/>
      <c r="AF121" s="115"/>
      <c r="AG121" s="115"/>
      <c r="AH121" s="116"/>
      <c r="AJ121" s="11">
        <v>46140</v>
      </c>
      <c r="AK121" s="33" t="s">
        <v>9</v>
      </c>
      <c r="AL121" s="114"/>
      <c r="AM121" s="115"/>
      <c r="AN121" s="115"/>
      <c r="AO121" s="116"/>
      <c r="AQ121" s="11">
        <v>46140</v>
      </c>
      <c r="AR121" s="33" t="s">
        <v>9</v>
      </c>
      <c r="AS121" s="114"/>
      <c r="AT121" s="115"/>
      <c r="AU121" s="115"/>
      <c r="AV121" s="116"/>
      <c r="AX121" s="11">
        <v>46139</v>
      </c>
      <c r="AY121" s="33" t="s">
        <v>8</v>
      </c>
      <c r="AZ121" s="114"/>
      <c r="BA121" s="115"/>
      <c r="BB121" s="115"/>
      <c r="BC121" s="116"/>
      <c r="BE121" s="11">
        <v>46140</v>
      </c>
      <c r="BF121" s="33" t="s">
        <v>9</v>
      </c>
      <c r="BG121" s="33"/>
      <c r="BH121" s="19"/>
      <c r="BI121" s="19"/>
      <c r="BJ121" s="20"/>
      <c r="BL121" s="11">
        <v>46140</v>
      </c>
      <c r="BM121" s="33" t="s">
        <v>9</v>
      </c>
      <c r="BN121" s="114"/>
      <c r="BO121" s="115"/>
      <c r="BP121" s="115"/>
      <c r="BQ121" s="116"/>
      <c r="BS121" s="11">
        <v>46140</v>
      </c>
      <c r="BT121" s="33" t="s">
        <v>9</v>
      </c>
      <c r="BU121" s="114"/>
      <c r="BV121" s="115"/>
      <c r="BW121" s="115"/>
      <c r="BX121" s="116"/>
      <c r="BZ121" s="11">
        <v>46139</v>
      </c>
      <c r="CA121" s="33" t="s">
        <v>8</v>
      </c>
      <c r="CB121" s="114"/>
      <c r="CC121" s="115"/>
      <c r="CD121" s="115"/>
      <c r="CE121" s="116"/>
      <c r="CG121" s="11">
        <v>46140</v>
      </c>
      <c r="CH121" s="33" t="s">
        <v>9</v>
      </c>
      <c r="CI121" s="114"/>
      <c r="CJ121" s="115"/>
      <c r="CK121" s="115"/>
      <c r="CL121" s="116"/>
      <c r="CN121" s="11">
        <v>46140</v>
      </c>
      <c r="CO121" s="33" t="s">
        <v>9</v>
      </c>
      <c r="CP121" s="114"/>
      <c r="CQ121" s="115"/>
      <c r="CR121" s="115"/>
      <c r="CS121" s="116"/>
      <c r="CU121" s="11">
        <v>46140</v>
      </c>
      <c r="CV121" s="33" t="s">
        <v>9</v>
      </c>
      <c r="CW121" s="114"/>
      <c r="CX121" s="115"/>
      <c r="CY121" s="115"/>
      <c r="CZ121" s="116"/>
      <c r="DB121" s="11">
        <v>46138</v>
      </c>
      <c r="DC121" s="33" t="s">
        <v>7</v>
      </c>
      <c r="DD121" s="114"/>
      <c r="DE121" s="115"/>
      <c r="DF121" s="115"/>
      <c r="DG121" s="116"/>
      <c r="DI121" s="11">
        <v>46140</v>
      </c>
      <c r="DJ121" s="33" t="s">
        <v>9</v>
      </c>
      <c r="DK121" s="114"/>
      <c r="DL121" s="115"/>
      <c r="DM121" s="115"/>
      <c r="DN121" s="116"/>
      <c r="DP121" s="11">
        <v>46138</v>
      </c>
      <c r="DQ121" s="33" t="s">
        <v>7</v>
      </c>
      <c r="DR121" s="114"/>
      <c r="DS121" s="115"/>
      <c r="DT121" s="115"/>
      <c r="DU121" s="116"/>
      <c r="DW121" s="11">
        <v>46140</v>
      </c>
      <c r="DX121" s="33" t="s">
        <v>9</v>
      </c>
      <c r="DY121" s="114"/>
      <c r="DZ121" s="115"/>
      <c r="EA121" s="115"/>
      <c r="EB121" s="116"/>
    </row>
    <row r="122" spans="1:132" x14ac:dyDescent="0.25">
      <c r="A122" s="11">
        <v>46141</v>
      </c>
      <c r="B122" s="33" t="s">
        <v>3</v>
      </c>
      <c r="C122" s="114"/>
      <c r="D122" s="115"/>
      <c r="E122" s="115"/>
      <c r="F122" s="116"/>
      <c r="H122" s="11">
        <v>46141</v>
      </c>
      <c r="I122" s="33" t="s">
        <v>3</v>
      </c>
      <c r="J122" s="114"/>
      <c r="K122" s="115"/>
      <c r="L122" s="115"/>
      <c r="M122" s="116"/>
      <c r="O122" s="11">
        <v>46141</v>
      </c>
      <c r="P122" s="33" t="s">
        <v>3</v>
      </c>
      <c r="Q122" s="114"/>
      <c r="R122" s="115"/>
      <c r="S122" s="115"/>
      <c r="T122" s="116"/>
      <c r="V122" s="11">
        <v>46140</v>
      </c>
      <c r="W122" s="33" t="s">
        <v>9</v>
      </c>
      <c r="X122" s="114"/>
      <c r="Y122" s="115"/>
      <c r="Z122" s="115"/>
      <c r="AA122" s="116"/>
      <c r="AC122" s="11">
        <v>46141</v>
      </c>
      <c r="AD122" s="33" t="s">
        <v>3</v>
      </c>
      <c r="AE122" s="114"/>
      <c r="AF122" s="115"/>
      <c r="AG122" s="115"/>
      <c r="AH122" s="116"/>
      <c r="AJ122" s="11">
        <v>46141</v>
      </c>
      <c r="AK122" s="33" t="s">
        <v>3</v>
      </c>
      <c r="AL122" s="114"/>
      <c r="AM122" s="115"/>
      <c r="AN122" s="115"/>
      <c r="AO122" s="116"/>
      <c r="AQ122" s="11">
        <v>46141</v>
      </c>
      <c r="AR122" s="33" t="s">
        <v>3</v>
      </c>
      <c r="AS122" s="114"/>
      <c r="AT122" s="115"/>
      <c r="AU122" s="115"/>
      <c r="AV122" s="116"/>
      <c r="AX122" s="11">
        <v>46140</v>
      </c>
      <c r="AY122" s="33" t="s">
        <v>9</v>
      </c>
      <c r="AZ122" s="114"/>
      <c r="BA122" s="115"/>
      <c r="BB122" s="115"/>
      <c r="BC122" s="116"/>
      <c r="BE122" s="11">
        <v>46141</v>
      </c>
      <c r="BF122" s="33" t="s">
        <v>3</v>
      </c>
      <c r="BG122" s="33"/>
      <c r="BH122" s="19"/>
      <c r="BI122" s="19"/>
      <c r="BJ122" s="20"/>
      <c r="BL122" s="11">
        <v>46141</v>
      </c>
      <c r="BM122" s="33" t="s">
        <v>3</v>
      </c>
      <c r="BN122" s="114"/>
      <c r="BO122" s="115"/>
      <c r="BP122" s="115"/>
      <c r="BQ122" s="116"/>
      <c r="BS122" s="11">
        <v>46141</v>
      </c>
      <c r="BT122" s="33" t="s">
        <v>3</v>
      </c>
      <c r="BU122" s="114"/>
      <c r="BV122" s="115"/>
      <c r="BW122" s="115"/>
      <c r="BX122" s="116"/>
      <c r="BZ122" s="11">
        <v>46140</v>
      </c>
      <c r="CA122" s="33" t="s">
        <v>9</v>
      </c>
      <c r="CB122" s="114"/>
      <c r="CC122" s="115"/>
      <c r="CD122" s="115"/>
      <c r="CE122" s="116"/>
      <c r="CG122" s="11">
        <v>46141</v>
      </c>
      <c r="CH122" s="33" t="s">
        <v>3</v>
      </c>
      <c r="CI122" s="114"/>
      <c r="CJ122" s="115"/>
      <c r="CK122" s="115"/>
      <c r="CL122" s="116"/>
      <c r="CN122" s="11">
        <v>46141</v>
      </c>
      <c r="CO122" s="33" t="s">
        <v>3</v>
      </c>
      <c r="CP122" s="114"/>
      <c r="CQ122" s="115"/>
      <c r="CR122" s="115"/>
      <c r="CS122" s="116"/>
      <c r="CU122" s="11">
        <v>46141</v>
      </c>
      <c r="CV122" s="33" t="s">
        <v>3</v>
      </c>
      <c r="CW122" s="114"/>
      <c r="CX122" s="115"/>
      <c r="CY122" s="115"/>
      <c r="CZ122" s="116"/>
      <c r="DB122" s="11">
        <v>46139</v>
      </c>
      <c r="DC122" s="33" t="s">
        <v>8</v>
      </c>
      <c r="DD122" s="114"/>
      <c r="DE122" s="115"/>
      <c r="DF122" s="115"/>
      <c r="DG122" s="116"/>
      <c r="DI122" s="11">
        <v>46141</v>
      </c>
      <c r="DJ122" s="33" t="s">
        <v>3</v>
      </c>
      <c r="DK122" s="114"/>
      <c r="DL122" s="115"/>
      <c r="DM122" s="115"/>
      <c r="DN122" s="116"/>
      <c r="DP122" s="11">
        <v>46139</v>
      </c>
      <c r="DQ122" s="33" t="s">
        <v>8</v>
      </c>
      <c r="DR122" s="114"/>
      <c r="DS122" s="115"/>
      <c r="DT122" s="115"/>
      <c r="DU122" s="116"/>
      <c r="DW122" s="11">
        <v>46141</v>
      </c>
      <c r="DX122" s="33" t="s">
        <v>3</v>
      </c>
      <c r="DY122" s="114"/>
      <c r="DZ122" s="115"/>
      <c r="EA122" s="115"/>
      <c r="EB122" s="116"/>
    </row>
    <row r="123" spans="1:132" x14ac:dyDescent="0.25">
      <c r="A123" s="11">
        <v>46142</v>
      </c>
      <c r="B123" s="33" t="s">
        <v>4</v>
      </c>
      <c r="C123" s="114"/>
      <c r="D123" s="115"/>
      <c r="E123" s="115"/>
      <c r="F123" s="116"/>
      <c r="H123" s="11">
        <v>46142</v>
      </c>
      <c r="I123" s="33" t="s">
        <v>4</v>
      </c>
      <c r="J123" s="114"/>
      <c r="K123" s="115"/>
      <c r="L123" s="115"/>
      <c r="M123" s="116"/>
      <c r="O123" s="11">
        <v>46142</v>
      </c>
      <c r="P123" s="33" t="s">
        <v>4</v>
      </c>
      <c r="Q123" s="114"/>
      <c r="R123" s="115"/>
      <c r="S123" s="115"/>
      <c r="T123" s="116"/>
      <c r="V123" s="11">
        <v>46141</v>
      </c>
      <c r="W123" s="33" t="s">
        <v>3</v>
      </c>
      <c r="X123" s="114"/>
      <c r="Y123" s="115"/>
      <c r="Z123" s="115"/>
      <c r="AA123" s="116"/>
      <c r="AC123" s="11">
        <v>46142</v>
      </c>
      <c r="AD123" s="33" t="s">
        <v>4</v>
      </c>
      <c r="AE123" s="114"/>
      <c r="AF123" s="115"/>
      <c r="AG123" s="115"/>
      <c r="AH123" s="116"/>
      <c r="AJ123" s="11">
        <v>46142</v>
      </c>
      <c r="AK123" s="33" t="s">
        <v>4</v>
      </c>
      <c r="AL123" s="114"/>
      <c r="AM123" s="115"/>
      <c r="AN123" s="115"/>
      <c r="AO123" s="116"/>
      <c r="AQ123" s="11">
        <v>46142</v>
      </c>
      <c r="AR123" s="33" t="s">
        <v>4</v>
      </c>
      <c r="AS123" s="114"/>
      <c r="AT123" s="115"/>
      <c r="AU123" s="115"/>
      <c r="AV123" s="116"/>
      <c r="AX123" s="11">
        <v>46141</v>
      </c>
      <c r="AY123" s="33" t="s">
        <v>3</v>
      </c>
      <c r="AZ123" s="114"/>
      <c r="BA123" s="115"/>
      <c r="BB123" s="115"/>
      <c r="BC123" s="116"/>
      <c r="BE123" s="11">
        <v>46142</v>
      </c>
      <c r="BF123" s="33" t="s">
        <v>4</v>
      </c>
      <c r="BG123" s="33"/>
      <c r="BH123" s="19"/>
      <c r="BI123" s="19"/>
      <c r="BJ123" s="20"/>
      <c r="BL123" s="11">
        <v>46142</v>
      </c>
      <c r="BM123" s="33" t="s">
        <v>4</v>
      </c>
      <c r="BN123" s="114"/>
      <c r="BO123" s="115"/>
      <c r="BP123" s="115"/>
      <c r="BQ123" s="116"/>
      <c r="BS123" s="11">
        <v>46142</v>
      </c>
      <c r="BT123" s="33" t="s">
        <v>4</v>
      </c>
      <c r="BU123" s="114"/>
      <c r="BV123" s="115"/>
      <c r="BW123" s="115"/>
      <c r="BX123" s="116"/>
      <c r="BZ123" s="11">
        <v>46141</v>
      </c>
      <c r="CA123" s="33" t="s">
        <v>3</v>
      </c>
      <c r="CB123" s="114"/>
      <c r="CC123" s="115"/>
      <c r="CD123" s="115"/>
      <c r="CE123" s="116"/>
      <c r="CG123" s="11">
        <v>46142</v>
      </c>
      <c r="CH123" s="33" t="s">
        <v>4</v>
      </c>
      <c r="CI123" s="114"/>
      <c r="CJ123" s="115"/>
      <c r="CK123" s="115"/>
      <c r="CL123" s="116"/>
      <c r="CN123" s="11">
        <v>46142</v>
      </c>
      <c r="CO123" s="33" t="s">
        <v>4</v>
      </c>
      <c r="CP123" s="114"/>
      <c r="CQ123" s="115"/>
      <c r="CR123" s="115"/>
      <c r="CS123" s="116"/>
      <c r="CU123" s="11">
        <v>46142</v>
      </c>
      <c r="CV123" s="33" t="s">
        <v>4</v>
      </c>
      <c r="CW123" s="114"/>
      <c r="CX123" s="115"/>
      <c r="CY123" s="115"/>
      <c r="CZ123" s="116"/>
      <c r="DB123" s="11">
        <v>46140</v>
      </c>
      <c r="DC123" s="33" t="s">
        <v>9</v>
      </c>
      <c r="DD123" s="114"/>
      <c r="DE123" s="115"/>
      <c r="DF123" s="115"/>
      <c r="DG123" s="116"/>
      <c r="DI123" s="11">
        <v>46142</v>
      </c>
      <c r="DJ123" s="33" t="s">
        <v>4</v>
      </c>
      <c r="DK123" s="114"/>
      <c r="DL123" s="115"/>
      <c r="DM123" s="115"/>
      <c r="DN123" s="116"/>
      <c r="DP123" s="11">
        <v>46140</v>
      </c>
      <c r="DQ123" s="33" t="s">
        <v>9</v>
      </c>
      <c r="DR123" s="114"/>
      <c r="DS123" s="115"/>
      <c r="DT123" s="115"/>
      <c r="DU123" s="116"/>
      <c r="DW123" s="11">
        <v>46142</v>
      </c>
      <c r="DX123" s="33" t="s">
        <v>4</v>
      </c>
      <c r="DY123" s="114"/>
      <c r="DZ123" s="115"/>
      <c r="EA123" s="115"/>
      <c r="EB123" s="116"/>
    </row>
    <row r="124" spans="1:132" x14ac:dyDescent="0.25">
      <c r="A124" s="11">
        <v>46143</v>
      </c>
      <c r="B124" s="33" t="s">
        <v>5</v>
      </c>
      <c r="C124" s="114" t="s">
        <v>60</v>
      </c>
      <c r="D124" s="115"/>
      <c r="E124" s="115"/>
      <c r="F124" s="116"/>
      <c r="H124" s="11">
        <v>46143</v>
      </c>
      <c r="I124" s="33" t="s">
        <v>5</v>
      </c>
      <c r="J124" s="114" t="s">
        <v>60</v>
      </c>
      <c r="K124" s="115"/>
      <c r="L124" s="115"/>
      <c r="M124" s="116"/>
      <c r="O124" s="11">
        <v>46143</v>
      </c>
      <c r="P124" s="33" t="s">
        <v>5</v>
      </c>
      <c r="Q124" s="114" t="s">
        <v>60</v>
      </c>
      <c r="R124" s="115"/>
      <c r="S124" s="115"/>
      <c r="T124" s="116"/>
      <c r="V124" s="11">
        <v>46142</v>
      </c>
      <c r="W124" s="33" t="s">
        <v>4</v>
      </c>
      <c r="X124" s="114"/>
      <c r="Y124" s="115"/>
      <c r="Z124" s="115"/>
      <c r="AA124" s="116"/>
      <c r="AC124" s="11">
        <v>46143</v>
      </c>
      <c r="AD124" s="33" t="s">
        <v>5</v>
      </c>
      <c r="AE124" s="114" t="s">
        <v>60</v>
      </c>
      <c r="AF124" s="115"/>
      <c r="AG124" s="115"/>
      <c r="AH124" s="116"/>
      <c r="AJ124" s="11">
        <v>46143</v>
      </c>
      <c r="AK124" s="33" t="s">
        <v>5</v>
      </c>
      <c r="AL124" s="114" t="s">
        <v>60</v>
      </c>
      <c r="AM124" s="115"/>
      <c r="AN124" s="115"/>
      <c r="AO124" s="116"/>
      <c r="AQ124" s="11">
        <v>46143</v>
      </c>
      <c r="AR124" s="33" t="s">
        <v>5</v>
      </c>
      <c r="AS124" s="114" t="s">
        <v>60</v>
      </c>
      <c r="AT124" s="115"/>
      <c r="AU124" s="115"/>
      <c r="AV124" s="116"/>
      <c r="AX124" s="11">
        <v>46142</v>
      </c>
      <c r="AY124" s="33" t="s">
        <v>4</v>
      </c>
      <c r="AZ124" s="114"/>
      <c r="BA124" s="115"/>
      <c r="BB124" s="115"/>
      <c r="BC124" s="116"/>
      <c r="BE124" s="11">
        <v>46143</v>
      </c>
      <c r="BF124" s="33" t="s">
        <v>5</v>
      </c>
      <c r="BG124" s="33" t="s">
        <v>60</v>
      </c>
      <c r="BH124" s="19"/>
      <c r="BI124" s="19"/>
      <c r="BJ124" s="20"/>
      <c r="BL124" s="11">
        <v>46143</v>
      </c>
      <c r="BM124" s="33" t="s">
        <v>5</v>
      </c>
      <c r="BN124" s="114" t="s">
        <v>60</v>
      </c>
      <c r="BO124" s="115"/>
      <c r="BP124" s="115"/>
      <c r="BQ124" s="116"/>
      <c r="BS124" s="11">
        <v>46143</v>
      </c>
      <c r="BT124" s="33" t="s">
        <v>5</v>
      </c>
      <c r="BU124" s="114" t="s">
        <v>60</v>
      </c>
      <c r="BV124" s="115"/>
      <c r="BW124" s="115"/>
      <c r="BX124" s="116"/>
      <c r="BZ124" s="11">
        <v>46142</v>
      </c>
      <c r="CA124" s="33" t="s">
        <v>4</v>
      </c>
      <c r="CB124" s="114"/>
      <c r="CC124" s="115"/>
      <c r="CD124" s="115"/>
      <c r="CE124" s="116"/>
      <c r="CG124" s="11">
        <v>46143</v>
      </c>
      <c r="CH124" s="33" t="s">
        <v>5</v>
      </c>
      <c r="CI124" s="114" t="s">
        <v>60</v>
      </c>
      <c r="CJ124" s="115"/>
      <c r="CK124" s="115"/>
      <c r="CL124" s="116"/>
      <c r="CN124" s="11">
        <v>46143</v>
      </c>
      <c r="CO124" s="33" t="s">
        <v>5</v>
      </c>
      <c r="CP124" s="114" t="s">
        <v>60</v>
      </c>
      <c r="CQ124" s="115"/>
      <c r="CR124" s="115"/>
      <c r="CS124" s="116"/>
      <c r="CU124" s="11">
        <v>46143</v>
      </c>
      <c r="CV124" s="33" t="s">
        <v>5</v>
      </c>
      <c r="CW124" s="114" t="s">
        <v>60</v>
      </c>
      <c r="CX124" s="115"/>
      <c r="CY124" s="115"/>
      <c r="CZ124" s="116"/>
      <c r="DB124" s="11">
        <v>46141</v>
      </c>
      <c r="DC124" s="33" t="s">
        <v>3</v>
      </c>
      <c r="DD124" s="114"/>
      <c r="DE124" s="115"/>
      <c r="DF124" s="115"/>
      <c r="DG124" s="116"/>
      <c r="DI124" s="11">
        <v>46143</v>
      </c>
      <c r="DJ124" s="33" t="s">
        <v>5</v>
      </c>
      <c r="DK124" s="114" t="s">
        <v>60</v>
      </c>
      <c r="DL124" s="115"/>
      <c r="DM124" s="115"/>
      <c r="DN124" s="116"/>
      <c r="DP124" s="11">
        <v>46141</v>
      </c>
      <c r="DQ124" s="33" t="s">
        <v>3</v>
      </c>
      <c r="DR124" s="114"/>
      <c r="DS124" s="115"/>
      <c r="DT124" s="115"/>
      <c r="DU124" s="116"/>
      <c r="DW124" s="11">
        <v>46143</v>
      </c>
      <c r="DX124" s="33" t="s">
        <v>5</v>
      </c>
      <c r="DY124" s="114" t="s">
        <v>60</v>
      </c>
      <c r="DZ124" s="115"/>
      <c r="EA124" s="115"/>
      <c r="EB124" s="116"/>
    </row>
    <row r="125" spans="1:132" x14ac:dyDescent="0.25">
      <c r="A125" s="11">
        <v>46144</v>
      </c>
      <c r="B125" s="33" t="s">
        <v>6</v>
      </c>
      <c r="C125" s="114"/>
      <c r="D125" s="115"/>
      <c r="E125" s="115"/>
      <c r="F125" s="116"/>
      <c r="H125" s="11">
        <v>46144</v>
      </c>
      <c r="I125" s="33" t="s">
        <v>6</v>
      </c>
      <c r="J125" s="114"/>
      <c r="K125" s="115"/>
      <c r="L125" s="115"/>
      <c r="M125" s="116"/>
      <c r="O125" s="11">
        <v>46144</v>
      </c>
      <c r="P125" s="33" t="s">
        <v>6</v>
      </c>
      <c r="Q125" s="114"/>
      <c r="R125" s="115"/>
      <c r="S125" s="115"/>
      <c r="T125" s="116"/>
      <c r="V125" s="11">
        <v>46143</v>
      </c>
      <c r="W125" s="33" t="s">
        <v>5</v>
      </c>
      <c r="X125" s="114" t="s">
        <v>60</v>
      </c>
      <c r="Y125" s="115"/>
      <c r="Z125" s="115"/>
      <c r="AA125" s="116"/>
      <c r="AC125" s="11">
        <v>46144</v>
      </c>
      <c r="AD125" s="33" t="s">
        <v>6</v>
      </c>
      <c r="AE125" s="114"/>
      <c r="AF125" s="115"/>
      <c r="AG125" s="115"/>
      <c r="AH125" s="116"/>
      <c r="AJ125" s="11">
        <v>46144</v>
      </c>
      <c r="AK125" s="33" t="s">
        <v>6</v>
      </c>
      <c r="AL125" s="114"/>
      <c r="AM125" s="115"/>
      <c r="AN125" s="115"/>
      <c r="AO125" s="116"/>
      <c r="AQ125" s="11">
        <v>46144</v>
      </c>
      <c r="AR125" s="33" t="s">
        <v>6</v>
      </c>
      <c r="AS125" s="114"/>
      <c r="AT125" s="115"/>
      <c r="AU125" s="115"/>
      <c r="AV125" s="116"/>
      <c r="AX125" s="11">
        <v>46143</v>
      </c>
      <c r="AY125" s="33" t="s">
        <v>5</v>
      </c>
      <c r="AZ125" s="114" t="s">
        <v>60</v>
      </c>
      <c r="BA125" s="115"/>
      <c r="BB125" s="115"/>
      <c r="BC125" s="116"/>
      <c r="BE125" s="11">
        <v>46144</v>
      </c>
      <c r="BF125" s="33" t="s">
        <v>6</v>
      </c>
      <c r="BG125" s="33"/>
      <c r="BH125" s="19"/>
      <c r="BI125" s="19"/>
      <c r="BJ125" s="20"/>
      <c r="BL125" s="11">
        <v>46144</v>
      </c>
      <c r="BM125" s="33" t="s">
        <v>6</v>
      </c>
      <c r="BN125" s="114"/>
      <c r="BO125" s="115"/>
      <c r="BP125" s="115"/>
      <c r="BQ125" s="116"/>
      <c r="BS125" s="11">
        <v>46144</v>
      </c>
      <c r="BT125" s="33" t="s">
        <v>6</v>
      </c>
      <c r="BU125" s="114"/>
      <c r="BV125" s="115"/>
      <c r="BW125" s="115"/>
      <c r="BX125" s="116"/>
      <c r="BZ125" s="11">
        <v>46143</v>
      </c>
      <c r="CA125" s="33" t="s">
        <v>5</v>
      </c>
      <c r="CB125" s="114" t="s">
        <v>60</v>
      </c>
      <c r="CC125" s="115"/>
      <c r="CD125" s="115"/>
      <c r="CE125" s="116"/>
      <c r="CG125" s="11">
        <v>46144</v>
      </c>
      <c r="CH125" s="33" t="s">
        <v>6</v>
      </c>
      <c r="CI125" s="114"/>
      <c r="CJ125" s="115"/>
      <c r="CK125" s="115"/>
      <c r="CL125" s="116"/>
      <c r="CN125" s="11">
        <v>46144</v>
      </c>
      <c r="CO125" s="33" t="s">
        <v>6</v>
      </c>
      <c r="CP125" s="114"/>
      <c r="CQ125" s="115"/>
      <c r="CR125" s="115"/>
      <c r="CS125" s="116"/>
      <c r="CU125" s="11">
        <v>46144</v>
      </c>
      <c r="CV125" s="33" t="s">
        <v>6</v>
      </c>
      <c r="CW125" s="114"/>
      <c r="CX125" s="115"/>
      <c r="CY125" s="115"/>
      <c r="CZ125" s="116"/>
      <c r="DB125" s="11">
        <v>46142</v>
      </c>
      <c r="DC125" s="33" t="s">
        <v>4</v>
      </c>
      <c r="DD125" s="114"/>
      <c r="DE125" s="115"/>
      <c r="DF125" s="115"/>
      <c r="DG125" s="116"/>
      <c r="DI125" s="11">
        <v>46144</v>
      </c>
      <c r="DJ125" s="33" t="s">
        <v>6</v>
      </c>
      <c r="DK125" s="114"/>
      <c r="DL125" s="115"/>
      <c r="DM125" s="115"/>
      <c r="DN125" s="116"/>
      <c r="DP125" s="11">
        <v>46142</v>
      </c>
      <c r="DQ125" s="33" t="s">
        <v>4</v>
      </c>
      <c r="DR125" s="114"/>
      <c r="DS125" s="115"/>
      <c r="DT125" s="115"/>
      <c r="DU125" s="116"/>
      <c r="DW125" s="11">
        <v>46144</v>
      </c>
      <c r="DX125" s="33" t="s">
        <v>6</v>
      </c>
      <c r="DY125" s="114"/>
      <c r="DZ125" s="115"/>
      <c r="EA125" s="115"/>
      <c r="EB125" s="116"/>
    </row>
    <row r="126" spans="1:132" x14ac:dyDescent="0.25">
      <c r="A126" s="11">
        <v>46145</v>
      </c>
      <c r="B126" s="33" t="s">
        <v>7</v>
      </c>
      <c r="C126" s="114"/>
      <c r="D126" s="115"/>
      <c r="E126" s="115"/>
      <c r="F126" s="116"/>
      <c r="H126" s="11">
        <v>46145</v>
      </c>
      <c r="I126" s="33" t="s">
        <v>7</v>
      </c>
      <c r="J126" s="114"/>
      <c r="K126" s="115"/>
      <c r="L126" s="115"/>
      <c r="M126" s="116"/>
      <c r="O126" s="11">
        <v>46145</v>
      </c>
      <c r="P126" s="33" t="s">
        <v>7</v>
      </c>
      <c r="Q126" s="114"/>
      <c r="R126" s="115"/>
      <c r="S126" s="115"/>
      <c r="T126" s="116"/>
      <c r="V126" s="11">
        <v>46144</v>
      </c>
      <c r="W126" s="33" t="s">
        <v>6</v>
      </c>
      <c r="X126" s="114"/>
      <c r="Y126" s="115"/>
      <c r="Z126" s="115"/>
      <c r="AA126" s="116"/>
      <c r="AC126" s="11">
        <v>46145</v>
      </c>
      <c r="AD126" s="33" t="s">
        <v>7</v>
      </c>
      <c r="AE126" s="114"/>
      <c r="AF126" s="115"/>
      <c r="AG126" s="115"/>
      <c r="AH126" s="116"/>
      <c r="AJ126" s="11">
        <v>46145</v>
      </c>
      <c r="AK126" s="33" t="s">
        <v>7</v>
      </c>
      <c r="AL126" s="114"/>
      <c r="AM126" s="115"/>
      <c r="AN126" s="115"/>
      <c r="AO126" s="116"/>
      <c r="AQ126" s="11">
        <v>46145</v>
      </c>
      <c r="AR126" s="33" t="s">
        <v>7</v>
      </c>
      <c r="AS126" s="114"/>
      <c r="AT126" s="115"/>
      <c r="AU126" s="115"/>
      <c r="AV126" s="116"/>
      <c r="AX126" s="11">
        <v>46144</v>
      </c>
      <c r="AY126" s="33" t="s">
        <v>6</v>
      </c>
      <c r="AZ126" s="114"/>
      <c r="BA126" s="115"/>
      <c r="BB126" s="115"/>
      <c r="BC126" s="116"/>
      <c r="BE126" s="11">
        <v>46145</v>
      </c>
      <c r="BF126" s="33" t="s">
        <v>7</v>
      </c>
      <c r="BG126" s="33"/>
      <c r="BH126" s="19"/>
      <c r="BI126" s="19"/>
      <c r="BJ126" s="20"/>
      <c r="BL126" s="11">
        <v>46145</v>
      </c>
      <c r="BM126" s="33" t="s">
        <v>7</v>
      </c>
      <c r="BN126" s="114"/>
      <c r="BO126" s="115"/>
      <c r="BP126" s="115"/>
      <c r="BQ126" s="116"/>
      <c r="BS126" s="11">
        <v>46145</v>
      </c>
      <c r="BT126" s="33" t="s">
        <v>7</v>
      </c>
      <c r="BU126" s="114"/>
      <c r="BV126" s="115"/>
      <c r="BW126" s="115"/>
      <c r="BX126" s="116"/>
      <c r="BZ126" s="11">
        <v>46144</v>
      </c>
      <c r="CA126" s="33" t="s">
        <v>6</v>
      </c>
      <c r="CB126" s="114"/>
      <c r="CC126" s="115"/>
      <c r="CD126" s="115"/>
      <c r="CE126" s="116"/>
      <c r="CG126" s="11">
        <v>46145</v>
      </c>
      <c r="CH126" s="33" t="s">
        <v>7</v>
      </c>
      <c r="CI126" s="114"/>
      <c r="CJ126" s="115"/>
      <c r="CK126" s="115"/>
      <c r="CL126" s="116"/>
      <c r="CN126" s="11">
        <v>46145</v>
      </c>
      <c r="CO126" s="33" t="s">
        <v>7</v>
      </c>
      <c r="CP126" s="114"/>
      <c r="CQ126" s="115"/>
      <c r="CR126" s="115"/>
      <c r="CS126" s="116"/>
      <c r="CU126" s="11">
        <v>46145</v>
      </c>
      <c r="CV126" s="33" t="s">
        <v>7</v>
      </c>
      <c r="CW126" s="114"/>
      <c r="CX126" s="115"/>
      <c r="CY126" s="115"/>
      <c r="CZ126" s="116"/>
      <c r="DB126" s="11">
        <v>46143</v>
      </c>
      <c r="DC126" s="33" t="s">
        <v>5</v>
      </c>
      <c r="DD126" s="114" t="s">
        <v>60</v>
      </c>
      <c r="DE126" s="115"/>
      <c r="DF126" s="115"/>
      <c r="DG126" s="116"/>
      <c r="DI126" s="11">
        <v>46145</v>
      </c>
      <c r="DJ126" s="33" t="s">
        <v>7</v>
      </c>
      <c r="DK126" s="114"/>
      <c r="DL126" s="115"/>
      <c r="DM126" s="115"/>
      <c r="DN126" s="116"/>
      <c r="DP126" s="11">
        <v>46143</v>
      </c>
      <c r="DQ126" s="33" t="s">
        <v>5</v>
      </c>
      <c r="DR126" s="114" t="s">
        <v>60</v>
      </c>
      <c r="DS126" s="115"/>
      <c r="DT126" s="115"/>
      <c r="DU126" s="116"/>
      <c r="DW126" s="11">
        <v>46145</v>
      </c>
      <c r="DX126" s="33" t="s">
        <v>7</v>
      </c>
      <c r="DY126" s="114"/>
      <c r="DZ126" s="115"/>
      <c r="EA126" s="115"/>
      <c r="EB126" s="116"/>
    </row>
    <row r="127" spans="1:132" x14ac:dyDescent="0.25">
      <c r="A127" s="11">
        <v>46146</v>
      </c>
      <c r="B127" s="33" t="s">
        <v>8</v>
      </c>
      <c r="C127" s="114"/>
      <c r="D127" s="115"/>
      <c r="E127" s="115"/>
      <c r="F127" s="116"/>
      <c r="H127" s="11">
        <v>46146</v>
      </c>
      <c r="I127" s="33" t="s">
        <v>8</v>
      </c>
      <c r="J127" s="114"/>
      <c r="K127" s="115"/>
      <c r="L127" s="115"/>
      <c r="M127" s="116"/>
      <c r="O127" s="11">
        <v>46146</v>
      </c>
      <c r="P127" s="33" t="s">
        <v>8</v>
      </c>
      <c r="Q127" s="114"/>
      <c r="R127" s="115"/>
      <c r="S127" s="115"/>
      <c r="T127" s="116"/>
      <c r="V127" s="11">
        <v>46145</v>
      </c>
      <c r="W127" s="33" t="s">
        <v>7</v>
      </c>
      <c r="X127" s="114"/>
      <c r="Y127" s="115"/>
      <c r="Z127" s="115"/>
      <c r="AA127" s="116"/>
      <c r="AC127" s="11">
        <v>46146</v>
      </c>
      <c r="AD127" s="33" t="s">
        <v>8</v>
      </c>
      <c r="AE127" s="114"/>
      <c r="AF127" s="115"/>
      <c r="AG127" s="115"/>
      <c r="AH127" s="116"/>
      <c r="AJ127" s="11">
        <v>46146</v>
      </c>
      <c r="AK127" s="33" t="s">
        <v>8</v>
      </c>
      <c r="AL127" s="114"/>
      <c r="AM127" s="115"/>
      <c r="AN127" s="115"/>
      <c r="AO127" s="116"/>
      <c r="AQ127" s="11">
        <v>46146</v>
      </c>
      <c r="AR127" s="33" t="s">
        <v>8</v>
      </c>
      <c r="AS127" s="114"/>
      <c r="AT127" s="115"/>
      <c r="AU127" s="115"/>
      <c r="AV127" s="116"/>
      <c r="AX127" s="11">
        <v>46145</v>
      </c>
      <c r="AY127" s="33" t="s">
        <v>7</v>
      </c>
      <c r="AZ127" s="114"/>
      <c r="BA127" s="115"/>
      <c r="BB127" s="115"/>
      <c r="BC127" s="116"/>
      <c r="BE127" s="11">
        <v>46146</v>
      </c>
      <c r="BF127" s="33" t="s">
        <v>8</v>
      </c>
      <c r="BG127" s="33"/>
      <c r="BH127" s="19"/>
      <c r="BI127" s="19"/>
      <c r="BJ127" s="20"/>
      <c r="BL127" s="11">
        <v>46146</v>
      </c>
      <c r="BM127" s="33" t="s">
        <v>8</v>
      </c>
      <c r="BN127" s="114"/>
      <c r="BO127" s="115"/>
      <c r="BP127" s="115"/>
      <c r="BQ127" s="116"/>
      <c r="BS127" s="11">
        <v>46146</v>
      </c>
      <c r="BT127" s="33" t="s">
        <v>8</v>
      </c>
      <c r="BU127" s="114"/>
      <c r="BV127" s="115"/>
      <c r="BW127" s="115"/>
      <c r="BX127" s="116"/>
      <c r="BZ127" s="11">
        <v>46145</v>
      </c>
      <c r="CA127" s="33" t="s">
        <v>7</v>
      </c>
      <c r="CB127" s="114"/>
      <c r="CC127" s="115"/>
      <c r="CD127" s="115"/>
      <c r="CE127" s="116"/>
      <c r="CG127" s="11">
        <v>46146</v>
      </c>
      <c r="CH127" s="33" t="s">
        <v>8</v>
      </c>
      <c r="CI127" s="114"/>
      <c r="CJ127" s="115"/>
      <c r="CK127" s="115"/>
      <c r="CL127" s="116"/>
      <c r="CN127" s="11">
        <v>46146</v>
      </c>
      <c r="CO127" s="33" t="s">
        <v>8</v>
      </c>
      <c r="CP127" s="114"/>
      <c r="CQ127" s="115"/>
      <c r="CR127" s="115"/>
      <c r="CS127" s="116"/>
      <c r="CU127" s="11">
        <v>46146</v>
      </c>
      <c r="CV127" s="33" t="s">
        <v>8</v>
      </c>
      <c r="CW127" s="114"/>
      <c r="CX127" s="115"/>
      <c r="CY127" s="115"/>
      <c r="CZ127" s="116"/>
      <c r="DB127" s="11">
        <v>46144</v>
      </c>
      <c r="DC127" s="33" t="s">
        <v>6</v>
      </c>
      <c r="DD127" s="114"/>
      <c r="DE127" s="115"/>
      <c r="DF127" s="115"/>
      <c r="DG127" s="116"/>
      <c r="DI127" s="11">
        <v>46146</v>
      </c>
      <c r="DJ127" s="33" t="s">
        <v>8</v>
      </c>
      <c r="DK127" s="114"/>
      <c r="DL127" s="115"/>
      <c r="DM127" s="115"/>
      <c r="DN127" s="116"/>
      <c r="DP127" s="11">
        <v>46144</v>
      </c>
      <c r="DQ127" s="33" t="s">
        <v>6</v>
      </c>
      <c r="DR127" s="114"/>
      <c r="DS127" s="115"/>
      <c r="DT127" s="115"/>
      <c r="DU127" s="116"/>
      <c r="DW127" s="11">
        <v>46146</v>
      </c>
      <c r="DX127" s="33" t="s">
        <v>8</v>
      </c>
      <c r="DY127" s="114"/>
      <c r="DZ127" s="115"/>
      <c r="EA127" s="115"/>
      <c r="EB127" s="116"/>
    </row>
    <row r="128" spans="1:132" x14ac:dyDescent="0.25">
      <c r="A128" s="11">
        <v>46147</v>
      </c>
      <c r="B128" s="33" t="s">
        <v>9</v>
      </c>
      <c r="C128" s="114"/>
      <c r="D128" s="115"/>
      <c r="E128" s="115"/>
      <c r="F128" s="116"/>
      <c r="H128" s="11">
        <v>46147</v>
      </c>
      <c r="I128" s="33" t="s">
        <v>9</v>
      </c>
      <c r="J128" s="114"/>
      <c r="K128" s="115"/>
      <c r="L128" s="115"/>
      <c r="M128" s="116"/>
      <c r="O128" s="11">
        <v>46147</v>
      </c>
      <c r="P128" s="33" t="s">
        <v>9</v>
      </c>
      <c r="Q128" s="114"/>
      <c r="R128" s="115"/>
      <c r="S128" s="115"/>
      <c r="T128" s="116"/>
      <c r="V128" s="11">
        <v>46146</v>
      </c>
      <c r="W128" s="33" t="s">
        <v>8</v>
      </c>
      <c r="X128" s="114"/>
      <c r="Y128" s="115"/>
      <c r="Z128" s="115"/>
      <c r="AA128" s="116"/>
      <c r="AC128" s="11">
        <v>46147</v>
      </c>
      <c r="AD128" s="33" t="s">
        <v>9</v>
      </c>
      <c r="AE128" s="114"/>
      <c r="AF128" s="115"/>
      <c r="AG128" s="115"/>
      <c r="AH128" s="116"/>
      <c r="AJ128" s="11">
        <v>46147</v>
      </c>
      <c r="AK128" s="33" t="s">
        <v>9</v>
      </c>
      <c r="AL128" s="114"/>
      <c r="AM128" s="115"/>
      <c r="AN128" s="115"/>
      <c r="AO128" s="116"/>
      <c r="AQ128" s="11">
        <v>46147</v>
      </c>
      <c r="AR128" s="33" t="s">
        <v>9</v>
      </c>
      <c r="AS128" s="114"/>
      <c r="AT128" s="115"/>
      <c r="AU128" s="115"/>
      <c r="AV128" s="116"/>
      <c r="AX128" s="11">
        <v>46146</v>
      </c>
      <c r="AY128" s="33" t="s">
        <v>8</v>
      </c>
      <c r="AZ128" s="114"/>
      <c r="BA128" s="115"/>
      <c r="BB128" s="115"/>
      <c r="BC128" s="116"/>
      <c r="BE128" s="11">
        <v>46147</v>
      </c>
      <c r="BF128" s="33" t="s">
        <v>9</v>
      </c>
      <c r="BG128" s="33"/>
      <c r="BH128" s="19"/>
      <c r="BI128" s="19"/>
      <c r="BJ128" s="20"/>
      <c r="BL128" s="11">
        <v>46147</v>
      </c>
      <c r="BM128" s="33" t="s">
        <v>9</v>
      </c>
      <c r="BN128" s="114"/>
      <c r="BO128" s="115"/>
      <c r="BP128" s="115"/>
      <c r="BQ128" s="116"/>
      <c r="BS128" s="11">
        <v>46147</v>
      </c>
      <c r="BT128" s="33" t="s">
        <v>9</v>
      </c>
      <c r="BU128" s="114"/>
      <c r="BV128" s="115"/>
      <c r="BW128" s="115"/>
      <c r="BX128" s="116"/>
      <c r="BZ128" s="11">
        <v>46146</v>
      </c>
      <c r="CA128" s="33" t="s">
        <v>8</v>
      </c>
      <c r="CB128" s="114"/>
      <c r="CC128" s="115"/>
      <c r="CD128" s="115"/>
      <c r="CE128" s="116"/>
      <c r="CG128" s="11">
        <v>46147</v>
      </c>
      <c r="CH128" s="33" t="s">
        <v>9</v>
      </c>
      <c r="CI128" s="114"/>
      <c r="CJ128" s="115"/>
      <c r="CK128" s="115"/>
      <c r="CL128" s="116"/>
      <c r="CN128" s="11">
        <v>46147</v>
      </c>
      <c r="CO128" s="33" t="s">
        <v>9</v>
      </c>
      <c r="CP128" s="114"/>
      <c r="CQ128" s="115"/>
      <c r="CR128" s="115"/>
      <c r="CS128" s="116"/>
      <c r="CU128" s="11">
        <v>46147</v>
      </c>
      <c r="CV128" s="33" t="s">
        <v>9</v>
      </c>
      <c r="CW128" s="114"/>
      <c r="CX128" s="115"/>
      <c r="CY128" s="115"/>
      <c r="CZ128" s="116"/>
      <c r="DB128" s="11">
        <v>46145</v>
      </c>
      <c r="DC128" s="33" t="s">
        <v>7</v>
      </c>
      <c r="DD128" s="114"/>
      <c r="DE128" s="115"/>
      <c r="DF128" s="115"/>
      <c r="DG128" s="116"/>
      <c r="DI128" s="11">
        <v>46147</v>
      </c>
      <c r="DJ128" s="33" t="s">
        <v>9</v>
      </c>
      <c r="DK128" s="114"/>
      <c r="DL128" s="115"/>
      <c r="DM128" s="115"/>
      <c r="DN128" s="116"/>
      <c r="DP128" s="11">
        <v>46145</v>
      </c>
      <c r="DQ128" s="33" t="s">
        <v>7</v>
      </c>
      <c r="DR128" s="114"/>
      <c r="DS128" s="115"/>
      <c r="DT128" s="115"/>
      <c r="DU128" s="116"/>
      <c r="DW128" s="11">
        <v>46147</v>
      </c>
      <c r="DX128" s="33" t="s">
        <v>9</v>
      </c>
      <c r="DY128" s="114"/>
      <c r="DZ128" s="115"/>
      <c r="EA128" s="115"/>
      <c r="EB128" s="116"/>
    </row>
    <row r="129" spans="1:132" x14ac:dyDescent="0.25">
      <c r="A129" s="11">
        <v>46148</v>
      </c>
      <c r="B129" s="33" t="s">
        <v>3</v>
      </c>
      <c r="C129" s="114"/>
      <c r="D129" s="115"/>
      <c r="E129" s="115"/>
      <c r="F129" s="116"/>
      <c r="H129" s="11">
        <v>46148</v>
      </c>
      <c r="I129" s="33" t="s">
        <v>3</v>
      </c>
      <c r="J129" s="114"/>
      <c r="K129" s="115"/>
      <c r="L129" s="115"/>
      <c r="M129" s="116"/>
      <c r="O129" s="11">
        <v>46148</v>
      </c>
      <c r="P129" s="33" t="s">
        <v>3</v>
      </c>
      <c r="Q129" s="114"/>
      <c r="R129" s="115"/>
      <c r="S129" s="115"/>
      <c r="T129" s="116"/>
      <c r="V129" s="11">
        <v>46147</v>
      </c>
      <c r="W129" s="33" t="s">
        <v>9</v>
      </c>
      <c r="X129" s="114"/>
      <c r="Y129" s="115"/>
      <c r="Z129" s="115"/>
      <c r="AA129" s="116"/>
      <c r="AC129" s="11">
        <v>46148</v>
      </c>
      <c r="AD129" s="33" t="s">
        <v>3</v>
      </c>
      <c r="AE129" s="114"/>
      <c r="AF129" s="115"/>
      <c r="AG129" s="115"/>
      <c r="AH129" s="116"/>
      <c r="AJ129" s="11">
        <v>46148</v>
      </c>
      <c r="AK129" s="33" t="s">
        <v>3</v>
      </c>
      <c r="AL129" s="114"/>
      <c r="AM129" s="115"/>
      <c r="AN129" s="115"/>
      <c r="AO129" s="116"/>
      <c r="AQ129" s="11">
        <v>46148</v>
      </c>
      <c r="AR129" s="33" t="s">
        <v>3</v>
      </c>
      <c r="AS129" s="114"/>
      <c r="AT129" s="115"/>
      <c r="AU129" s="115"/>
      <c r="AV129" s="116"/>
      <c r="AX129" s="11">
        <v>46147</v>
      </c>
      <c r="AY129" s="33" t="s">
        <v>9</v>
      </c>
      <c r="AZ129" s="114"/>
      <c r="BA129" s="115"/>
      <c r="BB129" s="115"/>
      <c r="BC129" s="116"/>
      <c r="BE129" s="11">
        <v>46148</v>
      </c>
      <c r="BF129" s="33" t="s">
        <v>3</v>
      </c>
      <c r="BG129" s="33"/>
      <c r="BH129" s="19"/>
      <c r="BI129" s="19"/>
      <c r="BJ129" s="20"/>
      <c r="BL129" s="11">
        <v>46148</v>
      </c>
      <c r="BM129" s="33" t="s">
        <v>3</v>
      </c>
      <c r="BN129" s="114"/>
      <c r="BO129" s="115"/>
      <c r="BP129" s="115"/>
      <c r="BQ129" s="116"/>
      <c r="BS129" s="11">
        <v>46148</v>
      </c>
      <c r="BT129" s="33" t="s">
        <v>3</v>
      </c>
      <c r="BU129" s="114"/>
      <c r="BV129" s="115"/>
      <c r="BW129" s="115"/>
      <c r="BX129" s="116"/>
      <c r="BZ129" s="11">
        <v>46147</v>
      </c>
      <c r="CA129" s="33" t="s">
        <v>9</v>
      </c>
      <c r="CB129" s="114"/>
      <c r="CC129" s="115"/>
      <c r="CD129" s="115"/>
      <c r="CE129" s="116"/>
      <c r="CG129" s="11">
        <v>46148</v>
      </c>
      <c r="CH129" s="33" t="s">
        <v>3</v>
      </c>
      <c r="CI129" s="114"/>
      <c r="CJ129" s="115"/>
      <c r="CK129" s="115"/>
      <c r="CL129" s="116"/>
      <c r="CN129" s="11">
        <v>46148</v>
      </c>
      <c r="CO129" s="33" t="s">
        <v>3</v>
      </c>
      <c r="CP129" s="114"/>
      <c r="CQ129" s="115"/>
      <c r="CR129" s="115"/>
      <c r="CS129" s="116"/>
      <c r="CU129" s="11">
        <v>46148</v>
      </c>
      <c r="CV129" s="33" t="s">
        <v>3</v>
      </c>
      <c r="CW129" s="114"/>
      <c r="CX129" s="115"/>
      <c r="CY129" s="115"/>
      <c r="CZ129" s="116"/>
      <c r="DB129" s="11">
        <v>46146</v>
      </c>
      <c r="DC129" s="33" t="s">
        <v>8</v>
      </c>
      <c r="DD129" s="114"/>
      <c r="DE129" s="115"/>
      <c r="DF129" s="115"/>
      <c r="DG129" s="116"/>
      <c r="DI129" s="11">
        <v>46148</v>
      </c>
      <c r="DJ129" s="33" t="s">
        <v>3</v>
      </c>
      <c r="DK129" s="114"/>
      <c r="DL129" s="115"/>
      <c r="DM129" s="115"/>
      <c r="DN129" s="116"/>
      <c r="DP129" s="11">
        <v>46146</v>
      </c>
      <c r="DQ129" s="33" t="s">
        <v>8</v>
      </c>
      <c r="DR129" s="114"/>
      <c r="DS129" s="115"/>
      <c r="DT129" s="115"/>
      <c r="DU129" s="116"/>
      <c r="DW129" s="11">
        <v>46148</v>
      </c>
      <c r="DX129" s="33" t="s">
        <v>3</v>
      </c>
      <c r="DY129" s="114"/>
      <c r="DZ129" s="115"/>
      <c r="EA129" s="115"/>
      <c r="EB129" s="116"/>
    </row>
    <row r="130" spans="1:132" x14ac:dyDescent="0.25">
      <c r="A130" s="11">
        <v>46149</v>
      </c>
      <c r="B130" s="33" t="s">
        <v>4</v>
      </c>
      <c r="C130" s="114"/>
      <c r="D130" s="115"/>
      <c r="E130" s="115"/>
      <c r="F130" s="116"/>
      <c r="H130" s="11">
        <v>46149</v>
      </c>
      <c r="I130" s="33" t="s">
        <v>4</v>
      </c>
      <c r="J130" s="114"/>
      <c r="K130" s="115"/>
      <c r="L130" s="115"/>
      <c r="M130" s="116"/>
      <c r="O130" s="11">
        <v>46149</v>
      </c>
      <c r="P130" s="33" t="s">
        <v>4</v>
      </c>
      <c r="Q130" s="114"/>
      <c r="R130" s="115"/>
      <c r="S130" s="115"/>
      <c r="T130" s="116"/>
      <c r="V130" s="11">
        <v>46148</v>
      </c>
      <c r="W130" s="33" t="s">
        <v>3</v>
      </c>
      <c r="X130" s="114"/>
      <c r="Y130" s="115"/>
      <c r="Z130" s="115"/>
      <c r="AA130" s="116"/>
      <c r="AC130" s="11">
        <v>46149</v>
      </c>
      <c r="AD130" s="33" t="s">
        <v>4</v>
      </c>
      <c r="AE130" s="114"/>
      <c r="AF130" s="115"/>
      <c r="AG130" s="115"/>
      <c r="AH130" s="116"/>
      <c r="AJ130" s="11">
        <v>46149</v>
      </c>
      <c r="AK130" s="33" t="s">
        <v>4</v>
      </c>
      <c r="AL130" s="114"/>
      <c r="AM130" s="115"/>
      <c r="AN130" s="115"/>
      <c r="AO130" s="116"/>
      <c r="AQ130" s="11">
        <v>46149</v>
      </c>
      <c r="AR130" s="33" t="s">
        <v>4</v>
      </c>
      <c r="AS130" s="114"/>
      <c r="AT130" s="115"/>
      <c r="AU130" s="115"/>
      <c r="AV130" s="116"/>
      <c r="AX130" s="11">
        <v>46148</v>
      </c>
      <c r="AY130" s="33" t="s">
        <v>3</v>
      </c>
      <c r="AZ130" s="114"/>
      <c r="BA130" s="115"/>
      <c r="BB130" s="115"/>
      <c r="BC130" s="116"/>
      <c r="BE130" s="11">
        <v>46149</v>
      </c>
      <c r="BF130" s="33" t="s">
        <v>4</v>
      </c>
      <c r="BG130" s="33"/>
      <c r="BH130" s="19"/>
      <c r="BI130" s="19"/>
      <c r="BJ130" s="20"/>
      <c r="BL130" s="11">
        <v>46149</v>
      </c>
      <c r="BM130" s="33" t="s">
        <v>4</v>
      </c>
      <c r="BN130" s="114"/>
      <c r="BO130" s="115"/>
      <c r="BP130" s="115"/>
      <c r="BQ130" s="116"/>
      <c r="BS130" s="11">
        <v>46149</v>
      </c>
      <c r="BT130" s="33" t="s">
        <v>4</v>
      </c>
      <c r="BU130" s="114"/>
      <c r="BV130" s="115"/>
      <c r="BW130" s="115"/>
      <c r="BX130" s="116"/>
      <c r="BZ130" s="11">
        <v>46148</v>
      </c>
      <c r="CA130" s="33" t="s">
        <v>3</v>
      </c>
      <c r="CB130" s="114"/>
      <c r="CC130" s="115"/>
      <c r="CD130" s="115"/>
      <c r="CE130" s="116"/>
      <c r="CG130" s="11">
        <v>46149</v>
      </c>
      <c r="CH130" s="33" t="s">
        <v>4</v>
      </c>
      <c r="CI130" s="114"/>
      <c r="CJ130" s="115"/>
      <c r="CK130" s="115"/>
      <c r="CL130" s="116"/>
      <c r="CN130" s="11">
        <v>46149</v>
      </c>
      <c r="CO130" s="33" t="s">
        <v>4</v>
      </c>
      <c r="CP130" s="114"/>
      <c r="CQ130" s="115"/>
      <c r="CR130" s="115"/>
      <c r="CS130" s="116"/>
      <c r="CU130" s="11">
        <v>46149</v>
      </c>
      <c r="CV130" s="33" t="s">
        <v>4</v>
      </c>
      <c r="CW130" s="114"/>
      <c r="CX130" s="115"/>
      <c r="CY130" s="115"/>
      <c r="CZ130" s="116"/>
      <c r="DB130" s="11">
        <v>46147</v>
      </c>
      <c r="DC130" s="33" t="s">
        <v>9</v>
      </c>
      <c r="DD130" s="114"/>
      <c r="DE130" s="115"/>
      <c r="DF130" s="115"/>
      <c r="DG130" s="116"/>
      <c r="DI130" s="11">
        <v>46149</v>
      </c>
      <c r="DJ130" s="33" t="s">
        <v>4</v>
      </c>
      <c r="DK130" s="114"/>
      <c r="DL130" s="115"/>
      <c r="DM130" s="115"/>
      <c r="DN130" s="116"/>
      <c r="DP130" s="11">
        <v>46147</v>
      </c>
      <c r="DQ130" s="33" t="s">
        <v>9</v>
      </c>
      <c r="DR130" s="114"/>
      <c r="DS130" s="115"/>
      <c r="DT130" s="115"/>
      <c r="DU130" s="116"/>
      <c r="DW130" s="11">
        <v>46149</v>
      </c>
      <c r="DX130" s="33" t="s">
        <v>4</v>
      </c>
      <c r="DY130" s="114"/>
      <c r="DZ130" s="115"/>
      <c r="EA130" s="115"/>
      <c r="EB130" s="116"/>
    </row>
    <row r="131" spans="1:132" x14ac:dyDescent="0.25">
      <c r="A131" s="11">
        <v>46150</v>
      </c>
      <c r="B131" s="33" t="s">
        <v>5</v>
      </c>
      <c r="C131" s="114"/>
      <c r="D131" s="115"/>
      <c r="E131" s="115"/>
      <c r="F131" s="116"/>
      <c r="H131" s="11">
        <v>46150</v>
      </c>
      <c r="I131" s="33" t="s">
        <v>5</v>
      </c>
      <c r="J131" s="114"/>
      <c r="K131" s="115"/>
      <c r="L131" s="115"/>
      <c r="M131" s="116"/>
      <c r="O131" s="11">
        <v>46150</v>
      </c>
      <c r="P131" s="33" t="s">
        <v>5</v>
      </c>
      <c r="Q131" s="114"/>
      <c r="R131" s="115"/>
      <c r="S131" s="115"/>
      <c r="T131" s="116"/>
      <c r="V131" s="11">
        <v>46149</v>
      </c>
      <c r="W131" s="33" t="s">
        <v>4</v>
      </c>
      <c r="X131" s="114"/>
      <c r="Y131" s="115"/>
      <c r="Z131" s="115"/>
      <c r="AA131" s="116"/>
      <c r="AC131" s="11">
        <v>46150</v>
      </c>
      <c r="AD131" s="33" t="s">
        <v>5</v>
      </c>
      <c r="AE131" s="114"/>
      <c r="AF131" s="115"/>
      <c r="AG131" s="115"/>
      <c r="AH131" s="116"/>
      <c r="AJ131" s="11">
        <v>46150</v>
      </c>
      <c r="AK131" s="33" t="s">
        <v>5</v>
      </c>
      <c r="AL131" s="114"/>
      <c r="AM131" s="115"/>
      <c r="AN131" s="115"/>
      <c r="AO131" s="116"/>
      <c r="AQ131" s="11">
        <v>46150</v>
      </c>
      <c r="AR131" s="33" t="s">
        <v>5</v>
      </c>
      <c r="AS131" s="114"/>
      <c r="AT131" s="115"/>
      <c r="AU131" s="115"/>
      <c r="AV131" s="116"/>
      <c r="AX131" s="11">
        <v>46149</v>
      </c>
      <c r="AY131" s="33" t="s">
        <v>4</v>
      </c>
      <c r="AZ131" s="114"/>
      <c r="BA131" s="115"/>
      <c r="BB131" s="115"/>
      <c r="BC131" s="116"/>
      <c r="BE131" s="11">
        <v>46150</v>
      </c>
      <c r="BF131" s="33" t="s">
        <v>5</v>
      </c>
      <c r="BG131" s="33"/>
      <c r="BH131" s="19"/>
      <c r="BI131" s="19"/>
      <c r="BJ131" s="20"/>
      <c r="BL131" s="11">
        <v>46150</v>
      </c>
      <c r="BM131" s="33" t="s">
        <v>5</v>
      </c>
      <c r="BN131" s="114"/>
      <c r="BO131" s="115"/>
      <c r="BP131" s="115"/>
      <c r="BQ131" s="116"/>
      <c r="BS131" s="11">
        <v>46150</v>
      </c>
      <c r="BT131" s="33" t="s">
        <v>5</v>
      </c>
      <c r="BU131" s="114"/>
      <c r="BV131" s="115"/>
      <c r="BW131" s="115"/>
      <c r="BX131" s="116"/>
      <c r="BZ131" s="11">
        <v>46149</v>
      </c>
      <c r="CA131" s="33" t="s">
        <v>4</v>
      </c>
      <c r="CB131" s="114"/>
      <c r="CC131" s="115"/>
      <c r="CD131" s="115"/>
      <c r="CE131" s="116"/>
      <c r="CG131" s="11">
        <v>46150</v>
      </c>
      <c r="CH131" s="33" t="s">
        <v>5</v>
      </c>
      <c r="CI131" s="114"/>
      <c r="CJ131" s="115"/>
      <c r="CK131" s="115"/>
      <c r="CL131" s="116"/>
      <c r="CN131" s="11">
        <v>46150</v>
      </c>
      <c r="CO131" s="33" t="s">
        <v>5</v>
      </c>
      <c r="CP131" s="114"/>
      <c r="CQ131" s="115"/>
      <c r="CR131" s="115"/>
      <c r="CS131" s="116"/>
      <c r="CU131" s="11">
        <v>46150</v>
      </c>
      <c r="CV131" s="33" t="s">
        <v>5</v>
      </c>
      <c r="CW131" s="114"/>
      <c r="CX131" s="115"/>
      <c r="CY131" s="115"/>
      <c r="CZ131" s="116"/>
      <c r="DB131" s="11">
        <v>46148</v>
      </c>
      <c r="DC131" s="33" t="s">
        <v>3</v>
      </c>
      <c r="DD131" s="114"/>
      <c r="DE131" s="115"/>
      <c r="DF131" s="115"/>
      <c r="DG131" s="116"/>
      <c r="DI131" s="11">
        <v>46150</v>
      </c>
      <c r="DJ131" s="33" t="s">
        <v>5</v>
      </c>
      <c r="DK131" s="114"/>
      <c r="DL131" s="115"/>
      <c r="DM131" s="115"/>
      <c r="DN131" s="116"/>
      <c r="DP131" s="11">
        <v>46148</v>
      </c>
      <c r="DQ131" s="33" t="s">
        <v>3</v>
      </c>
      <c r="DR131" s="114"/>
      <c r="DS131" s="115"/>
      <c r="DT131" s="115"/>
      <c r="DU131" s="116"/>
      <c r="DW131" s="11">
        <v>46150</v>
      </c>
      <c r="DX131" s="33" t="s">
        <v>5</v>
      </c>
      <c r="DY131" s="114"/>
      <c r="DZ131" s="115"/>
      <c r="EA131" s="115"/>
      <c r="EB131" s="116"/>
    </row>
    <row r="132" spans="1:132" x14ac:dyDescent="0.25">
      <c r="A132" s="11">
        <v>46151</v>
      </c>
      <c r="B132" s="33" t="s">
        <v>6</v>
      </c>
      <c r="C132" s="114"/>
      <c r="D132" s="115"/>
      <c r="E132" s="115"/>
      <c r="F132" s="116"/>
      <c r="H132" s="11">
        <v>46151</v>
      </c>
      <c r="I132" s="33" t="s">
        <v>6</v>
      </c>
      <c r="J132" s="114"/>
      <c r="K132" s="115"/>
      <c r="L132" s="115"/>
      <c r="M132" s="116"/>
      <c r="O132" s="11">
        <v>46151</v>
      </c>
      <c r="P132" s="33" t="s">
        <v>6</v>
      </c>
      <c r="Q132" s="114"/>
      <c r="R132" s="115"/>
      <c r="S132" s="115"/>
      <c r="T132" s="116"/>
      <c r="V132" s="11">
        <v>46150</v>
      </c>
      <c r="W132" s="33" t="s">
        <v>5</v>
      </c>
      <c r="X132" s="114"/>
      <c r="Y132" s="115"/>
      <c r="Z132" s="115"/>
      <c r="AA132" s="116"/>
      <c r="AC132" s="11">
        <v>46151</v>
      </c>
      <c r="AD132" s="33" t="s">
        <v>6</v>
      </c>
      <c r="AE132" s="114"/>
      <c r="AF132" s="115"/>
      <c r="AG132" s="115"/>
      <c r="AH132" s="116"/>
      <c r="AJ132" s="11">
        <v>46151</v>
      </c>
      <c r="AK132" s="33" t="s">
        <v>6</v>
      </c>
      <c r="AL132" s="114"/>
      <c r="AM132" s="115"/>
      <c r="AN132" s="115"/>
      <c r="AO132" s="116"/>
      <c r="AQ132" s="11">
        <v>46151</v>
      </c>
      <c r="AR132" s="33" t="s">
        <v>6</v>
      </c>
      <c r="AS132" s="114"/>
      <c r="AT132" s="115"/>
      <c r="AU132" s="115"/>
      <c r="AV132" s="116"/>
      <c r="AX132" s="11">
        <v>46150</v>
      </c>
      <c r="AY132" s="33" t="s">
        <v>5</v>
      </c>
      <c r="AZ132" s="114"/>
      <c r="BA132" s="115"/>
      <c r="BB132" s="115"/>
      <c r="BC132" s="116"/>
      <c r="BE132" s="11">
        <v>46151</v>
      </c>
      <c r="BF132" s="33" t="s">
        <v>6</v>
      </c>
      <c r="BG132" s="33"/>
      <c r="BH132" s="19"/>
      <c r="BI132" s="19"/>
      <c r="BJ132" s="20"/>
      <c r="BL132" s="11">
        <v>46151</v>
      </c>
      <c r="BM132" s="33" t="s">
        <v>6</v>
      </c>
      <c r="BN132" s="114"/>
      <c r="BO132" s="115"/>
      <c r="BP132" s="115"/>
      <c r="BQ132" s="116"/>
      <c r="BS132" s="11">
        <v>46151</v>
      </c>
      <c r="BT132" s="33" t="s">
        <v>6</v>
      </c>
      <c r="BU132" s="114"/>
      <c r="BV132" s="115"/>
      <c r="BW132" s="115"/>
      <c r="BX132" s="116"/>
      <c r="BZ132" s="11">
        <v>46150</v>
      </c>
      <c r="CA132" s="33" t="s">
        <v>5</v>
      </c>
      <c r="CB132" s="114"/>
      <c r="CC132" s="115"/>
      <c r="CD132" s="115"/>
      <c r="CE132" s="116"/>
      <c r="CG132" s="11">
        <v>46151</v>
      </c>
      <c r="CH132" s="33" t="s">
        <v>6</v>
      </c>
      <c r="CI132" s="114"/>
      <c r="CJ132" s="115"/>
      <c r="CK132" s="115"/>
      <c r="CL132" s="116"/>
      <c r="CN132" s="11">
        <v>46151</v>
      </c>
      <c r="CO132" s="33" t="s">
        <v>6</v>
      </c>
      <c r="CP132" s="114"/>
      <c r="CQ132" s="115"/>
      <c r="CR132" s="115"/>
      <c r="CS132" s="116"/>
      <c r="CU132" s="11">
        <v>46151</v>
      </c>
      <c r="CV132" s="33" t="s">
        <v>6</v>
      </c>
      <c r="CW132" s="114"/>
      <c r="CX132" s="115"/>
      <c r="CY132" s="115"/>
      <c r="CZ132" s="116"/>
      <c r="DB132" s="11">
        <v>46149</v>
      </c>
      <c r="DC132" s="33" t="s">
        <v>4</v>
      </c>
      <c r="DD132" s="114"/>
      <c r="DE132" s="115"/>
      <c r="DF132" s="115"/>
      <c r="DG132" s="116"/>
      <c r="DI132" s="11">
        <v>46151</v>
      </c>
      <c r="DJ132" s="33" t="s">
        <v>6</v>
      </c>
      <c r="DK132" s="114"/>
      <c r="DL132" s="115"/>
      <c r="DM132" s="115"/>
      <c r="DN132" s="116"/>
      <c r="DP132" s="11">
        <v>46149</v>
      </c>
      <c r="DQ132" s="33" t="s">
        <v>4</v>
      </c>
      <c r="DR132" s="114"/>
      <c r="DS132" s="115"/>
      <c r="DT132" s="115"/>
      <c r="DU132" s="116"/>
      <c r="DW132" s="11">
        <v>46151</v>
      </c>
      <c r="DX132" s="33" t="s">
        <v>6</v>
      </c>
      <c r="DY132" s="114"/>
      <c r="DZ132" s="115"/>
      <c r="EA132" s="115"/>
      <c r="EB132" s="116"/>
    </row>
    <row r="133" spans="1:132" x14ac:dyDescent="0.25">
      <c r="A133" s="11">
        <v>46152</v>
      </c>
      <c r="B133" s="33" t="s">
        <v>7</v>
      </c>
      <c r="C133" s="114"/>
      <c r="D133" s="115"/>
      <c r="E133" s="115"/>
      <c r="F133" s="116"/>
      <c r="H133" s="11">
        <v>46152</v>
      </c>
      <c r="I133" s="33" t="s">
        <v>7</v>
      </c>
      <c r="J133" s="114"/>
      <c r="K133" s="115"/>
      <c r="L133" s="115"/>
      <c r="M133" s="116"/>
      <c r="O133" s="11">
        <v>46152</v>
      </c>
      <c r="P133" s="33" t="s">
        <v>7</v>
      </c>
      <c r="Q133" s="114"/>
      <c r="R133" s="115"/>
      <c r="S133" s="115"/>
      <c r="T133" s="116"/>
      <c r="V133" s="11">
        <v>46151</v>
      </c>
      <c r="W133" s="33" t="s">
        <v>6</v>
      </c>
      <c r="X133" s="114"/>
      <c r="Y133" s="115"/>
      <c r="Z133" s="115"/>
      <c r="AA133" s="116"/>
      <c r="AC133" s="11">
        <v>46152</v>
      </c>
      <c r="AD133" s="33" t="s">
        <v>7</v>
      </c>
      <c r="AE133" s="114"/>
      <c r="AF133" s="115"/>
      <c r="AG133" s="115"/>
      <c r="AH133" s="116"/>
      <c r="AJ133" s="11">
        <v>46152</v>
      </c>
      <c r="AK133" s="33" t="s">
        <v>7</v>
      </c>
      <c r="AL133" s="114"/>
      <c r="AM133" s="115"/>
      <c r="AN133" s="115"/>
      <c r="AO133" s="116"/>
      <c r="AQ133" s="11">
        <v>46152</v>
      </c>
      <c r="AR133" s="33" t="s">
        <v>7</v>
      </c>
      <c r="AS133" s="114"/>
      <c r="AT133" s="115"/>
      <c r="AU133" s="115"/>
      <c r="AV133" s="116"/>
      <c r="AX133" s="11">
        <v>46151</v>
      </c>
      <c r="AY133" s="33" t="s">
        <v>6</v>
      </c>
      <c r="AZ133" s="114"/>
      <c r="BA133" s="115"/>
      <c r="BB133" s="115"/>
      <c r="BC133" s="116"/>
      <c r="BE133" s="11">
        <v>46152</v>
      </c>
      <c r="BF133" s="33" t="s">
        <v>7</v>
      </c>
      <c r="BG133" s="33"/>
      <c r="BH133" s="19"/>
      <c r="BI133" s="19"/>
      <c r="BJ133" s="20"/>
      <c r="BL133" s="11">
        <v>46152</v>
      </c>
      <c r="BM133" s="33" t="s">
        <v>7</v>
      </c>
      <c r="BN133" s="114"/>
      <c r="BO133" s="115"/>
      <c r="BP133" s="115"/>
      <c r="BQ133" s="116"/>
      <c r="BS133" s="11">
        <v>46152</v>
      </c>
      <c r="BT133" s="33" t="s">
        <v>7</v>
      </c>
      <c r="BU133" s="114"/>
      <c r="BV133" s="115"/>
      <c r="BW133" s="115"/>
      <c r="BX133" s="116"/>
      <c r="BZ133" s="11">
        <v>46151</v>
      </c>
      <c r="CA133" s="33" t="s">
        <v>6</v>
      </c>
      <c r="CB133" s="114"/>
      <c r="CC133" s="115"/>
      <c r="CD133" s="115"/>
      <c r="CE133" s="116"/>
      <c r="CG133" s="11">
        <v>46152</v>
      </c>
      <c r="CH133" s="33" t="s">
        <v>7</v>
      </c>
      <c r="CI133" s="114"/>
      <c r="CJ133" s="115"/>
      <c r="CK133" s="115"/>
      <c r="CL133" s="116"/>
      <c r="CN133" s="11">
        <v>46152</v>
      </c>
      <c r="CO133" s="33" t="s">
        <v>7</v>
      </c>
      <c r="CP133" s="114"/>
      <c r="CQ133" s="115"/>
      <c r="CR133" s="115"/>
      <c r="CS133" s="116"/>
      <c r="CU133" s="11">
        <v>46152</v>
      </c>
      <c r="CV133" s="33" t="s">
        <v>7</v>
      </c>
      <c r="CW133" s="114"/>
      <c r="CX133" s="115"/>
      <c r="CY133" s="115"/>
      <c r="CZ133" s="116"/>
      <c r="DB133" s="11">
        <v>46150</v>
      </c>
      <c r="DC133" s="33" t="s">
        <v>5</v>
      </c>
      <c r="DD133" s="114"/>
      <c r="DE133" s="115"/>
      <c r="DF133" s="115"/>
      <c r="DG133" s="116"/>
      <c r="DI133" s="11">
        <v>46152</v>
      </c>
      <c r="DJ133" s="33" t="s">
        <v>7</v>
      </c>
      <c r="DK133" s="114"/>
      <c r="DL133" s="115"/>
      <c r="DM133" s="115"/>
      <c r="DN133" s="116"/>
      <c r="DP133" s="11">
        <v>46150</v>
      </c>
      <c r="DQ133" s="33" t="s">
        <v>5</v>
      </c>
      <c r="DR133" s="114"/>
      <c r="DS133" s="115"/>
      <c r="DT133" s="115"/>
      <c r="DU133" s="116"/>
      <c r="DW133" s="11">
        <v>46152</v>
      </c>
      <c r="DX133" s="33" t="s">
        <v>7</v>
      </c>
      <c r="DY133" s="114"/>
      <c r="DZ133" s="115"/>
      <c r="EA133" s="115"/>
      <c r="EB133" s="116"/>
    </row>
    <row r="134" spans="1:132" x14ac:dyDescent="0.25">
      <c r="A134" s="11">
        <v>46153</v>
      </c>
      <c r="B134" s="33" t="s">
        <v>8</v>
      </c>
      <c r="C134" s="114"/>
      <c r="D134" s="115"/>
      <c r="E134" s="115"/>
      <c r="F134" s="116"/>
      <c r="H134" s="11">
        <v>46153</v>
      </c>
      <c r="I134" s="33" t="s">
        <v>8</v>
      </c>
      <c r="J134" s="114"/>
      <c r="K134" s="115"/>
      <c r="L134" s="115"/>
      <c r="M134" s="116"/>
      <c r="O134" s="11">
        <v>46153</v>
      </c>
      <c r="P134" s="33" t="s">
        <v>8</v>
      </c>
      <c r="Q134" s="114"/>
      <c r="R134" s="115"/>
      <c r="S134" s="115"/>
      <c r="T134" s="116"/>
      <c r="V134" s="11">
        <v>46152</v>
      </c>
      <c r="W134" s="33" t="s">
        <v>7</v>
      </c>
      <c r="X134" s="114"/>
      <c r="Y134" s="115"/>
      <c r="Z134" s="115"/>
      <c r="AA134" s="116"/>
      <c r="AC134" s="11">
        <v>46153</v>
      </c>
      <c r="AD134" s="33" t="s">
        <v>8</v>
      </c>
      <c r="AE134" s="114"/>
      <c r="AF134" s="115"/>
      <c r="AG134" s="115"/>
      <c r="AH134" s="116"/>
      <c r="AJ134" s="11">
        <v>46153</v>
      </c>
      <c r="AK134" s="33" t="s">
        <v>8</v>
      </c>
      <c r="AL134" s="114"/>
      <c r="AM134" s="115"/>
      <c r="AN134" s="115"/>
      <c r="AO134" s="116"/>
      <c r="AQ134" s="11">
        <v>46153</v>
      </c>
      <c r="AR134" s="33" t="s">
        <v>8</v>
      </c>
      <c r="AS134" s="114"/>
      <c r="AT134" s="115"/>
      <c r="AU134" s="115"/>
      <c r="AV134" s="116"/>
      <c r="AX134" s="11">
        <v>46152</v>
      </c>
      <c r="AY134" s="33" t="s">
        <v>7</v>
      </c>
      <c r="AZ134" s="114"/>
      <c r="BA134" s="115"/>
      <c r="BB134" s="115"/>
      <c r="BC134" s="116"/>
      <c r="BE134" s="11">
        <v>46153</v>
      </c>
      <c r="BF134" s="33" t="s">
        <v>8</v>
      </c>
      <c r="BG134" s="33"/>
      <c r="BH134" s="19"/>
      <c r="BI134" s="19"/>
      <c r="BJ134" s="20"/>
      <c r="BL134" s="11">
        <v>46153</v>
      </c>
      <c r="BM134" s="33" t="s">
        <v>8</v>
      </c>
      <c r="BN134" s="114"/>
      <c r="BO134" s="115"/>
      <c r="BP134" s="115"/>
      <c r="BQ134" s="116"/>
      <c r="BS134" s="11">
        <v>46153</v>
      </c>
      <c r="BT134" s="33" t="s">
        <v>8</v>
      </c>
      <c r="BU134" s="114"/>
      <c r="BV134" s="115"/>
      <c r="BW134" s="115"/>
      <c r="BX134" s="116"/>
      <c r="BZ134" s="11">
        <v>46152</v>
      </c>
      <c r="CA134" s="33" t="s">
        <v>7</v>
      </c>
      <c r="CB134" s="114"/>
      <c r="CC134" s="115"/>
      <c r="CD134" s="115"/>
      <c r="CE134" s="116"/>
      <c r="CG134" s="11">
        <v>46153</v>
      </c>
      <c r="CH134" s="33" t="s">
        <v>8</v>
      </c>
      <c r="CI134" s="114"/>
      <c r="CJ134" s="115"/>
      <c r="CK134" s="115"/>
      <c r="CL134" s="116"/>
      <c r="CN134" s="11">
        <v>46153</v>
      </c>
      <c r="CO134" s="33" t="s">
        <v>8</v>
      </c>
      <c r="CP134" s="114"/>
      <c r="CQ134" s="115"/>
      <c r="CR134" s="115"/>
      <c r="CS134" s="116"/>
      <c r="CU134" s="11">
        <v>46153</v>
      </c>
      <c r="CV134" s="33" t="s">
        <v>8</v>
      </c>
      <c r="CW134" s="114"/>
      <c r="CX134" s="115"/>
      <c r="CY134" s="115"/>
      <c r="CZ134" s="116"/>
      <c r="DB134" s="11">
        <v>46151</v>
      </c>
      <c r="DC134" s="33" t="s">
        <v>6</v>
      </c>
      <c r="DD134" s="114"/>
      <c r="DE134" s="115"/>
      <c r="DF134" s="115"/>
      <c r="DG134" s="116"/>
      <c r="DI134" s="11">
        <v>46153</v>
      </c>
      <c r="DJ134" s="33" t="s">
        <v>8</v>
      </c>
      <c r="DK134" s="114"/>
      <c r="DL134" s="115"/>
      <c r="DM134" s="115"/>
      <c r="DN134" s="116"/>
      <c r="DP134" s="11">
        <v>46151</v>
      </c>
      <c r="DQ134" s="33" t="s">
        <v>6</v>
      </c>
      <c r="DR134" s="114"/>
      <c r="DS134" s="115"/>
      <c r="DT134" s="115"/>
      <c r="DU134" s="116"/>
      <c r="DW134" s="11">
        <v>46153</v>
      </c>
      <c r="DX134" s="33" t="s">
        <v>8</v>
      </c>
      <c r="DY134" s="114"/>
      <c r="DZ134" s="115"/>
      <c r="EA134" s="115"/>
      <c r="EB134" s="116"/>
    </row>
    <row r="135" spans="1:132" x14ac:dyDescent="0.25">
      <c r="A135" s="11">
        <v>46154</v>
      </c>
      <c r="B135" s="33" t="s">
        <v>9</v>
      </c>
      <c r="C135" s="114"/>
      <c r="D135" s="115"/>
      <c r="E135" s="115"/>
      <c r="F135" s="116"/>
      <c r="H135" s="11">
        <v>46154</v>
      </c>
      <c r="I135" s="33" t="s">
        <v>9</v>
      </c>
      <c r="J135" s="114"/>
      <c r="K135" s="115"/>
      <c r="L135" s="115"/>
      <c r="M135" s="116"/>
      <c r="O135" s="11">
        <v>46154</v>
      </c>
      <c r="P135" s="33" t="s">
        <v>9</v>
      </c>
      <c r="Q135" s="114"/>
      <c r="R135" s="115"/>
      <c r="S135" s="115"/>
      <c r="T135" s="116"/>
      <c r="V135" s="11">
        <v>46153</v>
      </c>
      <c r="W135" s="33" t="s">
        <v>8</v>
      </c>
      <c r="X135" s="114"/>
      <c r="Y135" s="115"/>
      <c r="Z135" s="115"/>
      <c r="AA135" s="116"/>
      <c r="AC135" s="11">
        <v>46154</v>
      </c>
      <c r="AD135" s="33" t="s">
        <v>9</v>
      </c>
      <c r="AE135" s="114"/>
      <c r="AF135" s="115"/>
      <c r="AG135" s="115"/>
      <c r="AH135" s="116"/>
      <c r="AJ135" s="11">
        <v>46154</v>
      </c>
      <c r="AK135" s="33" t="s">
        <v>9</v>
      </c>
      <c r="AL135" s="114"/>
      <c r="AM135" s="115"/>
      <c r="AN135" s="115"/>
      <c r="AO135" s="116"/>
      <c r="AQ135" s="11">
        <v>46154</v>
      </c>
      <c r="AR135" s="33" t="s">
        <v>9</v>
      </c>
      <c r="AS135" s="114"/>
      <c r="AT135" s="115"/>
      <c r="AU135" s="115"/>
      <c r="AV135" s="116"/>
      <c r="AX135" s="11">
        <v>46153</v>
      </c>
      <c r="AY135" s="33" t="s">
        <v>8</v>
      </c>
      <c r="AZ135" s="114"/>
      <c r="BA135" s="115"/>
      <c r="BB135" s="115"/>
      <c r="BC135" s="116"/>
      <c r="BE135" s="11">
        <v>46154</v>
      </c>
      <c r="BF135" s="33" t="s">
        <v>9</v>
      </c>
      <c r="BG135" s="33"/>
      <c r="BH135" s="19"/>
      <c r="BI135" s="19"/>
      <c r="BJ135" s="20"/>
      <c r="BL135" s="11">
        <v>46154</v>
      </c>
      <c r="BM135" s="33" t="s">
        <v>9</v>
      </c>
      <c r="BN135" s="114"/>
      <c r="BO135" s="115"/>
      <c r="BP135" s="115"/>
      <c r="BQ135" s="116"/>
      <c r="BS135" s="11">
        <v>46154</v>
      </c>
      <c r="BT135" s="33" t="s">
        <v>9</v>
      </c>
      <c r="BU135" s="114"/>
      <c r="BV135" s="115"/>
      <c r="BW135" s="115"/>
      <c r="BX135" s="116"/>
      <c r="BZ135" s="11">
        <v>46153</v>
      </c>
      <c r="CA135" s="33" t="s">
        <v>8</v>
      </c>
      <c r="CB135" s="114"/>
      <c r="CC135" s="115"/>
      <c r="CD135" s="115"/>
      <c r="CE135" s="116"/>
      <c r="CG135" s="11">
        <v>46154</v>
      </c>
      <c r="CH135" s="33" t="s">
        <v>9</v>
      </c>
      <c r="CI135" s="114"/>
      <c r="CJ135" s="115"/>
      <c r="CK135" s="115"/>
      <c r="CL135" s="116"/>
      <c r="CN135" s="11">
        <v>46154</v>
      </c>
      <c r="CO135" s="33" t="s">
        <v>9</v>
      </c>
      <c r="CP135" s="114"/>
      <c r="CQ135" s="115"/>
      <c r="CR135" s="115"/>
      <c r="CS135" s="116"/>
      <c r="CU135" s="11">
        <v>46154</v>
      </c>
      <c r="CV135" s="33" t="s">
        <v>9</v>
      </c>
      <c r="CW135" s="114"/>
      <c r="CX135" s="115"/>
      <c r="CY135" s="115"/>
      <c r="CZ135" s="116"/>
      <c r="DB135" s="11">
        <v>46152</v>
      </c>
      <c r="DC135" s="33" t="s">
        <v>7</v>
      </c>
      <c r="DD135" s="114"/>
      <c r="DE135" s="115"/>
      <c r="DF135" s="115"/>
      <c r="DG135" s="116"/>
      <c r="DI135" s="11">
        <v>46154</v>
      </c>
      <c r="DJ135" s="33" t="s">
        <v>9</v>
      </c>
      <c r="DK135" s="114"/>
      <c r="DL135" s="115"/>
      <c r="DM135" s="115"/>
      <c r="DN135" s="116"/>
      <c r="DP135" s="11">
        <v>46152</v>
      </c>
      <c r="DQ135" s="33" t="s">
        <v>7</v>
      </c>
      <c r="DR135" s="114"/>
      <c r="DS135" s="115"/>
      <c r="DT135" s="115"/>
      <c r="DU135" s="116"/>
      <c r="DW135" s="11">
        <v>46154</v>
      </c>
      <c r="DX135" s="33" t="s">
        <v>9</v>
      </c>
      <c r="DY135" s="114"/>
      <c r="DZ135" s="115"/>
      <c r="EA135" s="115"/>
      <c r="EB135" s="116"/>
    </row>
    <row r="136" spans="1:132" x14ac:dyDescent="0.25">
      <c r="A136" s="11">
        <v>46155</v>
      </c>
      <c r="B136" s="33" t="s">
        <v>3</v>
      </c>
      <c r="C136" s="114"/>
      <c r="D136" s="115"/>
      <c r="E136" s="115"/>
      <c r="F136" s="116"/>
      <c r="H136" s="11">
        <v>46155</v>
      </c>
      <c r="I136" s="33" t="s">
        <v>3</v>
      </c>
      <c r="J136" s="114"/>
      <c r="K136" s="115"/>
      <c r="L136" s="115"/>
      <c r="M136" s="116"/>
      <c r="O136" s="11">
        <v>46155</v>
      </c>
      <c r="P136" s="33" t="s">
        <v>3</v>
      </c>
      <c r="Q136" s="114"/>
      <c r="R136" s="115"/>
      <c r="S136" s="115"/>
      <c r="T136" s="116"/>
      <c r="V136" s="11">
        <v>46154</v>
      </c>
      <c r="W136" s="33" t="s">
        <v>9</v>
      </c>
      <c r="X136" s="114"/>
      <c r="Y136" s="115"/>
      <c r="Z136" s="115"/>
      <c r="AA136" s="116"/>
      <c r="AC136" s="11">
        <v>46155</v>
      </c>
      <c r="AD136" s="33" t="s">
        <v>3</v>
      </c>
      <c r="AE136" s="114"/>
      <c r="AF136" s="115"/>
      <c r="AG136" s="115"/>
      <c r="AH136" s="116"/>
      <c r="AJ136" s="11">
        <v>46155</v>
      </c>
      <c r="AK136" s="33" t="s">
        <v>3</v>
      </c>
      <c r="AL136" s="114"/>
      <c r="AM136" s="115"/>
      <c r="AN136" s="115"/>
      <c r="AO136" s="116"/>
      <c r="AQ136" s="11">
        <v>46155</v>
      </c>
      <c r="AR136" s="33" t="s">
        <v>3</v>
      </c>
      <c r="AS136" s="114"/>
      <c r="AT136" s="115"/>
      <c r="AU136" s="115"/>
      <c r="AV136" s="116"/>
      <c r="AX136" s="11">
        <v>46154</v>
      </c>
      <c r="AY136" s="33" t="s">
        <v>9</v>
      </c>
      <c r="AZ136" s="114"/>
      <c r="BA136" s="115"/>
      <c r="BB136" s="115"/>
      <c r="BC136" s="116"/>
      <c r="BE136" s="11">
        <v>46155</v>
      </c>
      <c r="BF136" s="33" t="s">
        <v>3</v>
      </c>
      <c r="BG136" s="33"/>
      <c r="BH136" s="19"/>
      <c r="BI136" s="19"/>
      <c r="BJ136" s="20"/>
      <c r="BL136" s="11">
        <v>46155</v>
      </c>
      <c r="BM136" s="33" t="s">
        <v>3</v>
      </c>
      <c r="BN136" s="114"/>
      <c r="BO136" s="115"/>
      <c r="BP136" s="115"/>
      <c r="BQ136" s="116"/>
      <c r="BS136" s="11">
        <v>46155</v>
      </c>
      <c r="BT136" s="33" t="s">
        <v>3</v>
      </c>
      <c r="BU136" s="114"/>
      <c r="BV136" s="115"/>
      <c r="BW136" s="115"/>
      <c r="BX136" s="116"/>
      <c r="BZ136" s="11">
        <v>46154</v>
      </c>
      <c r="CA136" s="33" t="s">
        <v>9</v>
      </c>
      <c r="CB136" s="114"/>
      <c r="CC136" s="115"/>
      <c r="CD136" s="115"/>
      <c r="CE136" s="116"/>
      <c r="CG136" s="11">
        <v>46155</v>
      </c>
      <c r="CH136" s="33" t="s">
        <v>3</v>
      </c>
      <c r="CI136" s="114"/>
      <c r="CJ136" s="115"/>
      <c r="CK136" s="115"/>
      <c r="CL136" s="116"/>
      <c r="CN136" s="11">
        <v>46155</v>
      </c>
      <c r="CO136" s="33" t="s">
        <v>3</v>
      </c>
      <c r="CP136" s="114"/>
      <c r="CQ136" s="115"/>
      <c r="CR136" s="115"/>
      <c r="CS136" s="116"/>
      <c r="CU136" s="11">
        <v>46155</v>
      </c>
      <c r="CV136" s="33" t="s">
        <v>3</v>
      </c>
      <c r="CW136" s="114"/>
      <c r="CX136" s="115"/>
      <c r="CY136" s="115"/>
      <c r="CZ136" s="116"/>
      <c r="DB136" s="11">
        <v>46153</v>
      </c>
      <c r="DC136" s="33" t="s">
        <v>8</v>
      </c>
      <c r="DD136" s="114"/>
      <c r="DE136" s="115"/>
      <c r="DF136" s="115"/>
      <c r="DG136" s="116"/>
      <c r="DI136" s="11">
        <v>46155</v>
      </c>
      <c r="DJ136" s="33" t="s">
        <v>3</v>
      </c>
      <c r="DK136" s="114"/>
      <c r="DL136" s="115"/>
      <c r="DM136" s="115"/>
      <c r="DN136" s="116"/>
      <c r="DP136" s="11">
        <v>46153</v>
      </c>
      <c r="DQ136" s="33" t="s">
        <v>8</v>
      </c>
      <c r="DR136" s="114"/>
      <c r="DS136" s="115"/>
      <c r="DT136" s="115"/>
      <c r="DU136" s="116"/>
      <c r="DW136" s="11">
        <v>46155</v>
      </c>
      <c r="DX136" s="33" t="s">
        <v>3</v>
      </c>
      <c r="DY136" s="114"/>
      <c r="DZ136" s="115"/>
      <c r="EA136" s="115"/>
      <c r="EB136" s="116"/>
    </row>
    <row r="137" spans="1:132" x14ac:dyDescent="0.25">
      <c r="A137" s="11">
        <v>46156</v>
      </c>
      <c r="B137" s="33" t="s">
        <v>4</v>
      </c>
      <c r="C137" s="114"/>
      <c r="D137" s="115"/>
      <c r="E137" s="115"/>
      <c r="F137" s="116"/>
      <c r="H137" s="11">
        <v>46156</v>
      </c>
      <c r="I137" s="33" t="s">
        <v>4</v>
      </c>
      <c r="J137" s="114"/>
      <c r="K137" s="115"/>
      <c r="L137" s="115"/>
      <c r="M137" s="116"/>
      <c r="O137" s="11">
        <v>46156</v>
      </c>
      <c r="P137" s="33" t="s">
        <v>4</v>
      </c>
      <c r="Q137" s="114"/>
      <c r="R137" s="115"/>
      <c r="S137" s="115"/>
      <c r="T137" s="116"/>
      <c r="V137" s="11">
        <v>46155</v>
      </c>
      <c r="W137" s="33" t="s">
        <v>3</v>
      </c>
      <c r="X137" s="114"/>
      <c r="Y137" s="115"/>
      <c r="Z137" s="115"/>
      <c r="AA137" s="116"/>
      <c r="AC137" s="11">
        <v>46156</v>
      </c>
      <c r="AD137" s="33" t="s">
        <v>4</v>
      </c>
      <c r="AE137" s="114"/>
      <c r="AF137" s="115"/>
      <c r="AG137" s="115"/>
      <c r="AH137" s="116"/>
      <c r="AJ137" s="11">
        <v>46156</v>
      </c>
      <c r="AK137" s="33" t="s">
        <v>4</v>
      </c>
      <c r="AL137" s="114"/>
      <c r="AM137" s="115"/>
      <c r="AN137" s="115"/>
      <c r="AO137" s="116"/>
      <c r="AQ137" s="11">
        <v>46156</v>
      </c>
      <c r="AR137" s="33" t="s">
        <v>4</v>
      </c>
      <c r="AS137" s="114"/>
      <c r="AT137" s="115"/>
      <c r="AU137" s="115"/>
      <c r="AV137" s="116"/>
      <c r="AX137" s="11">
        <v>46155</v>
      </c>
      <c r="AY137" s="33" t="s">
        <v>3</v>
      </c>
      <c r="AZ137" s="114"/>
      <c r="BA137" s="115"/>
      <c r="BB137" s="115"/>
      <c r="BC137" s="116"/>
      <c r="BE137" s="11">
        <v>46156</v>
      </c>
      <c r="BF137" s="33" t="s">
        <v>4</v>
      </c>
      <c r="BG137" s="33"/>
      <c r="BH137" s="19"/>
      <c r="BI137" s="19"/>
      <c r="BJ137" s="20"/>
      <c r="BL137" s="11">
        <v>46156</v>
      </c>
      <c r="BM137" s="33" t="s">
        <v>4</v>
      </c>
      <c r="BN137" s="114"/>
      <c r="BO137" s="115"/>
      <c r="BP137" s="115"/>
      <c r="BQ137" s="116"/>
      <c r="BS137" s="11">
        <v>46156</v>
      </c>
      <c r="BT137" s="33" t="s">
        <v>4</v>
      </c>
      <c r="BU137" s="114"/>
      <c r="BV137" s="115"/>
      <c r="BW137" s="115"/>
      <c r="BX137" s="116"/>
      <c r="BZ137" s="11">
        <v>46155</v>
      </c>
      <c r="CA137" s="33" t="s">
        <v>3</v>
      </c>
      <c r="CB137" s="114"/>
      <c r="CC137" s="115"/>
      <c r="CD137" s="115"/>
      <c r="CE137" s="116"/>
      <c r="CG137" s="11">
        <v>46156</v>
      </c>
      <c r="CH137" s="33" t="s">
        <v>4</v>
      </c>
      <c r="CI137" s="114"/>
      <c r="CJ137" s="115"/>
      <c r="CK137" s="115"/>
      <c r="CL137" s="116"/>
      <c r="CN137" s="11">
        <v>46156</v>
      </c>
      <c r="CO137" s="33" t="s">
        <v>4</v>
      </c>
      <c r="CP137" s="114"/>
      <c r="CQ137" s="115"/>
      <c r="CR137" s="115"/>
      <c r="CS137" s="116"/>
      <c r="CU137" s="11">
        <v>46156</v>
      </c>
      <c r="CV137" s="33" t="s">
        <v>4</v>
      </c>
      <c r="CW137" s="114"/>
      <c r="CX137" s="115"/>
      <c r="CY137" s="115"/>
      <c r="CZ137" s="116"/>
      <c r="DB137" s="11">
        <v>46154</v>
      </c>
      <c r="DC137" s="33" t="s">
        <v>9</v>
      </c>
      <c r="DD137" s="114"/>
      <c r="DE137" s="115"/>
      <c r="DF137" s="115"/>
      <c r="DG137" s="116"/>
      <c r="DI137" s="11">
        <v>46156</v>
      </c>
      <c r="DJ137" s="33" t="s">
        <v>4</v>
      </c>
      <c r="DK137" s="114"/>
      <c r="DL137" s="115"/>
      <c r="DM137" s="115"/>
      <c r="DN137" s="116"/>
      <c r="DP137" s="11">
        <v>46154</v>
      </c>
      <c r="DQ137" s="33" t="s">
        <v>9</v>
      </c>
      <c r="DR137" s="114"/>
      <c r="DS137" s="115"/>
      <c r="DT137" s="115"/>
      <c r="DU137" s="116"/>
      <c r="DW137" s="11">
        <v>46156</v>
      </c>
      <c r="DX137" s="33" t="s">
        <v>4</v>
      </c>
      <c r="DY137" s="114"/>
      <c r="DZ137" s="115"/>
      <c r="EA137" s="115"/>
      <c r="EB137" s="116"/>
    </row>
    <row r="138" spans="1:132" x14ac:dyDescent="0.25">
      <c r="A138" s="11">
        <v>46157</v>
      </c>
      <c r="B138" s="33" t="s">
        <v>5</v>
      </c>
      <c r="C138" s="114"/>
      <c r="D138" s="115"/>
      <c r="E138" s="115"/>
      <c r="F138" s="116"/>
      <c r="H138" s="11">
        <v>46157</v>
      </c>
      <c r="I138" s="33" t="s">
        <v>5</v>
      </c>
      <c r="J138" s="114"/>
      <c r="K138" s="115"/>
      <c r="L138" s="115"/>
      <c r="M138" s="116"/>
      <c r="O138" s="11">
        <v>46157</v>
      </c>
      <c r="P138" s="33" t="s">
        <v>5</v>
      </c>
      <c r="Q138" s="114"/>
      <c r="R138" s="115"/>
      <c r="S138" s="115"/>
      <c r="T138" s="116"/>
      <c r="V138" s="11">
        <v>46156</v>
      </c>
      <c r="W138" s="33" t="s">
        <v>4</v>
      </c>
      <c r="X138" s="114"/>
      <c r="Y138" s="115"/>
      <c r="Z138" s="115"/>
      <c r="AA138" s="116"/>
      <c r="AC138" s="11">
        <v>46157</v>
      </c>
      <c r="AD138" s="33" t="s">
        <v>5</v>
      </c>
      <c r="AE138" s="114"/>
      <c r="AF138" s="115"/>
      <c r="AG138" s="115"/>
      <c r="AH138" s="116"/>
      <c r="AJ138" s="11">
        <v>46157</v>
      </c>
      <c r="AK138" s="33" t="s">
        <v>5</v>
      </c>
      <c r="AL138" s="114"/>
      <c r="AM138" s="115"/>
      <c r="AN138" s="115"/>
      <c r="AO138" s="116"/>
      <c r="AQ138" s="11">
        <v>46157</v>
      </c>
      <c r="AR138" s="33" t="s">
        <v>5</v>
      </c>
      <c r="AS138" s="114"/>
      <c r="AT138" s="115"/>
      <c r="AU138" s="115"/>
      <c r="AV138" s="116"/>
      <c r="AX138" s="11">
        <v>46156</v>
      </c>
      <c r="AY138" s="33" t="s">
        <v>4</v>
      </c>
      <c r="AZ138" s="114"/>
      <c r="BA138" s="115"/>
      <c r="BB138" s="115"/>
      <c r="BC138" s="116"/>
      <c r="BE138" s="11">
        <v>46157</v>
      </c>
      <c r="BF138" s="33" t="s">
        <v>5</v>
      </c>
      <c r="BG138" s="33"/>
      <c r="BH138" s="19"/>
      <c r="BI138" s="19"/>
      <c r="BJ138" s="20"/>
      <c r="BL138" s="11">
        <v>46157</v>
      </c>
      <c r="BM138" s="33" t="s">
        <v>5</v>
      </c>
      <c r="BN138" s="114"/>
      <c r="BO138" s="115"/>
      <c r="BP138" s="115"/>
      <c r="BQ138" s="116"/>
      <c r="BS138" s="11">
        <v>46157</v>
      </c>
      <c r="BT138" s="33" t="s">
        <v>5</v>
      </c>
      <c r="BU138" s="114"/>
      <c r="BV138" s="115"/>
      <c r="BW138" s="115"/>
      <c r="BX138" s="116"/>
      <c r="BZ138" s="11">
        <v>46156</v>
      </c>
      <c r="CA138" s="33" t="s">
        <v>4</v>
      </c>
      <c r="CB138" s="114"/>
      <c r="CC138" s="115"/>
      <c r="CD138" s="115"/>
      <c r="CE138" s="116"/>
      <c r="CG138" s="11">
        <v>46157</v>
      </c>
      <c r="CH138" s="33" t="s">
        <v>5</v>
      </c>
      <c r="CI138" s="114"/>
      <c r="CJ138" s="115"/>
      <c r="CK138" s="115"/>
      <c r="CL138" s="116"/>
      <c r="CN138" s="11">
        <v>46157</v>
      </c>
      <c r="CO138" s="33" t="s">
        <v>5</v>
      </c>
      <c r="CP138" s="114"/>
      <c r="CQ138" s="115"/>
      <c r="CR138" s="115"/>
      <c r="CS138" s="116"/>
      <c r="CU138" s="11">
        <v>46157</v>
      </c>
      <c r="CV138" s="33" t="s">
        <v>5</v>
      </c>
      <c r="CW138" s="114"/>
      <c r="CX138" s="115"/>
      <c r="CY138" s="115"/>
      <c r="CZ138" s="116"/>
      <c r="DB138" s="11">
        <v>46155</v>
      </c>
      <c r="DC138" s="33" t="s">
        <v>3</v>
      </c>
      <c r="DD138" s="114"/>
      <c r="DE138" s="115"/>
      <c r="DF138" s="115"/>
      <c r="DG138" s="116"/>
      <c r="DI138" s="11">
        <v>46157</v>
      </c>
      <c r="DJ138" s="33" t="s">
        <v>5</v>
      </c>
      <c r="DK138" s="114"/>
      <c r="DL138" s="115"/>
      <c r="DM138" s="115"/>
      <c r="DN138" s="116"/>
      <c r="DP138" s="11">
        <v>46155</v>
      </c>
      <c r="DQ138" s="33" t="s">
        <v>3</v>
      </c>
      <c r="DR138" s="114"/>
      <c r="DS138" s="115"/>
      <c r="DT138" s="115"/>
      <c r="DU138" s="116"/>
      <c r="DW138" s="11">
        <v>46157</v>
      </c>
      <c r="DX138" s="33" t="s">
        <v>5</v>
      </c>
      <c r="DY138" s="114"/>
      <c r="DZ138" s="115"/>
      <c r="EA138" s="115"/>
      <c r="EB138" s="116"/>
    </row>
    <row r="139" spans="1:132" x14ac:dyDescent="0.25">
      <c r="A139" s="11">
        <v>46158</v>
      </c>
      <c r="B139" s="33" t="s">
        <v>6</v>
      </c>
      <c r="C139" s="114"/>
      <c r="D139" s="115"/>
      <c r="E139" s="115"/>
      <c r="F139" s="116"/>
      <c r="H139" s="11">
        <v>46158</v>
      </c>
      <c r="I139" s="33" t="s">
        <v>6</v>
      </c>
      <c r="J139" s="114"/>
      <c r="K139" s="115"/>
      <c r="L139" s="115"/>
      <c r="M139" s="116"/>
      <c r="O139" s="11">
        <v>46158</v>
      </c>
      <c r="P139" s="33" t="s">
        <v>6</v>
      </c>
      <c r="Q139" s="114"/>
      <c r="R139" s="115"/>
      <c r="S139" s="115"/>
      <c r="T139" s="116"/>
      <c r="V139" s="11">
        <v>46157</v>
      </c>
      <c r="W139" s="33" t="s">
        <v>5</v>
      </c>
      <c r="X139" s="114"/>
      <c r="Y139" s="115"/>
      <c r="Z139" s="115"/>
      <c r="AA139" s="116"/>
      <c r="AC139" s="11">
        <v>46158</v>
      </c>
      <c r="AD139" s="33" t="s">
        <v>6</v>
      </c>
      <c r="AE139" s="114"/>
      <c r="AF139" s="115"/>
      <c r="AG139" s="115"/>
      <c r="AH139" s="116"/>
      <c r="AJ139" s="11">
        <v>46158</v>
      </c>
      <c r="AK139" s="33" t="s">
        <v>6</v>
      </c>
      <c r="AL139" s="114"/>
      <c r="AM139" s="115"/>
      <c r="AN139" s="115"/>
      <c r="AO139" s="116"/>
      <c r="AQ139" s="11">
        <v>46158</v>
      </c>
      <c r="AR139" s="33" t="s">
        <v>6</v>
      </c>
      <c r="AS139" s="114"/>
      <c r="AT139" s="115"/>
      <c r="AU139" s="115"/>
      <c r="AV139" s="116"/>
      <c r="AX139" s="11">
        <v>46157</v>
      </c>
      <c r="AY139" s="33" t="s">
        <v>5</v>
      </c>
      <c r="AZ139" s="114"/>
      <c r="BA139" s="115"/>
      <c r="BB139" s="115"/>
      <c r="BC139" s="116"/>
      <c r="BE139" s="11">
        <v>46158</v>
      </c>
      <c r="BF139" s="33" t="s">
        <v>6</v>
      </c>
      <c r="BG139" s="33"/>
      <c r="BH139" s="19"/>
      <c r="BI139" s="19"/>
      <c r="BJ139" s="20"/>
      <c r="BL139" s="11">
        <v>46158</v>
      </c>
      <c r="BM139" s="33" t="s">
        <v>6</v>
      </c>
      <c r="BN139" s="114"/>
      <c r="BO139" s="115"/>
      <c r="BP139" s="115"/>
      <c r="BQ139" s="116"/>
      <c r="BS139" s="11">
        <v>46158</v>
      </c>
      <c r="BT139" s="33" t="s">
        <v>6</v>
      </c>
      <c r="BU139" s="114"/>
      <c r="BV139" s="115"/>
      <c r="BW139" s="115"/>
      <c r="BX139" s="116"/>
      <c r="BZ139" s="11">
        <v>46157</v>
      </c>
      <c r="CA139" s="33" t="s">
        <v>5</v>
      </c>
      <c r="CB139" s="114"/>
      <c r="CC139" s="115"/>
      <c r="CD139" s="115"/>
      <c r="CE139" s="116"/>
      <c r="CG139" s="11">
        <v>46158</v>
      </c>
      <c r="CH139" s="33" t="s">
        <v>6</v>
      </c>
      <c r="CI139" s="114"/>
      <c r="CJ139" s="115"/>
      <c r="CK139" s="115"/>
      <c r="CL139" s="116"/>
      <c r="CN139" s="11">
        <v>46158</v>
      </c>
      <c r="CO139" s="33" t="s">
        <v>6</v>
      </c>
      <c r="CP139" s="114"/>
      <c r="CQ139" s="115"/>
      <c r="CR139" s="115"/>
      <c r="CS139" s="116"/>
      <c r="CU139" s="11">
        <v>46158</v>
      </c>
      <c r="CV139" s="33" t="s">
        <v>6</v>
      </c>
      <c r="CW139" s="114"/>
      <c r="CX139" s="115"/>
      <c r="CY139" s="115"/>
      <c r="CZ139" s="116"/>
      <c r="DB139" s="11">
        <v>46156</v>
      </c>
      <c r="DC139" s="33" t="s">
        <v>4</v>
      </c>
      <c r="DD139" s="114"/>
      <c r="DE139" s="115"/>
      <c r="DF139" s="115"/>
      <c r="DG139" s="116"/>
      <c r="DI139" s="11">
        <v>46158</v>
      </c>
      <c r="DJ139" s="33" t="s">
        <v>6</v>
      </c>
      <c r="DK139" s="114"/>
      <c r="DL139" s="115"/>
      <c r="DM139" s="115"/>
      <c r="DN139" s="116"/>
      <c r="DP139" s="11">
        <v>46156</v>
      </c>
      <c r="DQ139" s="33" t="s">
        <v>4</v>
      </c>
      <c r="DR139" s="114"/>
      <c r="DS139" s="115"/>
      <c r="DT139" s="115"/>
      <c r="DU139" s="116"/>
      <c r="DW139" s="11">
        <v>46158</v>
      </c>
      <c r="DX139" s="33" t="s">
        <v>6</v>
      </c>
      <c r="DY139" s="114"/>
      <c r="DZ139" s="115"/>
      <c r="EA139" s="115"/>
      <c r="EB139" s="116"/>
    </row>
    <row r="140" spans="1:132" x14ac:dyDescent="0.25">
      <c r="A140" s="11">
        <v>46159</v>
      </c>
      <c r="B140" s="33" t="s">
        <v>7</v>
      </c>
      <c r="C140" s="114"/>
      <c r="D140" s="115"/>
      <c r="E140" s="115"/>
      <c r="F140" s="116"/>
      <c r="H140" s="11">
        <v>46159</v>
      </c>
      <c r="I140" s="33" t="s">
        <v>7</v>
      </c>
      <c r="J140" s="114"/>
      <c r="K140" s="115"/>
      <c r="L140" s="115"/>
      <c r="M140" s="116"/>
      <c r="O140" s="11">
        <v>46159</v>
      </c>
      <c r="P140" s="33" t="s">
        <v>7</v>
      </c>
      <c r="Q140" s="114"/>
      <c r="R140" s="115"/>
      <c r="S140" s="115"/>
      <c r="T140" s="116"/>
      <c r="V140" s="11">
        <v>46158</v>
      </c>
      <c r="W140" s="33" t="s">
        <v>6</v>
      </c>
      <c r="X140" s="114"/>
      <c r="Y140" s="115"/>
      <c r="Z140" s="115"/>
      <c r="AA140" s="116"/>
      <c r="AC140" s="11">
        <v>46159</v>
      </c>
      <c r="AD140" s="33" t="s">
        <v>7</v>
      </c>
      <c r="AE140" s="114"/>
      <c r="AF140" s="115"/>
      <c r="AG140" s="115"/>
      <c r="AH140" s="116"/>
      <c r="AJ140" s="11">
        <v>46159</v>
      </c>
      <c r="AK140" s="33" t="s">
        <v>7</v>
      </c>
      <c r="AL140" s="114"/>
      <c r="AM140" s="115"/>
      <c r="AN140" s="115"/>
      <c r="AO140" s="116"/>
      <c r="AQ140" s="11">
        <v>46159</v>
      </c>
      <c r="AR140" s="33" t="s">
        <v>7</v>
      </c>
      <c r="AS140" s="114"/>
      <c r="AT140" s="115"/>
      <c r="AU140" s="115"/>
      <c r="AV140" s="116"/>
      <c r="AX140" s="11">
        <v>46158</v>
      </c>
      <c r="AY140" s="33" t="s">
        <v>6</v>
      </c>
      <c r="AZ140" s="114"/>
      <c r="BA140" s="115"/>
      <c r="BB140" s="115"/>
      <c r="BC140" s="116"/>
      <c r="BE140" s="11">
        <v>46159</v>
      </c>
      <c r="BF140" s="33" t="s">
        <v>7</v>
      </c>
      <c r="BG140" s="33"/>
      <c r="BH140" s="19"/>
      <c r="BI140" s="19"/>
      <c r="BJ140" s="20"/>
      <c r="BL140" s="11">
        <v>46159</v>
      </c>
      <c r="BM140" s="33" t="s">
        <v>7</v>
      </c>
      <c r="BN140" s="114"/>
      <c r="BO140" s="115"/>
      <c r="BP140" s="115"/>
      <c r="BQ140" s="116"/>
      <c r="BS140" s="11">
        <v>46159</v>
      </c>
      <c r="BT140" s="33" t="s">
        <v>7</v>
      </c>
      <c r="BU140" s="114"/>
      <c r="BV140" s="115"/>
      <c r="BW140" s="115"/>
      <c r="BX140" s="116"/>
      <c r="BZ140" s="11">
        <v>46158</v>
      </c>
      <c r="CA140" s="33" t="s">
        <v>6</v>
      </c>
      <c r="CB140" s="114"/>
      <c r="CC140" s="115"/>
      <c r="CD140" s="115"/>
      <c r="CE140" s="116"/>
      <c r="CG140" s="11">
        <v>46159</v>
      </c>
      <c r="CH140" s="33" t="s">
        <v>7</v>
      </c>
      <c r="CI140" s="114"/>
      <c r="CJ140" s="115"/>
      <c r="CK140" s="115"/>
      <c r="CL140" s="116"/>
      <c r="CN140" s="11">
        <v>46159</v>
      </c>
      <c r="CO140" s="33" t="s">
        <v>7</v>
      </c>
      <c r="CP140" s="114"/>
      <c r="CQ140" s="115"/>
      <c r="CR140" s="115"/>
      <c r="CS140" s="116"/>
      <c r="CU140" s="11">
        <v>46159</v>
      </c>
      <c r="CV140" s="33" t="s">
        <v>7</v>
      </c>
      <c r="CW140" s="114"/>
      <c r="CX140" s="115"/>
      <c r="CY140" s="115"/>
      <c r="CZ140" s="116"/>
      <c r="DB140" s="11">
        <v>46157</v>
      </c>
      <c r="DC140" s="33" t="s">
        <v>5</v>
      </c>
      <c r="DD140" s="114"/>
      <c r="DE140" s="115"/>
      <c r="DF140" s="115"/>
      <c r="DG140" s="116"/>
      <c r="DI140" s="11">
        <v>46159</v>
      </c>
      <c r="DJ140" s="33" t="s">
        <v>7</v>
      </c>
      <c r="DK140" s="114"/>
      <c r="DL140" s="115"/>
      <c r="DM140" s="115"/>
      <c r="DN140" s="116"/>
      <c r="DP140" s="11">
        <v>46157</v>
      </c>
      <c r="DQ140" s="33" t="s">
        <v>5</v>
      </c>
      <c r="DR140" s="114"/>
      <c r="DS140" s="115"/>
      <c r="DT140" s="115"/>
      <c r="DU140" s="116"/>
      <c r="DW140" s="11">
        <v>46159</v>
      </c>
      <c r="DX140" s="33" t="s">
        <v>7</v>
      </c>
      <c r="DY140" s="114"/>
      <c r="DZ140" s="115"/>
      <c r="EA140" s="115"/>
      <c r="EB140" s="116"/>
    </row>
    <row r="141" spans="1:132" x14ac:dyDescent="0.25">
      <c r="A141" s="11">
        <v>46160</v>
      </c>
      <c r="B141" s="33" t="s">
        <v>8</v>
      </c>
      <c r="C141" s="114"/>
      <c r="D141" s="115"/>
      <c r="E141" s="115"/>
      <c r="F141" s="116"/>
      <c r="H141" s="11">
        <v>46160</v>
      </c>
      <c r="I141" s="33" t="s">
        <v>8</v>
      </c>
      <c r="J141" s="114"/>
      <c r="K141" s="115"/>
      <c r="L141" s="115"/>
      <c r="M141" s="116"/>
      <c r="O141" s="11">
        <v>46160</v>
      </c>
      <c r="P141" s="33" t="s">
        <v>8</v>
      </c>
      <c r="Q141" s="114"/>
      <c r="R141" s="115"/>
      <c r="S141" s="115"/>
      <c r="T141" s="116"/>
      <c r="V141" s="11">
        <v>46159</v>
      </c>
      <c r="W141" s="33" t="s">
        <v>7</v>
      </c>
      <c r="X141" s="114"/>
      <c r="Y141" s="115"/>
      <c r="Z141" s="115"/>
      <c r="AA141" s="116"/>
      <c r="AC141" s="11">
        <v>46160</v>
      </c>
      <c r="AD141" s="33" t="s">
        <v>8</v>
      </c>
      <c r="AE141" s="114"/>
      <c r="AF141" s="115"/>
      <c r="AG141" s="115"/>
      <c r="AH141" s="116"/>
      <c r="AJ141" s="11">
        <v>46160</v>
      </c>
      <c r="AK141" s="33" t="s">
        <v>8</v>
      </c>
      <c r="AL141" s="114"/>
      <c r="AM141" s="115"/>
      <c r="AN141" s="115"/>
      <c r="AO141" s="116"/>
      <c r="AQ141" s="11">
        <v>46160</v>
      </c>
      <c r="AR141" s="33" t="s">
        <v>8</v>
      </c>
      <c r="AS141" s="114"/>
      <c r="AT141" s="115"/>
      <c r="AU141" s="115"/>
      <c r="AV141" s="116"/>
      <c r="AX141" s="11">
        <v>46159</v>
      </c>
      <c r="AY141" s="33" t="s">
        <v>7</v>
      </c>
      <c r="AZ141" s="114"/>
      <c r="BA141" s="115"/>
      <c r="BB141" s="115"/>
      <c r="BC141" s="116"/>
      <c r="BE141" s="11">
        <v>46160</v>
      </c>
      <c r="BF141" s="33" t="s">
        <v>8</v>
      </c>
      <c r="BG141" s="33"/>
      <c r="BH141" s="19"/>
      <c r="BI141" s="19"/>
      <c r="BJ141" s="20"/>
      <c r="BL141" s="11">
        <v>46160</v>
      </c>
      <c r="BM141" s="33" t="s">
        <v>8</v>
      </c>
      <c r="BN141" s="114"/>
      <c r="BO141" s="115"/>
      <c r="BP141" s="115"/>
      <c r="BQ141" s="116"/>
      <c r="BS141" s="11">
        <v>46160</v>
      </c>
      <c r="BT141" s="33" t="s">
        <v>8</v>
      </c>
      <c r="BU141" s="114"/>
      <c r="BV141" s="115"/>
      <c r="BW141" s="115"/>
      <c r="BX141" s="116"/>
      <c r="BZ141" s="11">
        <v>46159</v>
      </c>
      <c r="CA141" s="33" t="s">
        <v>7</v>
      </c>
      <c r="CB141" s="114"/>
      <c r="CC141" s="115"/>
      <c r="CD141" s="115"/>
      <c r="CE141" s="116"/>
      <c r="CG141" s="11">
        <v>46160</v>
      </c>
      <c r="CH141" s="33" t="s">
        <v>8</v>
      </c>
      <c r="CI141" s="114"/>
      <c r="CJ141" s="115"/>
      <c r="CK141" s="115"/>
      <c r="CL141" s="116"/>
      <c r="CN141" s="11">
        <v>46160</v>
      </c>
      <c r="CO141" s="33" t="s">
        <v>8</v>
      </c>
      <c r="CP141" s="114"/>
      <c r="CQ141" s="115"/>
      <c r="CR141" s="115"/>
      <c r="CS141" s="116"/>
      <c r="CU141" s="11">
        <v>46160</v>
      </c>
      <c r="CV141" s="33" t="s">
        <v>8</v>
      </c>
      <c r="CW141" s="114"/>
      <c r="CX141" s="115"/>
      <c r="CY141" s="115"/>
      <c r="CZ141" s="116"/>
      <c r="DB141" s="11">
        <v>46158</v>
      </c>
      <c r="DC141" s="33" t="s">
        <v>6</v>
      </c>
      <c r="DD141" s="114"/>
      <c r="DE141" s="115"/>
      <c r="DF141" s="115"/>
      <c r="DG141" s="116"/>
      <c r="DI141" s="11">
        <v>46160</v>
      </c>
      <c r="DJ141" s="33" t="s">
        <v>8</v>
      </c>
      <c r="DK141" s="114"/>
      <c r="DL141" s="115"/>
      <c r="DM141" s="115"/>
      <c r="DN141" s="116"/>
      <c r="DP141" s="11">
        <v>46158</v>
      </c>
      <c r="DQ141" s="33" t="s">
        <v>6</v>
      </c>
      <c r="DR141" s="114"/>
      <c r="DS141" s="115"/>
      <c r="DT141" s="115"/>
      <c r="DU141" s="116"/>
      <c r="DW141" s="11">
        <v>46160</v>
      </c>
      <c r="DX141" s="33" t="s">
        <v>8</v>
      </c>
      <c r="DY141" s="114"/>
      <c r="DZ141" s="115"/>
      <c r="EA141" s="115"/>
      <c r="EB141" s="116"/>
    </row>
    <row r="142" spans="1:132" x14ac:dyDescent="0.25">
      <c r="A142" s="11">
        <v>46161</v>
      </c>
      <c r="B142" s="33" t="s">
        <v>9</v>
      </c>
      <c r="C142" s="114"/>
      <c r="D142" s="115"/>
      <c r="E142" s="115"/>
      <c r="F142" s="116"/>
      <c r="H142" s="11">
        <v>46161</v>
      </c>
      <c r="I142" s="33" t="s">
        <v>9</v>
      </c>
      <c r="J142" s="114"/>
      <c r="K142" s="115"/>
      <c r="L142" s="115"/>
      <c r="M142" s="116"/>
      <c r="O142" s="11">
        <v>46161</v>
      </c>
      <c r="P142" s="33" t="s">
        <v>9</v>
      </c>
      <c r="Q142" s="114"/>
      <c r="R142" s="115"/>
      <c r="S142" s="115"/>
      <c r="T142" s="116"/>
      <c r="V142" s="11">
        <v>46160</v>
      </c>
      <c r="W142" s="33" t="s">
        <v>8</v>
      </c>
      <c r="X142" s="114"/>
      <c r="Y142" s="115"/>
      <c r="Z142" s="115"/>
      <c r="AA142" s="116"/>
      <c r="AC142" s="11">
        <v>46161</v>
      </c>
      <c r="AD142" s="33" t="s">
        <v>9</v>
      </c>
      <c r="AE142" s="114"/>
      <c r="AF142" s="115"/>
      <c r="AG142" s="115"/>
      <c r="AH142" s="116"/>
      <c r="AJ142" s="11">
        <v>46161</v>
      </c>
      <c r="AK142" s="33" t="s">
        <v>9</v>
      </c>
      <c r="AL142" s="114"/>
      <c r="AM142" s="115"/>
      <c r="AN142" s="115"/>
      <c r="AO142" s="116"/>
      <c r="AQ142" s="11">
        <v>46161</v>
      </c>
      <c r="AR142" s="33" t="s">
        <v>9</v>
      </c>
      <c r="AS142" s="114"/>
      <c r="AT142" s="115"/>
      <c r="AU142" s="115"/>
      <c r="AV142" s="116"/>
      <c r="AX142" s="11">
        <v>46160</v>
      </c>
      <c r="AY142" s="33" t="s">
        <v>8</v>
      </c>
      <c r="AZ142" s="114"/>
      <c r="BA142" s="115"/>
      <c r="BB142" s="115"/>
      <c r="BC142" s="116"/>
      <c r="BE142" s="11">
        <v>46161</v>
      </c>
      <c r="BF142" s="33" t="s">
        <v>9</v>
      </c>
      <c r="BG142" s="33"/>
      <c r="BH142" s="19"/>
      <c r="BI142" s="19"/>
      <c r="BJ142" s="20"/>
      <c r="BL142" s="11">
        <v>46161</v>
      </c>
      <c r="BM142" s="33" t="s">
        <v>9</v>
      </c>
      <c r="BN142" s="114"/>
      <c r="BO142" s="115"/>
      <c r="BP142" s="115"/>
      <c r="BQ142" s="116"/>
      <c r="BS142" s="11">
        <v>46161</v>
      </c>
      <c r="BT142" s="33" t="s">
        <v>9</v>
      </c>
      <c r="BU142" s="114"/>
      <c r="BV142" s="115"/>
      <c r="BW142" s="115"/>
      <c r="BX142" s="116"/>
      <c r="BZ142" s="11">
        <v>46160</v>
      </c>
      <c r="CA142" s="33" t="s">
        <v>8</v>
      </c>
      <c r="CB142" s="114"/>
      <c r="CC142" s="115"/>
      <c r="CD142" s="115"/>
      <c r="CE142" s="116"/>
      <c r="CG142" s="11">
        <v>46161</v>
      </c>
      <c r="CH142" s="33" t="s">
        <v>9</v>
      </c>
      <c r="CI142" s="114"/>
      <c r="CJ142" s="115"/>
      <c r="CK142" s="115"/>
      <c r="CL142" s="116"/>
      <c r="CN142" s="11">
        <v>46161</v>
      </c>
      <c r="CO142" s="33" t="s">
        <v>9</v>
      </c>
      <c r="CP142" s="114"/>
      <c r="CQ142" s="115"/>
      <c r="CR142" s="115"/>
      <c r="CS142" s="116"/>
      <c r="CU142" s="11">
        <v>46161</v>
      </c>
      <c r="CV142" s="33" t="s">
        <v>9</v>
      </c>
      <c r="CW142" s="114"/>
      <c r="CX142" s="115"/>
      <c r="CY142" s="115"/>
      <c r="CZ142" s="116"/>
      <c r="DB142" s="11">
        <v>46159</v>
      </c>
      <c r="DC142" s="33" t="s">
        <v>7</v>
      </c>
      <c r="DD142" s="114"/>
      <c r="DE142" s="115"/>
      <c r="DF142" s="115"/>
      <c r="DG142" s="116"/>
      <c r="DI142" s="11">
        <v>46161</v>
      </c>
      <c r="DJ142" s="33" t="s">
        <v>9</v>
      </c>
      <c r="DK142" s="114"/>
      <c r="DL142" s="115"/>
      <c r="DM142" s="115"/>
      <c r="DN142" s="116"/>
      <c r="DP142" s="11">
        <v>46159</v>
      </c>
      <c r="DQ142" s="33" t="s">
        <v>7</v>
      </c>
      <c r="DR142" s="114"/>
      <c r="DS142" s="115"/>
      <c r="DT142" s="115"/>
      <c r="DU142" s="116"/>
      <c r="DW142" s="11">
        <v>46161</v>
      </c>
      <c r="DX142" s="33" t="s">
        <v>9</v>
      </c>
      <c r="DY142" s="114"/>
      <c r="DZ142" s="115"/>
      <c r="EA142" s="115"/>
      <c r="EB142" s="116"/>
    </row>
    <row r="143" spans="1:132" x14ac:dyDescent="0.25">
      <c r="A143" s="11">
        <v>46162</v>
      </c>
      <c r="B143" s="33" t="s">
        <v>3</v>
      </c>
      <c r="C143" s="114"/>
      <c r="D143" s="115"/>
      <c r="E143" s="115"/>
      <c r="F143" s="116"/>
      <c r="H143" s="11">
        <v>46162</v>
      </c>
      <c r="I143" s="33" t="s">
        <v>3</v>
      </c>
      <c r="J143" s="114"/>
      <c r="K143" s="115"/>
      <c r="L143" s="115"/>
      <c r="M143" s="116"/>
      <c r="O143" s="11">
        <v>46162</v>
      </c>
      <c r="P143" s="33" t="s">
        <v>3</v>
      </c>
      <c r="Q143" s="114"/>
      <c r="R143" s="115"/>
      <c r="S143" s="115"/>
      <c r="T143" s="116"/>
      <c r="V143" s="11">
        <v>46161</v>
      </c>
      <c r="W143" s="33" t="s">
        <v>9</v>
      </c>
      <c r="X143" s="114"/>
      <c r="Y143" s="115"/>
      <c r="Z143" s="115"/>
      <c r="AA143" s="116"/>
      <c r="AC143" s="11">
        <v>46162</v>
      </c>
      <c r="AD143" s="33" t="s">
        <v>3</v>
      </c>
      <c r="AE143" s="114"/>
      <c r="AF143" s="115"/>
      <c r="AG143" s="115"/>
      <c r="AH143" s="116"/>
      <c r="AJ143" s="11">
        <v>46162</v>
      </c>
      <c r="AK143" s="33" t="s">
        <v>3</v>
      </c>
      <c r="AL143" s="114"/>
      <c r="AM143" s="115"/>
      <c r="AN143" s="115"/>
      <c r="AO143" s="116"/>
      <c r="AQ143" s="11">
        <v>46162</v>
      </c>
      <c r="AR143" s="33" t="s">
        <v>3</v>
      </c>
      <c r="AS143" s="114"/>
      <c r="AT143" s="115"/>
      <c r="AU143" s="115"/>
      <c r="AV143" s="116"/>
      <c r="AX143" s="11">
        <v>46161</v>
      </c>
      <c r="AY143" s="33" t="s">
        <v>9</v>
      </c>
      <c r="AZ143" s="114"/>
      <c r="BA143" s="115"/>
      <c r="BB143" s="115"/>
      <c r="BC143" s="116"/>
      <c r="BE143" s="11">
        <v>46162</v>
      </c>
      <c r="BF143" s="33" t="s">
        <v>3</v>
      </c>
      <c r="BG143" s="33"/>
      <c r="BH143" s="19"/>
      <c r="BI143" s="19"/>
      <c r="BJ143" s="20"/>
      <c r="BL143" s="11">
        <v>46162</v>
      </c>
      <c r="BM143" s="33" t="s">
        <v>3</v>
      </c>
      <c r="BN143" s="114"/>
      <c r="BO143" s="115"/>
      <c r="BP143" s="115"/>
      <c r="BQ143" s="116"/>
      <c r="BS143" s="11">
        <v>46162</v>
      </c>
      <c r="BT143" s="33" t="s">
        <v>3</v>
      </c>
      <c r="BU143" s="114"/>
      <c r="BV143" s="115"/>
      <c r="BW143" s="115"/>
      <c r="BX143" s="116"/>
      <c r="BZ143" s="11">
        <v>46161</v>
      </c>
      <c r="CA143" s="33" t="s">
        <v>9</v>
      </c>
      <c r="CB143" s="114"/>
      <c r="CC143" s="115"/>
      <c r="CD143" s="115"/>
      <c r="CE143" s="116"/>
      <c r="CG143" s="11">
        <v>46162</v>
      </c>
      <c r="CH143" s="33" t="s">
        <v>3</v>
      </c>
      <c r="CI143" s="114"/>
      <c r="CJ143" s="115"/>
      <c r="CK143" s="115"/>
      <c r="CL143" s="116"/>
      <c r="CN143" s="11">
        <v>46162</v>
      </c>
      <c r="CO143" s="33" t="s">
        <v>3</v>
      </c>
      <c r="CP143" s="114"/>
      <c r="CQ143" s="115"/>
      <c r="CR143" s="115"/>
      <c r="CS143" s="116"/>
      <c r="CU143" s="11">
        <v>46162</v>
      </c>
      <c r="CV143" s="33" t="s">
        <v>3</v>
      </c>
      <c r="CW143" s="114"/>
      <c r="CX143" s="115"/>
      <c r="CY143" s="115"/>
      <c r="CZ143" s="116"/>
      <c r="DB143" s="11">
        <v>46160</v>
      </c>
      <c r="DC143" s="33" t="s">
        <v>8</v>
      </c>
      <c r="DD143" s="114"/>
      <c r="DE143" s="115"/>
      <c r="DF143" s="115"/>
      <c r="DG143" s="116"/>
      <c r="DI143" s="11">
        <v>46162</v>
      </c>
      <c r="DJ143" s="33" t="s">
        <v>3</v>
      </c>
      <c r="DK143" s="114"/>
      <c r="DL143" s="115"/>
      <c r="DM143" s="115"/>
      <c r="DN143" s="116"/>
      <c r="DP143" s="11">
        <v>46160</v>
      </c>
      <c r="DQ143" s="33" t="s">
        <v>8</v>
      </c>
      <c r="DR143" s="114"/>
      <c r="DS143" s="115"/>
      <c r="DT143" s="115"/>
      <c r="DU143" s="116"/>
      <c r="DW143" s="11">
        <v>46162</v>
      </c>
      <c r="DX143" s="33" t="s">
        <v>3</v>
      </c>
      <c r="DY143" s="114"/>
      <c r="DZ143" s="115"/>
      <c r="EA143" s="115"/>
      <c r="EB143" s="116"/>
    </row>
    <row r="144" spans="1:132" x14ac:dyDescent="0.25">
      <c r="A144" s="11">
        <v>46163</v>
      </c>
      <c r="B144" s="33" t="s">
        <v>4</v>
      </c>
      <c r="C144" s="114"/>
      <c r="D144" s="115"/>
      <c r="E144" s="115"/>
      <c r="F144" s="116"/>
      <c r="H144" s="11">
        <v>46163</v>
      </c>
      <c r="I144" s="33" t="s">
        <v>4</v>
      </c>
      <c r="J144" s="114"/>
      <c r="K144" s="115"/>
      <c r="L144" s="115"/>
      <c r="M144" s="116"/>
      <c r="O144" s="11">
        <v>46163</v>
      </c>
      <c r="P144" s="33" t="s">
        <v>4</v>
      </c>
      <c r="Q144" s="114"/>
      <c r="R144" s="115"/>
      <c r="S144" s="115"/>
      <c r="T144" s="116"/>
      <c r="V144" s="11">
        <v>46162</v>
      </c>
      <c r="W144" s="33" t="s">
        <v>3</v>
      </c>
      <c r="X144" s="114"/>
      <c r="Y144" s="115"/>
      <c r="Z144" s="115"/>
      <c r="AA144" s="116"/>
      <c r="AC144" s="11">
        <v>46163</v>
      </c>
      <c r="AD144" s="33" t="s">
        <v>4</v>
      </c>
      <c r="AE144" s="114"/>
      <c r="AF144" s="115"/>
      <c r="AG144" s="115"/>
      <c r="AH144" s="116"/>
      <c r="AJ144" s="11">
        <v>46163</v>
      </c>
      <c r="AK144" s="33" t="s">
        <v>4</v>
      </c>
      <c r="AL144" s="114"/>
      <c r="AM144" s="115"/>
      <c r="AN144" s="115"/>
      <c r="AO144" s="116"/>
      <c r="AQ144" s="11">
        <v>46163</v>
      </c>
      <c r="AR144" s="33" t="s">
        <v>4</v>
      </c>
      <c r="AS144" s="114"/>
      <c r="AT144" s="115"/>
      <c r="AU144" s="115"/>
      <c r="AV144" s="116"/>
      <c r="AX144" s="11">
        <v>46162</v>
      </c>
      <c r="AY144" s="33" t="s">
        <v>3</v>
      </c>
      <c r="AZ144" s="114"/>
      <c r="BA144" s="115"/>
      <c r="BB144" s="115"/>
      <c r="BC144" s="116"/>
      <c r="BE144" s="11">
        <v>46163</v>
      </c>
      <c r="BF144" s="33" t="s">
        <v>4</v>
      </c>
      <c r="BG144" s="33"/>
      <c r="BH144" s="19"/>
      <c r="BI144" s="19"/>
      <c r="BJ144" s="20"/>
      <c r="BL144" s="11">
        <v>46163</v>
      </c>
      <c r="BM144" s="33" t="s">
        <v>4</v>
      </c>
      <c r="BN144" s="114"/>
      <c r="BO144" s="115"/>
      <c r="BP144" s="115"/>
      <c r="BQ144" s="116"/>
      <c r="BS144" s="11">
        <v>46163</v>
      </c>
      <c r="BT144" s="33" t="s">
        <v>4</v>
      </c>
      <c r="BU144" s="114"/>
      <c r="BV144" s="115"/>
      <c r="BW144" s="115"/>
      <c r="BX144" s="116"/>
      <c r="BZ144" s="11">
        <v>46162</v>
      </c>
      <c r="CA144" s="33" t="s">
        <v>3</v>
      </c>
      <c r="CB144" s="114"/>
      <c r="CC144" s="115"/>
      <c r="CD144" s="115"/>
      <c r="CE144" s="116"/>
      <c r="CG144" s="11">
        <v>46163</v>
      </c>
      <c r="CH144" s="33" t="s">
        <v>4</v>
      </c>
      <c r="CI144" s="114"/>
      <c r="CJ144" s="115"/>
      <c r="CK144" s="115"/>
      <c r="CL144" s="116"/>
      <c r="CN144" s="11">
        <v>46163</v>
      </c>
      <c r="CO144" s="33" t="s">
        <v>4</v>
      </c>
      <c r="CP144" s="114"/>
      <c r="CQ144" s="115"/>
      <c r="CR144" s="115"/>
      <c r="CS144" s="116"/>
      <c r="CU144" s="11">
        <v>46163</v>
      </c>
      <c r="CV144" s="33" t="s">
        <v>4</v>
      </c>
      <c r="CW144" s="114"/>
      <c r="CX144" s="115"/>
      <c r="CY144" s="115"/>
      <c r="CZ144" s="116"/>
      <c r="DB144" s="11">
        <v>46161</v>
      </c>
      <c r="DC144" s="33" t="s">
        <v>9</v>
      </c>
      <c r="DD144" s="114"/>
      <c r="DE144" s="115"/>
      <c r="DF144" s="115"/>
      <c r="DG144" s="116"/>
      <c r="DI144" s="11">
        <v>46163</v>
      </c>
      <c r="DJ144" s="33" t="s">
        <v>4</v>
      </c>
      <c r="DK144" s="114"/>
      <c r="DL144" s="115"/>
      <c r="DM144" s="115"/>
      <c r="DN144" s="116"/>
      <c r="DP144" s="11">
        <v>46161</v>
      </c>
      <c r="DQ144" s="33" t="s">
        <v>9</v>
      </c>
      <c r="DR144" s="114"/>
      <c r="DS144" s="115"/>
      <c r="DT144" s="115"/>
      <c r="DU144" s="116"/>
      <c r="DW144" s="11">
        <v>46163</v>
      </c>
      <c r="DX144" s="33" t="s">
        <v>4</v>
      </c>
      <c r="DY144" s="114"/>
      <c r="DZ144" s="115"/>
      <c r="EA144" s="115"/>
      <c r="EB144" s="116"/>
    </row>
    <row r="145" spans="1:132" x14ac:dyDescent="0.25">
      <c r="A145" s="11">
        <v>46164</v>
      </c>
      <c r="B145" s="33" t="s">
        <v>5</v>
      </c>
      <c r="C145" s="114"/>
      <c r="D145" s="115"/>
      <c r="E145" s="115"/>
      <c r="F145" s="116"/>
      <c r="H145" s="11">
        <v>46164</v>
      </c>
      <c r="I145" s="33" t="s">
        <v>5</v>
      </c>
      <c r="J145" s="114"/>
      <c r="K145" s="115"/>
      <c r="L145" s="115"/>
      <c r="M145" s="116"/>
      <c r="O145" s="11">
        <v>46164</v>
      </c>
      <c r="P145" s="33" t="s">
        <v>5</v>
      </c>
      <c r="Q145" s="114"/>
      <c r="R145" s="115"/>
      <c r="S145" s="115"/>
      <c r="T145" s="116"/>
      <c r="V145" s="11">
        <v>46163</v>
      </c>
      <c r="W145" s="33" t="s">
        <v>4</v>
      </c>
      <c r="X145" s="114"/>
      <c r="Y145" s="115"/>
      <c r="Z145" s="115"/>
      <c r="AA145" s="116"/>
      <c r="AC145" s="11">
        <v>46164</v>
      </c>
      <c r="AD145" s="33" t="s">
        <v>5</v>
      </c>
      <c r="AE145" s="114"/>
      <c r="AF145" s="115"/>
      <c r="AG145" s="115"/>
      <c r="AH145" s="116"/>
      <c r="AJ145" s="11">
        <v>46164</v>
      </c>
      <c r="AK145" s="33" t="s">
        <v>5</v>
      </c>
      <c r="AL145" s="114"/>
      <c r="AM145" s="115"/>
      <c r="AN145" s="115"/>
      <c r="AO145" s="116"/>
      <c r="AQ145" s="11">
        <v>46164</v>
      </c>
      <c r="AR145" s="33" t="s">
        <v>5</v>
      </c>
      <c r="AS145" s="114"/>
      <c r="AT145" s="115"/>
      <c r="AU145" s="115"/>
      <c r="AV145" s="116"/>
      <c r="AX145" s="11">
        <v>46163</v>
      </c>
      <c r="AY145" s="33" t="s">
        <v>4</v>
      </c>
      <c r="AZ145" s="114"/>
      <c r="BA145" s="115"/>
      <c r="BB145" s="115"/>
      <c r="BC145" s="116"/>
      <c r="BE145" s="11">
        <v>46164</v>
      </c>
      <c r="BF145" s="33" t="s">
        <v>5</v>
      </c>
      <c r="BG145" s="33"/>
      <c r="BH145" s="19"/>
      <c r="BI145" s="19"/>
      <c r="BJ145" s="20"/>
      <c r="BL145" s="11">
        <v>46164</v>
      </c>
      <c r="BM145" s="33" t="s">
        <v>5</v>
      </c>
      <c r="BN145" s="114"/>
      <c r="BO145" s="115"/>
      <c r="BP145" s="115"/>
      <c r="BQ145" s="116"/>
      <c r="BS145" s="11">
        <v>46164</v>
      </c>
      <c r="BT145" s="33" t="s">
        <v>5</v>
      </c>
      <c r="BU145" s="114"/>
      <c r="BV145" s="115"/>
      <c r="BW145" s="115"/>
      <c r="BX145" s="116"/>
      <c r="BZ145" s="11">
        <v>46163</v>
      </c>
      <c r="CA145" s="33" t="s">
        <v>4</v>
      </c>
      <c r="CB145" s="114"/>
      <c r="CC145" s="115"/>
      <c r="CD145" s="115"/>
      <c r="CE145" s="116"/>
      <c r="CG145" s="11">
        <v>46164</v>
      </c>
      <c r="CH145" s="33" t="s">
        <v>5</v>
      </c>
      <c r="CI145" s="114"/>
      <c r="CJ145" s="115"/>
      <c r="CK145" s="115"/>
      <c r="CL145" s="116"/>
      <c r="CN145" s="11">
        <v>46164</v>
      </c>
      <c r="CO145" s="33" t="s">
        <v>5</v>
      </c>
      <c r="CP145" s="114"/>
      <c r="CQ145" s="115"/>
      <c r="CR145" s="115"/>
      <c r="CS145" s="116"/>
      <c r="CU145" s="11">
        <v>46164</v>
      </c>
      <c r="CV145" s="33" t="s">
        <v>5</v>
      </c>
      <c r="CW145" s="114"/>
      <c r="CX145" s="115"/>
      <c r="CY145" s="115"/>
      <c r="CZ145" s="116"/>
      <c r="DB145" s="11">
        <v>46162</v>
      </c>
      <c r="DC145" s="33" t="s">
        <v>3</v>
      </c>
      <c r="DD145" s="114"/>
      <c r="DE145" s="115"/>
      <c r="DF145" s="115"/>
      <c r="DG145" s="116"/>
      <c r="DI145" s="11">
        <v>46164</v>
      </c>
      <c r="DJ145" s="33" t="s">
        <v>5</v>
      </c>
      <c r="DK145" s="114"/>
      <c r="DL145" s="115"/>
      <c r="DM145" s="115"/>
      <c r="DN145" s="116"/>
      <c r="DP145" s="11">
        <v>46162</v>
      </c>
      <c r="DQ145" s="33" t="s">
        <v>3</v>
      </c>
      <c r="DR145" s="114"/>
      <c r="DS145" s="115"/>
      <c r="DT145" s="115"/>
      <c r="DU145" s="116"/>
      <c r="DW145" s="11">
        <v>46164</v>
      </c>
      <c r="DX145" s="33" t="s">
        <v>5</v>
      </c>
      <c r="DY145" s="114"/>
      <c r="DZ145" s="115"/>
      <c r="EA145" s="115"/>
      <c r="EB145" s="116"/>
    </row>
    <row r="146" spans="1:132" x14ac:dyDescent="0.25">
      <c r="A146" s="11">
        <v>46165</v>
      </c>
      <c r="B146" s="111" t="s">
        <v>6</v>
      </c>
      <c r="C146" s="114"/>
      <c r="D146" s="115"/>
      <c r="E146" s="115"/>
      <c r="F146" s="116"/>
      <c r="H146" s="11">
        <v>46165</v>
      </c>
      <c r="I146" s="33" t="s">
        <v>6</v>
      </c>
      <c r="J146" s="114"/>
      <c r="K146" s="115"/>
      <c r="L146" s="115"/>
      <c r="M146" s="116"/>
      <c r="O146" s="11">
        <v>46165</v>
      </c>
      <c r="P146" s="33" t="s">
        <v>6</v>
      </c>
      <c r="Q146" s="114"/>
      <c r="R146" s="115"/>
      <c r="S146" s="115"/>
      <c r="T146" s="116"/>
      <c r="V146" s="11">
        <v>46164</v>
      </c>
      <c r="W146" s="33" t="s">
        <v>5</v>
      </c>
      <c r="X146" s="114"/>
      <c r="Y146" s="115"/>
      <c r="Z146" s="115"/>
      <c r="AA146" s="116"/>
      <c r="AC146" s="11">
        <v>46165</v>
      </c>
      <c r="AD146" s="33" t="s">
        <v>6</v>
      </c>
      <c r="AE146" s="114"/>
      <c r="AF146" s="115"/>
      <c r="AG146" s="115"/>
      <c r="AH146" s="116"/>
      <c r="AJ146" s="11">
        <v>46165</v>
      </c>
      <c r="AK146" s="33" t="s">
        <v>6</v>
      </c>
      <c r="AL146" s="114"/>
      <c r="AM146" s="115"/>
      <c r="AN146" s="115"/>
      <c r="AO146" s="116"/>
      <c r="AQ146" s="11">
        <v>46165</v>
      </c>
      <c r="AR146" s="33" t="s">
        <v>6</v>
      </c>
      <c r="AS146" s="114"/>
      <c r="AT146" s="115"/>
      <c r="AU146" s="115"/>
      <c r="AV146" s="116"/>
      <c r="AX146" s="11">
        <v>46164</v>
      </c>
      <c r="AY146" s="33" t="s">
        <v>5</v>
      </c>
      <c r="AZ146" s="114"/>
      <c r="BA146" s="115"/>
      <c r="BB146" s="115"/>
      <c r="BC146" s="116"/>
      <c r="BE146" s="11">
        <v>46165</v>
      </c>
      <c r="BF146" s="33" t="s">
        <v>6</v>
      </c>
      <c r="BG146" s="33"/>
      <c r="BH146" s="19"/>
      <c r="BI146" s="19"/>
      <c r="BJ146" s="20"/>
      <c r="BL146" s="11">
        <v>46165</v>
      </c>
      <c r="BM146" s="33" t="s">
        <v>6</v>
      </c>
      <c r="BN146" s="114"/>
      <c r="BO146" s="115"/>
      <c r="BP146" s="115"/>
      <c r="BQ146" s="116"/>
      <c r="BS146" s="11">
        <v>46165</v>
      </c>
      <c r="BT146" s="33" t="s">
        <v>6</v>
      </c>
      <c r="BU146" s="114"/>
      <c r="BV146" s="115"/>
      <c r="BW146" s="115"/>
      <c r="BX146" s="116"/>
      <c r="BZ146" s="11">
        <v>46164</v>
      </c>
      <c r="CA146" s="33" t="s">
        <v>5</v>
      </c>
      <c r="CB146" s="114"/>
      <c r="CC146" s="115"/>
      <c r="CD146" s="115"/>
      <c r="CE146" s="116"/>
      <c r="CG146" s="11">
        <v>46165</v>
      </c>
      <c r="CH146" s="33" t="s">
        <v>6</v>
      </c>
      <c r="CI146" s="114"/>
      <c r="CJ146" s="115"/>
      <c r="CK146" s="115"/>
      <c r="CL146" s="116"/>
      <c r="CN146" s="11">
        <v>46165</v>
      </c>
      <c r="CO146" s="33" t="s">
        <v>6</v>
      </c>
      <c r="CP146" s="114"/>
      <c r="CQ146" s="115"/>
      <c r="CR146" s="115"/>
      <c r="CS146" s="116"/>
      <c r="CU146" s="11">
        <v>46165</v>
      </c>
      <c r="CV146" s="33" t="s">
        <v>6</v>
      </c>
      <c r="CW146" s="114"/>
      <c r="CX146" s="115"/>
      <c r="CY146" s="115"/>
      <c r="CZ146" s="116"/>
      <c r="DB146" s="11">
        <v>46163</v>
      </c>
      <c r="DC146" s="33" t="s">
        <v>4</v>
      </c>
      <c r="DD146" s="114"/>
      <c r="DE146" s="115"/>
      <c r="DF146" s="115"/>
      <c r="DG146" s="116"/>
      <c r="DI146" s="11">
        <v>46165</v>
      </c>
      <c r="DJ146" s="33" t="s">
        <v>6</v>
      </c>
      <c r="DK146" s="114"/>
      <c r="DL146" s="115"/>
      <c r="DM146" s="115"/>
      <c r="DN146" s="116"/>
      <c r="DP146" s="11">
        <v>46163</v>
      </c>
      <c r="DQ146" s="33" t="s">
        <v>4</v>
      </c>
      <c r="DR146" s="114"/>
      <c r="DS146" s="115"/>
      <c r="DT146" s="115"/>
      <c r="DU146" s="116"/>
      <c r="DW146" s="11">
        <v>46165</v>
      </c>
      <c r="DX146" s="33" t="s">
        <v>6</v>
      </c>
      <c r="DY146" s="114"/>
      <c r="DZ146" s="115"/>
      <c r="EA146" s="115"/>
      <c r="EB146" s="116"/>
    </row>
    <row r="147" spans="1:132" x14ac:dyDescent="0.25">
      <c r="A147" s="11">
        <v>46166</v>
      </c>
      <c r="B147" s="111" t="s">
        <v>7</v>
      </c>
      <c r="C147" s="114"/>
      <c r="D147" s="115"/>
      <c r="E147" s="115"/>
      <c r="F147" s="116"/>
      <c r="H147" s="11">
        <v>46166</v>
      </c>
      <c r="I147" s="33" t="s">
        <v>7</v>
      </c>
      <c r="J147" s="114"/>
      <c r="K147" s="115"/>
      <c r="L147" s="115"/>
      <c r="M147" s="116"/>
      <c r="O147" s="11">
        <v>46166</v>
      </c>
      <c r="P147" s="33" t="s">
        <v>7</v>
      </c>
      <c r="Q147" s="114"/>
      <c r="R147" s="115"/>
      <c r="S147" s="115"/>
      <c r="T147" s="116"/>
      <c r="V147" s="11">
        <v>46165</v>
      </c>
      <c r="W147" s="33" t="s">
        <v>6</v>
      </c>
      <c r="X147" s="114"/>
      <c r="Y147" s="115"/>
      <c r="Z147" s="115"/>
      <c r="AA147" s="116"/>
      <c r="AC147" s="11">
        <v>46166</v>
      </c>
      <c r="AD147" s="33" t="s">
        <v>7</v>
      </c>
      <c r="AE147" s="114"/>
      <c r="AF147" s="115"/>
      <c r="AG147" s="115"/>
      <c r="AH147" s="116"/>
      <c r="AJ147" s="11">
        <v>46166</v>
      </c>
      <c r="AK147" s="33" t="s">
        <v>7</v>
      </c>
      <c r="AL147" s="114"/>
      <c r="AM147" s="115"/>
      <c r="AN147" s="115"/>
      <c r="AO147" s="116"/>
      <c r="AQ147" s="11">
        <v>46166</v>
      </c>
      <c r="AR147" s="33" t="s">
        <v>7</v>
      </c>
      <c r="AS147" s="114"/>
      <c r="AT147" s="115"/>
      <c r="AU147" s="115"/>
      <c r="AV147" s="116"/>
      <c r="AX147" s="11">
        <v>46165</v>
      </c>
      <c r="AY147" s="33" t="s">
        <v>6</v>
      </c>
      <c r="AZ147" s="114"/>
      <c r="BA147" s="115"/>
      <c r="BB147" s="115"/>
      <c r="BC147" s="116"/>
      <c r="BE147" s="11">
        <v>46166</v>
      </c>
      <c r="BF147" s="33" t="s">
        <v>7</v>
      </c>
      <c r="BG147" s="33"/>
      <c r="BH147" s="19"/>
      <c r="BI147" s="19"/>
      <c r="BJ147" s="20"/>
      <c r="BL147" s="11">
        <v>46166</v>
      </c>
      <c r="BM147" s="33" t="s">
        <v>7</v>
      </c>
      <c r="BN147" s="114"/>
      <c r="BO147" s="115"/>
      <c r="BP147" s="115"/>
      <c r="BQ147" s="116"/>
      <c r="BS147" s="11">
        <v>46166</v>
      </c>
      <c r="BT147" s="33" t="s">
        <v>7</v>
      </c>
      <c r="BU147" s="114"/>
      <c r="BV147" s="115"/>
      <c r="BW147" s="115"/>
      <c r="BX147" s="116"/>
      <c r="BZ147" s="11">
        <v>46165</v>
      </c>
      <c r="CA147" s="33" t="s">
        <v>6</v>
      </c>
      <c r="CB147" s="114"/>
      <c r="CC147" s="115"/>
      <c r="CD147" s="115"/>
      <c r="CE147" s="116"/>
      <c r="CG147" s="11">
        <v>46166</v>
      </c>
      <c r="CH147" s="33" t="s">
        <v>7</v>
      </c>
      <c r="CI147" s="114"/>
      <c r="CJ147" s="115"/>
      <c r="CK147" s="115"/>
      <c r="CL147" s="116"/>
      <c r="CN147" s="11">
        <v>46166</v>
      </c>
      <c r="CO147" s="33" t="s">
        <v>7</v>
      </c>
      <c r="CP147" s="114"/>
      <c r="CQ147" s="115"/>
      <c r="CR147" s="115"/>
      <c r="CS147" s="116"/>
      <c r="CU147" s="11">
        <v>46166</v>
      </c>
      <c r="CV147" s="33" t="s">
        <v>7</v>
      </c>
      <c r="CW147" s="114"/>
      <c r="CX147" s="115"/>
      <c r="CY147" s="115"/>
      <c r="CZ147" s="116"/>
      <c r="DB147" s="11">
        <v>46164</v>
      </c>
      <c r="DC147" s="33" t="s">
        <v>5</v>
      </c>
      <c r="DD147" s="114"/>
      <c r="DE147" s="115"/>
      <c r="DF147" s="115"/>
      <c r="DG147" s="116"/>
      <c r="DI147" s="11">
        <v>46166</v>
      </c>
      <c r="DJ147" s="33" t="s">
        <v>7</v>
      </c>
      <c r="DK147" s="114"/>
      <c r="DL147" s="115"/>
      <c r="DM147" s="115"/>
      <c r="DN147" s="116"/>
      <c r="DP147" s="11">
        <v>46164</v>
      </c>
      <c r="DQ147" s="33" t="s">
        <v>5</v>
      </c>
      <c r="DR147" s="114"/>
      <c r="DS147" s="115"/>
      <c r="DT147" s="115"/>
      <c r="DU147" s="116"/>
      <c r="DW147" s="11">
        <v>46166</v>
      </c>
      <c r="DX147" s="33" t="s">
        <v>7</v>
      </c>
      <c r="DY147" s="114"/>
      <c r="DZ147" s="115"/>
      <c r="EA147" s="115"/>
      <c r="EB147" s="116"/>
    </row>
    <row r="148" spans="1:132" x14ac:dyDescent="0.25">
      <c r="A148" s="11">
        <v>46167</v>
      </c>
      <c r="B148" s="33" t="s">
        <v>8</v>
      </c>
      <c r="C148" s="114"/>
      <c r="D148" s="115"/>
      <c r="E148" s="115"/>
      <c r="F148" s="116"/>
      <c r="H148" s="11">
        <v>46167</v>
      </c>
      <c r="I148" s="33" t="s">
        <v>8</v>
      </c>
      <c r="J148" s="114"/>
      <c r="K148" s="115"/>
      <c r="L148" s="115"/>
      <c r="M148" s="116"/>
      <c r="O148" s="11">
        <v>46167</v>
      </c>
      <c r="P148" s="33" t="s">
        <v>8</v>
      </c>
      <c r="Q148" s="114"/>
      <c r="R148" s="115"/>
      <c r="S148" s="115"/>
      <c r="T148" s="116"/>
      <c r="V148" s="11">
        <v>46166</v>
      </c>
      <c r="W148" s="33" t="s">
        <v>7</v>
      </c>
      <c r="X148" s="114"/>
      <c r="Y148" s="115"/>
      <c r="Z148" s="115"/>
      <c r="AA148" s="116"/>
      <c r="AC148" s="11">
        <v>46167</v>
      </c>
      <c r="AD148" s="33" t="s">
        <v>8</v>
      </c>
      <c r="AE148" s="114"/>
      <c r="AF148" s="115"/>
      <c r="AG148" s="115"/>
      <c r="AH148" s="116"/>
      <c r="AJ148" s="11">
        <v>46167</v>
      </c>
      <c r="AK148" s="33" t="s">
        <v>8</v>
      </c>
      <c r="AL148" s="114"/>
      <c r="AM148" s="115"/>
      <c r="AN148" s="115"/>
      <c r="AO148" s="116"/>
      <c r="AQ148" s="11">
        <v>46167</v>
      </c>
      <c r="AR148" s="33" t="s">
        <v>8</v>
      </c>
      <c r="AS148" s="114"/>
      <c r="AT148" s="115"/>
      <c r="AU148" s="115"/>
      <c r="AV148" s="116"/>
      <c r="AX148" s="11">
        <v>46166</v>
      </c>
      <c r="AY148" s="33" t="s">
        <v>7</v>
      </c>
      <c r="AZ148" s="114"/>
      <c r="BA148" s="115"/>
      <c r="BB148" s="115"/>
      <c r="BC148" s="116"/>
      <c r="BE148" s="11">
        <v>46167</v>
      </c>
      <c r="BF148" s="33" t="s">
        <v>8</v>
      </c>
      <c r="BG148" s="33"/>
      <c r="BH148" s="19"/>
      <c r="BI148" s="19"/>
      <c r="BJ148" s="20"/>
      <c r="BL148" s="11">
        <v>46167</v>
      </c>
      <c r="BM148" s="33" t="s">
        <v>8</v>
      </c>
      <c r="BN148" s="114"/>
      <c r="BO148" s="115"/>
      <c r="BP148" s="115"/>
      <c r="BQ148" s="116"/>
      <c r="BS148" s="11">
        <v>46167</v>
      </c>
      <c r="BT148" s="33" t="s">
        <v>8</v>
      </c>
      <c r="BU148" s="114"/>
      <c r="BV148" s="115"/>
      <c r="BW148" s="115"/>
      <c r="BX148" s="116"/>
      <c r="BZ148" s="11">
        <v>46166</v>
      </c>
      <c r="CA148" s="33" t="s">
        <v>7</v>
      </c>
      <c r="CB148" s="114"/>
      <c r="CC148" s="115"/>
      <c r="CD148" s="115"/>
      <c r="CE148" s="116"/>
      <c r="CG148" s="11">
        <v>46167</v>
      </c>
      <c r="CH148" s="33" t="s">
        <v>8</v>
      </c>
      <c r="CI148" s="114"/>
      <c r="CJ148" s="115"/>
      <c r="CK148" s="115"/>
      <c r="CL148" s="116"/>
      <c r="CN148" s="11">
        <v>46167</v>
      </c>
      <c r="CO148" s="33" t="s">
        <v>8</v>
      </c>
      <c r="CP148" s="114"/>
      <c r="CQ148" s="115"/>
      <c r="CR148" s="115"/>
      <c r="CS148" s="116"/>
      <c r="CU148" s="11">
        <v>46167</v>
      </c>
      <c r="CV148" s="33" t="s">
        <v>8</v>
      </c>
      <c r="CW148" s="114"/>
      <c r="CX148" s="115"/>
      <c r="CY148" s="115"/>
      <c r="CZ148" s="116"/>
      <c r="DB148" s="11">
        <v>46165</v>
      </c>
      <c r="DC148" s="33" t="s">
        <v>6</v>
      </c>
      <c r="DD148" s="114"/>
      <c r="DE148" s="115"/>
      <c r="DF148" s="115"/>
      <c r="DG148" s="116"/>
      <c r="DI148" s="11">
        <v>46167</v>
      </c>
      <c r="DJ148" s="33" t="s">
        <v>8</v>
      </c>
      <c r="DK148" s="114"/>
      <c r="DL148" s="115"/>
      <c r="DM148" s="115"/>
      <c r="DN148" s="116"/>
      <c r="DP148" s="11">
        <v>46165</v>
      </c>
      <c r="DQ148" s="33" t="s">
        <v>6</v>
      </c>
      <c r="DR148" s="114"/>
      <c r="DS148" s="115"/>
      <c r="DT148" s="115"/>
      <c r="DU148" s="116"/>
      <c r="DW148" s="11">
        <v>46167</v>
      </c>
      <c r="DX148" s="33" t="s">
        <v>8</v>
      </c>
      <c r="DY148" s="114"/>
      <c r="DZ148" s="115"/>
      <c r="EA148" s="115"/>
      <c r="EB148" s="116"/>
    </row>
    <row r="149" spans="1:132" x14ac:dyDescent="0.25">
      <c r="A149" s="11">
        <v>46168</v>
      </c>
      <c r="B149" s="33" t="s">
        <v>9</v>
      </c>
      <c r="C149" s="114"/>
      <c r="D149" s="115"/>
      <c r="E149" s="115"/>
      <c r="F149" s="116"/>
      <c r="H149" s="11">
        <v>46168</v>
      </c>
      <c r="I149" s="33" t="s">
        <v>9</v>
      </c>
      <c r="J149" s="114"/>
      <c r="K149" s="115"/>
      <c r="L149" s="115"/>
      <c r="M149" s="116"/>
      <c r="O149" s="11">
        <v>46168</v>
      </c>
      <c r="P149" s="33" t="s">
        <v>9</v>
      </c>
      <c r="Q149" s="114"/>
      <c r="R149" s="115"/>
      <c r="S149" s="115"/>
      <c r="T149" s="116"/>
      <c r="V149" s="11">
        <v>46167</v>
      </c>
      <c r="W149" s="33" t="s">
        <v>8</v>
      </c>
      <c r="X149" s="114"/>
      <c r="Y149" s="115"/>
      <c r="Z149" s="115"/>
      <c r="AA149" s="116"/>
      <c r="AC149" s="11">
        <v>46168</v>
      </c>
      <c r="AD149" s="33" t="s">
        <v>9</v>
      </c>
      <c r="AE149" s="114"/>
      <c r="AF149" s="115"/>
      <c r="AG149" s="115"/>
      <c r="AH149" s="116"/>
      <c r="AJ149" s="11">
        <v>46168</v>
      </c>
      <c r="AK149" s="33" t="s">
        <v>9</v>
      </c>
      <c r="AL149" s="114"/>
      <c r="AM149" s="115"/>
      <c r="AN149" s="115"/>
      <c r="AO149" s="116"/>
      <c r="AQ149" s="11">
        <v>46168</v>
      </c>
      <c r="AR149" s="33" t="s">
        <v>9</v>
      </c>
      <c r="AS149" s="114"/>
      <c r="AT149" s="115"/>
      <c r="AU149" s="115"/>
      <c r="AV149" s="116"/>
      <c r="AX149" s="11">
        <v>46167</v>
      </c>
      <c r="AY149" s="33" t="s">
        <v>8</v>
      </c>
      <c r="AZ149" s="114"/>
      <c r="BA149" s="115"/>
      <c r="BB149" s="115"/>
      <c r="BC149" s="116"/>
      <c r="BE149" s="11">
        <v>46168</v>
      </c>
      <c r="BF149" s="33" t="s">
        <v>9</v>
      </c>
      <c r="BG149" s="33"/>
      <c r="BH149" s="19"/>
      <c r="BI149" s="19"/>
      <c r="BJ149" s="20"/>
      <c r="BL149" s="11">
        <v>46168</v>
      </c>
      <c r="BM149" s="33" t="s">
        <v>9</v>
      </c>
      <c r="BN149" s="114"/>
      <c r="BO149" s="115"/>
      <c r="BP149" s="115"/>
      <c r="BQ149" s="116"/>
      <c r="BS149" s="11">
        <v>46168</v>
      </c>
      <c r="BT149" s="33" t="s">
        <v>9</v>
      </c>
      <c r="BU149" s="114"/>
      <c r="BV149" s="115"/>
      <c r="BW149" s="115"/>
      <c r="BX149" s="116"/>
      <c r="BZ149" s="11">
        <v>46167</v>
      </c>
      <c r="CA149" s="33" t="s">
        <v>8</v>
      </c>
      <c r="CB149" s="114"/>
      <c r="CC149" s="115"/>
      <c r="CD149" s="115"/>
      <c r="CE149" s="116"/>
      <c r="CG149" s="11">
        <v>46168</v>
      </c>
      <c r="CH149" s="33" t="s">
        <v>9</v>
      </c>
      <c r="CI149" s="114"/>
      <c r="CJ149" s="115"/>
      <c r="CK149" s="115"/>
      <c r="CL149" s="116"/>
      <c r="CN149" s="11">
        <v>46168</v>
      </c>
      <c r="CO149" s="33" t="s">
        <v>9</v>
      </c>
      <c r="CP149" s="114"/>
      <c r="CQ149" s="115"/>
      <c r="CR149" s="115"/>
      <c r="CS149" s="116"/>
      <c r="CU149" s="11">
        <v>46168</v>
      </c>
      <c r="CV149" s="33" t="s">
        <v>9</v>
      </c>
      <c r="CW149" s="114"/>
      <c r="CX149" s="115"/>
      <c r="CY149" s="115"/>
      <c r="CZ149" s="116"/>
      <c r="DB149" s="11">
        <v>46166</v>
      </c>
      <c r="DC149" s="33" t="s">
        <v>7</v>
      </c>
      <c r="DD149" s="114"/>
      <c r="DE149" s="115"/>
      <c r="DF149" s="115"/>
      <c r="DG149" s="116"/>
      <c r="DI149" s="11">
        <v>46168</v>
      </c>
      <c r="DJ149" s="33" t="s">
        <v>9</v>
      </c>
      <c r="DK149" s="114"/>
      <c r="DL149" s="115"/>
      <c r="DM149" s="115"/>
      <c r="DN149" s="116"/>
      <c r="DP149" s="11">
        <v>46166</v>
      </c>
      <c r="DQ149" s="33" t="s">
        <v>7</v>
      </c>
      <c r="DR149" s="114"/>
      <c r="DS149" s="115"/>
      <c r="DT149" s="115"/>
      <c r="DU149" s="116"/>
      <c r="DW149" s="11">
        <v>46168</v>
      </c>
      <c r="DX149" s="33" t="s">
        <v>9</v>
      </c>
      <c r="DY149" s="114"/>
      <c r="DZ149" s="115"/>
      <c r="EA149" s="115"/>
      <c r="EB149" s="116"/>
    </row>
    <row r="150" spans="1:132" x14ac:dyDescent="0.25">
      <c r="A150" s="11">
        <v>46169</v>
      </c>
      <c r="B150" s="33" t="s">
        <v>3</v>
      </c>
      <c r="C150" s="114"/>
      <c r="D150" s="115"/>
      <c r="E150" s="115"/>
      <c r="F150" s="116"/>
      <c r="H150" s="11">
        <v>46169</v>
      </c>
      <c r="I150" s="33" t="s">
        <v>3</v>
      </c>
      <c r="J150" s="114"/>
      <c r="K150" s="115"/>
      <c r="L150" s="115"/>
      <c r="M150" s="116"/>
      <c r="O150" s="11">
        <v>46169</v>
      </c>
      <c r="P150" s="33" t="s">
        <v>3</v>
      </c>
      <c r="Q150" s="114"/>
      <c r="R150" s="115"/>
      <c r="S150" s="115"/>
      <c r="T150" s="116"/>
      <c r="V150" s="11">
        <v>46168</v>
      </c>
      <c r="W150" s="33" t="s">
        <v>9</v>
      </c>
      <c r="X150" s="114"/>
      <c r="Y150" s="115"/>
      <c r="Z150" s="115"/>
      <c r="AA150" s="116"/>
      <c r="AC150" s="11">
        <v>46169</v>
      </c>
      <c r="AD150" s="33" t="s">
        <v>3</v>
      </c>
      <c r="AE150" s="114"/>
      <c r="AF150" s="115"/>
      <c r="AG150" s="115"/>
      <c r="AH150" s="116"/>
      <c r="AJ150" s="11">
        <v>46169</v>
      </c>
      <c r="AK150" s="33" t="s">
        <v>3</v>
      </c>
      <c r="AL150" s="114"/>
      <c r="AM150" s="115"/>
      <c r="AN150" s="115"/>
      <c r="AO150" s="116"/>
      <c r="AQ150" s="11">
        <v>46169</v>
      </c>
      <c r="AR150" s="33" t="s">
        <v>3</v>
      </c>
      <c r="AS150" s="114"/>
      <c r="AT150" s="115"/>
      <c r="AU150" s="115"/>
      <c r="AV150" s="116"/>
      <c r="AX150" s="11">
        <v>46168</v>
      </c>
      <c r="AY150" s="33" t="s">
        <v>9</v>
      </c>
      <c r="AZ150" s="114"/>
      <c r="BA150" s="115"/>
      <c r="BB150" s="115"/>
      <c r="BC150" s="116"/>
      <c r="BE150" s="11">
        <v>46169</v>
      </c>
      <c r="BF150" s="33" t="s">
        <v>3</v>
      </c>
      <c r="BG150" s="33"/>
      <c r="BH150" s="19"/>
      <c r="BI150" s="19"/>
      <c r="BJ150" s="20"/>
      <c r="BL150" s="11">
        <v>46169</v>
      </c>
      <c r="BM150" s="33" t="s">
        <v>3</v>
      </c>
      <c r="BN150" s="114"/>
      <c r="BO150" s="115"/>
      <c r="BP150" s="115"/>
      <c r="BQ150" s="116"/>
      <c r="BS150" s="11">
        <v>46169</v>
      </c>
      <c r="BT150" s="33" t="s">
        <v>3</v>
      </c>
      <c r="BU150" s="114"/>
      <c r="BV150" s="115"/>
      <c r="BW150" s="115"/>
      <c r="BX150" s="116"/>
      <c r="BZ150" s="11">
        <v>46168</v>
      </c>
      <c r="CA150" s="33" t="s">
        <v>9</v>
      </c>
      <c r="CB150" s="114"/>
      <c r="CC150" s="115"/>
      <c r="CD150" s="115"/>
      <c r="CE150" s="116"/>
      <c r="CG150" s="11">
        <v>46169</v>
      </c>
      <c r="CH150" s="33" t="s">
        <v>3</v>
      </c>
      <c r="CI150" s="114"/>
      <c r="CJ150" s="115"/>
      <c r="CK150" s="115"/>
      <c r="CL150" s="116"/>
      <c r="CN150" s="11">
        <v>46169</v>
      </c>
      <c r="CO150" s="33" t="s">
        <v>3</v>
      </c>
      <c r="CP150" s="114"/>
      <c r="CQ150" s="115"/>
      <c r="CR150" s="115"/>
      <c r="CS150" s="116"/>
      <c r="CU150" s="11">
        <v>46169</v>
      </c>
      <c r="CV150" s="33" t="s">
        <v>3</v>
      </c>
      <c r="CW150" s="114"/>
      <c r="CX150" s="115"/>
      <c r="CY150" s="115"/>
      <c r="CZ150" s="116"/>
      <c r="DB150" s="11">
        <v>46167</v>
      </c>
      <c r="DC150" s="33" t="s">
        <v>8</v>
      </c>
      <c r="DD150" s="114"/>
      <c r="DE150" s="115"/>
      <c r="DF150" s="115"/>
      <c r="DG150" s="116"/>
      <c r="DI150" s="11">
        <v>46169</v>
      </c>
      <c r="DJ150" s="33" t="s">
        <v>3</v>
      </c>
      <c r="DK150" s="114"/>
      <c r="DL150" s="115"/>
      <c r="DM150" s="115"/>
      <c r="DN150" s="116"/>
      <c r="DP150" s="11">
        <v>46167</v>
      </c>
      <c r="DQ150" s="33" t="s">
        <v>8</v>
      </c>
      <c r="DR150" s="114"/>
      <c r="DS150" s="115"/>
      <c r="DT150" s="115"/>
      <c r="DU150" s="116"/>
      <c r="DW150" s="11">
        <v>46169</v>
      </c>
      <c r="DX150" s="33" t="s">
        <v>3</v>
      </c>
      <c r="DY150" s="114"/>
      <c r="DZ150" s="115"/>
      <c r="EA150" s="115"/>
      <c r="EB150" s="116"/>
    </row>
    <row r="151" spans="1:132" x14ac:dyDescent="0.25">
      <c r="A151" s="11">
        <v>46170</v>
      </c>
      <c r="B151" s="33" t="s">
        <v>4</v>
      </c>
      <c r="C151" s="114"/>
      <c r="D151" s="115"/>
      <c r="E151" s="115"/>
      <c r="F151" s="116"/>
      <c r="H151" s="11">
        <v>46170</v>
      </c>
      <c r="I151" s="33" t="s">
        <v>4</v>
      </c>
      <c r="J151" s="114"/>
      <c r="K151" s="115"/>
      <c r="L151" s="115"/>
      <c r="M151" s="116"/>
      <c r="O151" s="11">
        <v>46170</v>
      </c>
      <c r="P151" s="33" t="s">
        <v>4</v>
      </c>
      <c r="Q151" s="114"/>
      <c r="R151" s="115"/>
      <c r="S151" s="115"/>
      <c r="T151" s="116"/>
      <c r="V151" s="11">
        <v>46169</v>
      </c>
      <c r="W151" s="33" t="s">
        <v>3</v>
      </c>
      <c r="X151" s="114"/>
      <c r="Y151" s="115"/>
      <c r="Z151" s="115"/>
      <c r="AA151" s="116"/>
      <c r="AC151" s="11">
        <v>46170</v>
      </c>
      <c r="AD151" s="33" t="s">
        <v>4</v>
      </c>
      <c r="AE151" s="114"/>
      <c r="AF151" s="115"/>
      <c r="AG151" s="115"/>
      <c r="AH151" s="116"/>
      <c r="AJ151" s="11">
        <v>46170</v>
      </c>
      <c r="AK151" s="33" t="s">
        <v>4</v>
      </c>
      <c r="AL151" s="114"/>
      <c r="AM151" s="115"/>
      <c r="AN151" s="115"/>
      <c r="AO151" s="116"/>
      <c r="AQ151" s="11">
        <v>46170</v>
      </c>
      <c r="AR151" s="33" t="s">
        <v>4</v>
      </c>
      <c r="AS151" s="114"/>
      <c r="AT151" s="115"/>
      <c r="AU151" s="115"/>
      <c r="AV151" s="116"/>
      <c r="AX151" s="11">
        <v>46169</v>
      </c>
      <c r="AY151" s="33" t="s">
        <v>3</v>
      </c>
      <c r="AZ151" s="114"/>
      <c r="BA151" s="115"/>
      <c r="BB151" s="115"/>
      <c r="BC151" s="116"/>
      <c r="BE151" s="11">
        <v>46170</v>
      </c>
      <c r="BF151" s="33" t="s">
        <v>4</v>
      </c>
      <c r="BG151" s="33"/>
      <c r="BH151" s="19"/>
      <c r="BI151" s="19"/>
      <c r="BJ151" s="20"/>
      <c r="BL151" s="11">
        <v>46170</v>
      </c>
      <c r="BM151" s="33" t="s">
        <v>4</v>
      </c>
      <c r="BN151" s="114"/>
      <c r="BO151" s="115"/>
      <c r="BP151" s="115"/>
      <c r="BQ151" s="116"/>
      <c r="BS151" s="11">
        <v>46170</v>
      </c>
      <c r="BT151" s="33" t="s">
        <v>4</v>
      </c>
      <c r="BU151" s="114"/>
      <c r="BV151" s="115"/>
      <c r="BW151" s="115"/>
      <c r="BX151" s="116"/>
      <c r="BZ151" s="11">
        <v>46169</v>
      </c>
      <c r="CA151" s="33" t="s">
        <v>3</v>
      </c>
      <c r="CB151" s="114"/>
      <c r="CC151" s="115"/>
      <c r="CD151" s="115"/>
      <c r="CE151" s="116"/>
      <c r="CG151" s="11">
        <v>46170</v>
      </c>
      <c r="CH151" s="33" t="s">
        <v>4</v>
      </c>
      <c r="CI151" s="114"/>
      <c r="CJ151" s="115"/>
      <c r="CK151" s="115"/>
      <c r="CL151" s="116"/>
      <c r="CN151" s="11">
        <v>46170</v>
      </c>
      <c r="CO151" s="33" t="s">
        <v>4</v>
      </c>
      <c r="CP151" s="114"/>
      <c r="CQ151" s="115"/>
      <c r="CR151" s="115"/>
      <c r="CS151" s="116"/>
      <c r="CU151" s="11">
        <v>46170</v>
      </c>
      <c r="CV151" s="33" t="s">
        <v>4</v>
      </c>
      <c r="CW151" s="114"/>
      <c r="CX151" s="115"/>
      <c r="CY151" s="115"/>
      <c r="CZ151" s="116"/>
      <c r="DB151" s="11">
        <v>46168</v>
      </c>
      <c r="DC151" s="33" t="s">
        <v>9</v>
      </c>
      <c r="DD151" s="114"/>
      <c r="DE151" s="115"/>
      <c r="DF151" s="115"/>
      <c r="DG151" s="116"/>
      <c r="DI151" s="11">
        <v>46170</v>
      </c>
      <c r="DJ151" s="33" t="s">
        <v>4</v>
      </c>
      <c r="DK151" s="114"/>
      <c r="DL151" s="115"/>
      <c r="DM151" s="115"/>
      <c r="DN151" s="116"/>
      <c r="DP151" s="11">
        <v>46168</v>
      </c>
      <c r="DQ151" s="33" t="s">
        <v>9</v>
      </c>
      <c r="DR151" s="114"/>
      <c r="DS151" s="115"/>
      <c r="DT151" s="115"/>
      <c r="DU151" s="116"/>
      <c r="DW151" s="11">
        <v>46170</v>
      </c>
      <c r="DX151" s="33" t="s">
        <v>4</v>
      </c>
      <c r="DY151" s="114"/>
      <c r="DZ151" s="115"/>
      <c r="EA151" s="115"/>
      <c r="EB151" s="116"/>
    </row>
    <row r="152" spans="1:132" x14ac:dyDescent="0.25">
      <c r="A152" s="11">
        <v>46171</v>
      </c>
      <c r="B152" s="33" t="s">
        <v>5</v>
      </c>
      <c r="C152" s="114"/>
      <c r="D152" s="115"/>
      <c r="E152" s="115"/>
      <c r="F152" s="116"/>
      <c r="H152" s="11">
        <v>46171</v>
      </c>
      <c r="I152" s="33" t="s">
        <v>5</v>
      </c>
      <c r="J152" s="114"/>
      <c r="K152" s="115"/>
      <c r="L152" s="115"/>
      <c r="M152" s="116"/>
      <c r="O152" s="11">
        <v>46171</v>
      </c>
      <c r="P152" s="33" t="s">
        <v>5</v>
      </c>
      <c r="Q152" s="114"/>
      <c r="R152" s="115"/>
      <c r="S152" s="115"/>
      <c r="T152" s="116"/>
      <c r="V152" s="11">
        <v>46170</v>
      </c>
      <c r="W152" s="33" t="s">
        <v>4</v>
      </c>
      <c r="X152" s="114"/>
      <c r="Y152" s="115"/>
      <c r="Z152" s="115"/>
      <c r="AA152" s="116"/>
      <c r="AC152" s="11">
        <v>46171</v>
      </c>
      <c r="AD152" s="33" t="s">
        <v>5</v>
      </c>
      <c r="AE152" s="114"/>
      <c r="AF152" s="115"/>
      <c r="AG152" s="115"/>
      <c r="AH152" s="116"/>
      <c r="AJ152" s="11">
        <v>46171</v>
      </c>
      <c r="AK152" s="33" t="s">
        <v>5</v>
      </c>
      <c r="AL152" s="114"/>
      <c r="AM152" s="115"/>
      <c r="AN152" s="115"/>
      <c r="AO152" s="116"/>
      <c r="AQ152" s="11">
        <v>46171</v>
      </c>
      <c r="AR152" s="33" t="s">
        <v>5</v>
      </c>
      <c r="AS152" s="114"/>
      <c r="AT152" s="115"/>
      <c r="AU152" s="115"/>
      <c r="AV152" s="116"/>
      <c r="AX152" s="11">
        <v>46170</v>
      </c>
      <c r="AY152" s="33" t="s">
        <v>4</v>
      </c>
      <c r="AZ152" s="114"/>
      <c r="BA152" s="115"/>
      <c r="BB152" s="115"/>
      <c r="BC152" s="116"/>
      <c r="BE152" s="11">
        <v>46171</v>
      </c>
      <c r="BF152" s="33" t="s">
        <v>5</v>
      </c>
      <c r="BG152" s="33"/>
      <c r="BH152" s="19"/>
      <c r="BI152" s="19"/>
      <c r="BJ152" s="20"/>
      <c r="BL152" s="11">
        <v>46171</v>
      </c>
      <c r="BM152" s="33" t="s">
        <v>5</v>
      </c>
      <c r="BN152" s="114"/>
      <c r="BO152" s="115"/>
      <c r="BP152" s="115"/>
      <c r="BQ152" s="116"/>
      <c r="BS152" s="11">
        <v>46171</v>
      </c>
      <c r="BT152" s="33" t="s">
        <v>5</v>
      </c>
      <c r="BU152" s="114"/>
      <c r="BV152" s="115"/>
      <c r="BW152" s="115"/>
      <c r="BX152" s="116"/>
      <c r="BZ152" s="11">
        <v>46170</v>
      </c>
      <c r="CA152" s="33" t="s">
        <v>4</v>
      </c>
      <c r="CB152" s="114"/>
      <c r="CC152" s="115"/>
      <c r="CD152" s="115"/>
      <c r="CE152" s="116"/>
      <c r="CG152" s="11">
        <v>46171</v>
      </c>
      <c r="CH152" s="33" t="s">
        <v>5</v>
      </c>
      <c r="CI152" s="114"/>
      <c r="CJ152" s="115"/>
      <c r="CK152" s="115"/>
      <c r="CL152" s="116"/>
      <c r="CN152" s="11">
        <v>46171</v>
      </c>
      <c r="CO152" s="33" t="s">
        <v>5</v>
      </c>
      <c r="CP152" s="114"/>
      <c r="CQ152" s="115"/>
      <c r="CR152" s="115"/>
      <c r="CS152" s="116"/>
      <c r="CU152" s="11">
        <v>46171</v>
      </c>
      <c r="CV152" s="33" t="s">
        <v>5</v>
      </c>
      <c r="CW152" s="114"/>
      <c r="CX152" s="115"/>
      <c r="CY152" s="115"/>
      <c r="CZ152" s="116"/>
      <c r="DB152" s="11">
        <v>46169</v>
      </c>
      <c r="DC152" s="33" t="s">
        <v>3</v>
      </c>
      <c r="DD152" s="114"/>
      <c r="DE152" s="115"/>
      <c r="DF152" s="115"/>
      <c r="DG152" s="116"/>
      <c r="DI152" s="11">
        <v>46171</v>
      </c>
      <c r="DJ152" s="33" t="s">
        <v>5</v>
      </c>
      <c r="DK152" s="114"/>
      <c r="DL152" s="115"/>
      <c r="DM152" s="115"/>
      <c r="DN152" s="116"/>
      <c r="DP152" s="11">
        <v>46169</v>
      </c>
      <c r="DQ152" s="33" t="s">
        <v>3</v>
      </c>
      <c r="DR152" s="114"/>
      <c r="DS152" s="115"/>
      <c r="DT152" s="115"/>
      <c r="DU152" s="116"/>
      <c r="DW152" s="11">
        <v>46171</v>
      </c>
      <c r="DX152" s="33" t="s">
        <v>5</v>
      </c>
      <c r="DY152" s="114"/>
      <c r="DZ152" s="115"/>
      <c r="EA152" s="115"/>
      <c r="EB152" s="116"/>
    </row>
    <row r="153" spans="1:132" x14ac:dyDescent="0.25">
      <c r="A153" s="11">
        <v>46172</v>
      </c>
      <c r="B153" s="33" t="s">
        <v>6</v>
      </c>
      <c r="C153" s="114"/>
      <c r="D153" s="115"/>
      <c r="E153" s="115"/>
      <c r="F153" s="116"/>
      <c r="H153" s="11">
        <v>46172</v>
      </c>
      <c r="I153" s="33" t="s">
        <v>6</v>
      </c>
      <c r="J153" s="114"/>
      <c r="K153" s="115"/>
      <c r="L153" s="115"/>
      <c r="M153" s="116"/>
      <c r="O153" s="11">
        <v>46172</v>
      </c>
      <c r="P153" s="33" t="s">
        <v>6</v>
      </c>
      <c r="Q153" s="114"/>
      <c r="R153" s="115"/>
      <c r="S153" s="115"/>
      <c r="T153" s="116"/>
      <c r="V153" s="11">
        <v>46171</v>
      </c>
      <c r="W153" s="33" t="s">
        <v>5</v>
      </c>
      <c r="X153" s="114"/>
      <c r="Y153" s="115"/>
      <c r="Z153" s="115"/>
      <c r="AA153" s="116"/>
      <c r="AC153" s="11">
        <v>46172</v>
      </c>
      <c r="AD153" s="33" t="s">
        <v>6</v>
      </c>
      <c r="AE153" s="114"/>
      <c r="AF153" s="115"/>
      <c r="AG153" s="115"/>
      <c r="AH153" s="116"/>
      <c r="AJ153" s="11">
        <v>46172</v>
      </c>
      <c r="AK153" s="33" t="s">
        <v>6</v>
      </c>
      <c r="AL153" s="114"/>
      <c r="AM153" s="115"/>
      <c r="AN153" s="115"/>
      <c r="AO153" s="116"/>
      <c r="AQ153" s="11">
        <v>46172</v>
      </c>
      <c r="AR153" s="33" t="s">
        <v>6</v>
      </c>
      <c r="AS153" s="114"/>
      <c r="AT153" s="115"/>
      <c r="AU153" s="115"/>
      <c r="AV153" s="116"/>
      <c r="AX153" s="11">
        <v>46171</v>
      </c>
      <c r="AY153" s="33" t="s">
        <v>5</v>
      </c>
      <c r="AZ153" s="114"/>
      <c r="BA153" s="115"/>
      <c r="BB153" s="115"/>
      <c r="BC153" s="116"/>
      <c r="BE153" s="11">
        <v>46172</v>
      </c>
      <c r="BF153" s="33" t="s">
        <v>6</v>
      </c>
      <c r="BG153" s="33"/>
      <c r="BH153" s="19"/>
      <c r="BI153" s="19"/>
      <c r="BJ153" s="20"/>
      <c r="BL153" s="11">
        <v>46172</v>
      </c>
      <c r="BM153" s="33" t="s">
        <v>6</v>
      </c>
      <c r="BN153" s="114"/>
      <c r="BO153" s="115"/>
      <c r="BP153" s="115"/>
      <c r="BQ153" s="116"/>
      <c r="BS153" s="11">
        <v>46172</v>
      </c>
      <c r="BT153" s="33" t="s">
        <v>6</v>
      </c>
      <c r="BU153" s="114"/>
      <c r="BV153" s="115"/>
      <c r="BW153" s="115"/>
      <c r="BX153" s="116"/>
      <c r="BZ153" s="11">
        <v>46171</v>
      </c>
      <c r="CA153" s="33" t="s">
        <v>5</v>
      </c>
      <c r="CB153" s="114"/>
      <c r="CC153" s="115"/>
      <c r="CD153" s="115"/>
      <c r="CE153" s="116"/>
      <c r="CG153" s="11">
        <v>46172</v>
      </c>
      <c r="CH153" s="33" t="s">
        <v>6</v>
      </c>
      <c r="CI153" s="114"/>
      <c r="CJ153" s="115"/>
      <c r="CK153" s="115"/>
      <c r="CL153" s="116"/>
      <c r="CN153" s="11">
        <v>46172</v>
      </c>
      <c r="CO153" s="33" t="s">
        <v>6</v>
      </c>
      <c r="CP153" s="114"/>
      <c r="CQ153" s="115"/>
      <c r="CR153" s="115"/>
      <c r="CS153" s="116"/>
      <c r="CU153" s="11">
        <v>46172</v>
      </c>
      <c r="CV153" s="33" t="s">
        <v>6</v>
      </c>
      <c r="CW153" s="114"/>
      <c r="CX153" s="115"/>
      <c r="CY153" s="115"/>
      <c r="CZ153" s="116"/>
      <c r="DB153" s="11">
        <v>46170</v>
      </c>
      <c r="DC153" s="33" t="s">
        <v>4</v>
      </c>
      <c r="DD153" s="114"/>
      <c r="DE153" s="115"/>
      <c r="DF153" s="115"/>
      <c r="DG153" s="116"/>
      <c r="DI153" s="11">
        <v>46172</v>
      </c>
      <c r="DJ153" s="33" t="s">
        <v>6</v>
      </c>
      <c r="DK153" s="114"/>
      <c r="DL153" s="115"/>
      <c r="DM153" s="115"/>
      <c r="DN153" s="116"/>
      <c r="DP153" s="11">
        <v>46170</v>
      </c>
      <c r="DQ153" s="33" t="s">
        <v>4</v>
      </c>
      <c r="DR153" s="114"/>
      <c r="DS153" s="115"/>
      <c r="DT153" s="115"/>
      <c r="DU153" s="116"/>
      <c r="DW153" s="11">
        <v>46172</v>
      </c>
      <c r="DX153" s="33" t="s">
        <v>6</v>
      </c>
      <c r="DY153" s="114"/>
      <c r="DZ153" s="115"/>
      <c r="EA153" s="115"/>
      <c r="EB153" s="116"/>
    </row>
    <row r="154" spans="1:132" x14ac:dyDescent="0.25">
      <c r="A154" s="11">
        <v>46173</v>
      </c>
      <c r="B154" s="33" t="s">
        <v>7</v>
      </c>
      <c r="C154" s="114"/>
      <c r="D154" s="115"/>
      <c r="E154" s="115"/>
      <c r="F154" s="116"/>
      <c r="H154" s="11">
        <v>46173</v>
      </c>
      <c r="I154" s="33" t="s">
        <v>7</v>
      </c>
      <c r="J154" s="114"/>
      <c r="K154" s="115"/>
      <c r="L154" s="115"/>
      <c r="M154" s="116"/>
      <c r="O154" s="11">
        <v>46173</v>
      </c>
      <c r="P154" s="33" t="s">
        <v>7</v>
      </c>
      <c r="Q154" s="114"/>
      <c r="R154" s="115"/>
      <c r="S154" s="115"/>
      <c r="T154" s="116"/>
      <c r="V154" s="11">
        <v>46172</v>
      </c>
      <c r="W154" s="33" t="s">
        <v>6</v>
      </c>
      <c r="X154" s="114"/>
      <c r="Y154" s="115"/>
      <c r="Z154" s="115"/>
      <c r="AA154" s="116"/>
      <c r="AC154" s="11">
        <v>46173</v>
      </c>
      <c r="AD154" s="33" t="s">
        <v>7</v>
      </c>
      <c r="AE154" s="114"/>
      <c r="AF154" s="115"/>
      <c r="AG154" s="115"/>
      <c r="AH154" s="116"/>
      <c r="AJ154" s="11">
        <v>46173</v>
      </c>
      <c r="AK154" s="33" t="s">
        <v>7</v>
      </c>
      <c r="AL154" s="114"/>
      <c r="AM154" s="115"/>
      <c r="AN154" s="115"/>
      <c r="AO154" s="116"/>
      <c r="AQ154" s="11">
        <v>46173</v>
      </c>
      <c r="AR154" s="33" t="s">
        <v>7</v>
      </c>
      <c r="AS154" s="114"/>
      <c r="AT154" s="115"/>
      <c r="AU154" s="115"/>
      <c r="AV154" s="116"/>
      <c r="AX154" s="11">
        <v>46172</v>
      </c>
      <c r="AY154" s="33" t="s">
        <v>6</v>
      </c>
      <c r="AZ154" s="114"/>
      <c r="BA154" s="115"/>
      <c r="BB154" s="115"/>
      <c r="BC154" s="116"/>
      <c r="BE154" s="11">
        <v>46173</v>
      </c>
      <c r="BF154" s="33" t="s">
        <v>7</v>
      </c>
      <c r="BG154" s="33"/>
      <c r="BH154" s="19"/>
      <c r="BI154" s="19"/>
      <c r="BJ154" s="20"/>
      <c r="BL154" s="11">
        <v>46173</v>
      </c>
      <c r="BM154" s="33" t="s">
        <v>7</v>
      </c>
      <c r="BN154" s="114"/>
      <c r="BO154" s="115"/>
      <c r="BP154" s="115"/>
      <c r="BQ154" s="116"/>
      <c r="BS154" s="11">
        <v>46173</v>
      </c>
      <c r="BT154" s="33" t="s">
        <v>7</v>
      </c>
      <c r="BU154" s="114"/>
      <c r="BV154" s="115"/>
      <c r="BW154" s="115"/>
      <c r="BX154" s="116"/>
      <c r="BZ154" s="11">
        <v>46172</v>
      </c>
      <c r="CA154" s="33" t="s">
        <v>6</v>
      </c>
      <c r="CB154" s="114"/>
      <c r="CC154" s="115"/>
      <c r="CD154" s="115"/>
      <c r="CE154" s="116"/>
      <c r="CG154" s="11">
        <v>46173</v>
      </c>
      <c r="CH154" s="33" t="s">
        <v>7</v>
      </c>
      <c r="CI154" s="114"/>
      <c r="CJ154" s="115"/>
      <c r="CK154" s="115"/>
      <c r="CL154" s="116"/>
      <c r="CN154" s="11">
        <v>46173</v>
      </c>
      <c r="CO154" s="33" t="s">
        <v>7</v>
      </c>
      <c r="CP154" s="114"/>
      <c r="CQ154" s="115"/>
      <c r="CR154" s="115"/>
      <c r="CS154" s="116"/>
      <c r="CU154" s="11">
        <v>46173</v>
      </c>
      <c r="CV154" s="33" t="s">
        <v>7</v>
      </c>
      <c r="CW154" s="114"/>
      <c r="CX154" s="115"/>
      <c r="CY154" s="115"/>
      <c r="CZ154" s="116"/>
      <c r="DB154" s="11">
        <v>46171</v>
      </c>
      <c r="DC154" s="33" t="s">
        <v>5</v>
      </c>
      <c r="DD154" s="114"/>
      <c r="DE154" s="115"/>
      <c r="DF154" s="115"/>
      <c r="DG154" s="116"/>
      <c r="DI154" s="11">
        <v>46173</v>
      </c>
      <c r="DJ154" s="33" t="s">
        <v>7</v>
      </c>
      <c r="DK154" s="114"/>
      <c r="DL154" s="115"/>
      <c r="DM154" s="115"/>
      <c r="DN154" s="116"/>
      <c r="DP154" s="11">
        <v>46171</v>
      </c>
      <c r="DQ154" s="33" t="s">
        <v>5</v>
      </c>
      <c r="DR154" s="114"/>
      <c r="DS154" s="115"/>
      <c r="DT154" s="115"/>
      <c r="DU154" s="116"/>
      <c r="DW154" s="11">
        <v>46173</v>
      </c>
      <c r="DX154" s="33" t="s">
        <v>7</v>
      </c>
      <c r="DY154" s="114"/>
      <c r="DZ154" s="115"/>
      <c r="EA154" s="115"/>
      <c r="EB154" s="116"/>
    </row>
    <row r="155" spans="1:132" x14ac:dyDescent="0.25">
      <c r="A155" s="11">
        <v>46174</v>
      </c>
      <c r="B155" s="33" t="s">
        <v>8</v>
      </c>
      <c r="C155" s="114"/>
      <c r="D155" s="115"/>
      <c r="E155" s="115"/>
      <c r="F155" s="116"/>
      <c r="H155" s="11">
        <v>46174</v>
      </c>
      <c r="I155" s="33" t="s">
        <v>8</v>
      </c>
      <c r="J155" s="114"/>
      <c r="K155" s="115"/>
      <c r="L155" s="115"/>
      <c r="M155" s="116"/>
      <c r="O155" s="11">
        <v>46174</v>
      </c>
      <c r="P155" s="33" t="s">
        <v>8</v>
      </c>
      <c r="Q155" s="114"/>
      <c r="R155" s="115"/>
      <c r="S155" s="115"/>
      <c r="T155" s="116"/>
      <c r="V155" s="11">
        <v>46173</v>
      </c>
      <c r="W155" s="33" t="s">
        <v>7</v>
      </c>
      <c r="X155" s="114"/>
      <c r="Y155" s="115"/>
      <c r="Z155" s="115"/>
      <c r="AA155" s="116"/>
      <c r="AC155" s="11">
        <v>46174</v>
      </c>
      <c r="AD155" s="33" t="s">
        <v>8</v>
      </c>
      <c r="AE155" s="114"/>
      <c r="AF155" s="115"/>
      <c r="AG155" s="115"/>
      <c r="AH155" s="116"/>
      <c r="AJ155" s="11">
        <v>46174</v>
      </c>
      <c r="AK155" s="33" t="s">
        <v>8</v>
      </c>
      <c r="AL155" s="114"/>
      <c r="AM155" s="115"/>
      <c r="AN155" s="115"/>
      <c r="AO155" s="116"/>
      <c r="AQ155" s="11">
        <v>46174</v>
      </c>
      <c r="AR155" s="33" t="s">
        <v>8</v>
      </c>
      <c r="AS155" s="114"/>
      <c r="AT155" s="115"/>
      <c r="AU155" s="115"/>
      <c r="AV155" s="116"/>
      <c r="AX155" s="11">
        <v>46173</v>
      </c>
      <c r="AY155" s="33" t="s">
        <v>7</v>
      </c>
      <c r="AZ155" s="114"/>
      <c r="BA155" s="115"/>
      <c r="BB155" s="115"/>
      <c r="BC155" s="116"/>
      <c r="BE155" s="11">
        <v>46174</v>
      </c>
      <c r="BF155" s="33" t="s">
        <v>8</v>
      </c>
      <c r="BG155" s="33"/>
      <c r="BH155" s="19"/>
      <c r="BI155" s="19"/>
      <c r="BJ155" s="20"/>
      <c r="BL155" s="11">
        <v>46174</v>
      </c>
      <c r="BM155" s="33" t="s">
        <v>8</v>
      </c>
      <c r="BN155" s="114"/>
      <c r="BO155" s="115"/>
      <c r="BP155" s="115"/>
      <c r="BQ155" s="116"/>
      <c r="BS155" s="11">
        <v>46174</v>
      </c>
      <c r="BT155" s="33" t="s">
        <v>8</v>
      </c>
      <c r="BU155" s="114"/>
      <c r="BV155" s="115"/>
      <c r="BW155" s="115"/>
      <c r="BX155" s="116"/>
      <c r="BZ155" s="11">
        <v>46173</v>
      </c>
      <c r="CA155" s="33" t="s">
        <v>7</v>
      </c>
      <c r="CB155" s="114"/>
      <c r="CC155" s="115"/>
      <c r="CD155" s="115"/>
      <c r="CE155" s="116"/>
      <c r="CG155" s="11">
        <v>46174</v>
      </c>
      <c r="CH155" s="33" t="s">
        <v>8</v>
      </c>
      <c r="CI155" s="114"/>
      <c r="CJ155" s="115"/>
      <c r="CK155" s="115"/>
      <c r="CL155" s="116"/>
      <c r="CN155" s="11">
        <v>46174</v>
      </c>
      <c r="CO155" s="33" t="s">
        <v>8</v>
      </c>
      <c r="CP155" s="114"/>
      <c r="CQ155" s="115"/>
      <c r="CR155" s="115"/>
      <c r="CS155" s="116"/>
      <c r="CU155" s="11">
        <v>46174</v>
      </c>
      <c r="CV155" s="33" t="s">
        <v>8</v>
      </c>
      <c r="CW155" s="114"/>
      <c r="CX155" s="115"/>
      <c r="CY155" s="115"/>
      <c r="CZ155" s="116"/>
      <c r="DB155" s="11">
        <v>46172</v>
      </c>
      <c r="DC155" s="33" t="s">
        <v>6</v>
      </c>
      <c r="DD155" s="114"/>
      <c r="DE155" s="115"/>
      <c r="DF155" s="115"/>
      <c r="DG155" s="116"/>
      <c r="DI155" s="11">
        <v>46174</v>
      </c>
      <c r="DJ155" s="33" t="s">
        <v>8</v>
      </c>
      <c r="DK155" s="114"/>
      <c r="DL155" s="115"/>
      <c r="DM155" s="115"/>
      <c r="DN155" s="116"/>
      <c r="DP155" s="11">
        <v>46172</v>
      </c>
      <c r="DQ155" s="33" t="s">
        <v>6</v>
      </c>
      <c r="DR155" s="114"/>
      <c r="DS155" s="115"/>
      <c r="DT155" s="115"/>
      <c r="DU155" s="116"/>
      <c r="DW155" s="11">
        <v>46174</v>
      </c>
      <c r="DX155" s="33" t="s">
        <v>8</v>
      </c>
      <c r="DY155" s="114"/>
      <c r="DZ155" s="115"/>
      <c r="EA155" s="115"/>
      <c r="EB155" s="116"/>
    </row>
    <row r="156" spans="1:132" x14ac:dyDescent="0.25">
      <c r="A156" s="11">
        <v>46175</v>
      </c>
      <c r="B156" s="33" t="s">
        <v>9</v>
      </c>
      <c r="C156" s="114"/>
      <c r="D156" s="115"/>
      <c r="E156" s="115"/>
      <c r="F156" s="116"/>
      <c r="H156" s="11">
        <v>46175</v>
      </c>
      <c r="I156" s="33" t="s">
        <v>9</v>
      </c>
      <c r="J156" s="114"/>
      <c r="K156" s="115"/>
      <c r="L156" s="115"/>
      <c r="M156" s="116"/>
      <c r="O156" s="11">
        <v>46175</v>
      </c>
      <c r="P156" s="33" t="s">
        <v>9</v>
      </c>
      <c r="Q156" s="114"/>
      <c r="R156" s="115"/>
      <c r="S156" s="115"/>
      <c r="T156" s="116"/>
      <c r="V156" s="11">
        <v>46174</v>
      </c>
      <c r="W156" s="33" t="s">
        <v>8</v>
      </c>
      <c r="X156" s="114"/>
      <c r="Y156" s="115"/>
      <c r="Z156" s="115"/>
      <c r="AA156" s="116"/>
      <c r="AC156" s="11">
        <v>46175</v>
      </c>
      <c r="AD156" s="33" t="s">
        <v>9</v>
      </c>
      <c r="AE156" s="114"/>
      <c r="AF156" s="115"/>
      <c r="AG156" s="115"/>
      <c r="AH156" s="116"/>
      <c r="AJ156" s="11">
        <v>46175</v>
      </c>
      <c r="AK156" s="33" t="s">
        <v>9</v>
      </c>
      <c r="AL156" s="114"/>
      <c r="AM156" s="115"/>
      <c r="AN156" s="115"/>
      <c r="AO156" s="116"/>
      <c r="AQ156" s="11">
        <v>46175</v>
      </c>
      <c r="AR156" s="33" t="s">
        <v>9</v>
      </c>
      <c r="AS156" s="114"/>
      <c r="AT156" s="115"/>
      <c r="AU156" s="115"/>
      <c r="AV156" s="116"/>
      <c r="AX156" s="11">
        <v>46174</v>
      </c>
      <c r="AY156" s="33" t="s">
        <v>8</v>
      </c>
      <c r="AZ156" s="114"/>
      <c r="BA156" s="115"/>
      <c r="BB156" s="115"/>
      <c r="BC156" s="116"/>
      <c r="BE156" s="11">
        <v>46175</v>
      </c>
      <c r="BF156" s="33" t="s">
        <v>9</v>
      </c>
      <c r="BG156" s="33"/>
      <c r="BH156" s="19"/>
      <c r="BI156" s="19"/>
      <c r="BJ156" s="20"/>
      <c r="BL156" s="11">
        <v>46175</v>
      </c>
      <c r="BM156" s="33" t="s">
        <v>9</v>
      </c>
      <c r="BN156" s="114"/>
      <c r="BO156" s="115"/>
      <c r="BP156" s="115"/>
      <c r="BQ156" s="116"/>
      <c r="BS156" s="11">
        <v>46175</v>
      </c>
      <c r="BT156" s="33" t="s">
        <v>9</v>
      </c>
      <c r="BU156" s="114"/>
      <c r="BV156" s="115"/>
      <c r="BW156" s="115"/>
      <c r="BX156" s="116"/>
      <c r="BZ156" s="11">
        <v>46174</v>
      </c>
      <c r="CA156" s="33" t="s">
        <v>8</v>
      </c>
      <c r="CB156" s="114"/>
      <c r="CC156" s="115"/>
      <c r="CD156" s="115"/>
      <c r="CE156" s="116"/>
      <c r="CG156" s="11">
        <v>46175</v>
      </c>
      <c r="CH156" s="33" t="s">
        <v>9</v>
      </c>
      <c r="CI156" s="114"/>
      <c r="CJ156" s="115"/>
      <c r="CK156" s="115"/>
      <c r="CL156" s="116"/>
      <c r="CN156" s="11">
        <v>46175</v>
      </c>
      <c r="CO156" s="33" t="s">
        <v>9</v>
      </c>
      <c r="CP156" s="114"/>
      <c r="CQ156" s="115"/>
      <c r="CR156" s="115"/>
      <c r="CS156" s="116"/>
      <c r="CU156" s="11">
        <v>46175</v>
      </c>
      <c r="CV156" s="33" t="s">
        <v>9</v>
      </c>
      <c r="CW156" s="114"/>
      <c r="CX156" s="115"/>
      <c r="CY156" s="115"/>
      <c r="CZ156" s="116"/>
      <c r="DB156" s="11">
        <v>46173</v>
      </c>
      <c r="DC156" s="33" t="s">
        <v>7</v>
      </c>
      <c r="DD156" s="114"/>
      <c r="DE156" s="115"/>
      <c r="DF156" s="115"/>
      <c r="DG156" s="116"/>
      <c r="DI156" s="11">
        <v>46175</v>
      </c>
      <c r="DJ156" s="33" t="s">
        <v>9</v>
      </c>
      <c r="DK156" s="114"/>
      <c r="DL156" s="115"/>
      <c r="DM156" s="115"/>
      <c r="DN156" s="116"/>
      <c r="DP156" s="11">
        <v>46173</v>
      </c>
      <c r="DQ156" s="33" t="s">
        <v>7</v>
      </c>
      <c r="DR156" s="114"/>
      <c r="DS156" s="115"/>
      <c r="DT156" s="115"/>
      <c r="DU156" s="116"/>
      <c r="DW156" s="11">
        <v>46175</v>
      </c>
      <c r="DX156" s="33" t="s">
        <v>9</v>
      </c>
      <c r="DY156" s="114"/>
      <c r="DZ156" s="115"/>
      <c r="EA156" s="115"/>
      <c r="EB156" s="116"/>
    </row>
    <row r="157" spans="1:132" x14ac:dyDescent="0.25">
      <c r="A157" s="11">
        <v>46176</v>
      </c>
      <c r="B157" s="33" t="s">
        <v>3</v>
      </c>
      <c r="C157" s="114"/>
      <c r="D157" s="115"/>
      <c r="E157" s="115"/>
      <c r="F157" s="116"/>
      <c r="H157" s="11">
        <v>46176</v>
      </c>
      <c r="I157" s="33" t="s">
        <v>3</v>
      </c>
      <c r="J157" s="114"/>
      <c r="K157" s="115"/>
      <c r="L157" s="115"/>
      <c r="M157" s="116"/>
      <c r="O157" s="11">
        <v>46176</v>
      </c>
      <c r="P157" s="33" t="s">
        <v>3</v>
      </c>
      <c r="Q157" s="114"/>
      <c r="R157" s="115"/>
      <c r="S157" s="115"/>
      <c r="T157" s="116"/>
      <c r="V157" s="11">
        <v>46175</v>
      </c>
      <c r="W157" s="33" t="s">
        <v>9</v>
      </c>
      <c r="X157" s="114"/>
      <c r="Y157" s="115"/>
      <c r="Z157" s="115"/>
      <c r="AA157" s="116"/>
      <c r="AC157" s="11">
        <v>46176</v>
      </c>
      <c r="AD157" s="33" t="s">
        <v>3</v>
      </c>
      <c r="AE157" s="114"/>
      <c r="AF157" s="115"/>
      <c r="AG157" s="115"/>
      <c r="AH157" s="116"/>
      <c r="AJ157" s="11">
        <v>46176</v>
      </c>
      <c r="AK157" s="33" t="s">
        <v>3</v>
      </c>
      <c r="AL157" s="114"/>
      <c r="AM157" s="115"/>
      <c r="AN157" s="115"/>
      <c r="AO157" s="116"/>
      <c r="AQ157" s="11">
        <v>46176</v>
      </c>
      <c r="AR157" s="33" t="s">
        <v>3</v>
      </c>
      <c r="AS157" s="114"/>
      <c r="AT157" s="115"/>
      <c r="AU157" s="115"/>
      <c r="AV157" s="116"/>
      <c r="AX157" s="11">
        <v>46175</v>
      </c>
      <c r="AY157" s="33" t="s">
        <v>9</v>
      </c>
      <c r="AZ157" s="114"/>
      <c r="BA157" s="115"/>
      <c r="BB157" s="115"/>
      <c r="BC157" s="116"/>
      <c r="BE157" s="11">
        <v>46176</v>
      </c>
      <c r="BF157" s="33" t="s">
        <v>3</v>
      </c>
      <c r="BG157" s="33"/>
      <c r="BH157" s="19"/>
      <c r="BI157" s="19"/>
      <c r="BJ157" s="20"/>
      <c r="BL157" s="11">
        <v>46176</v>
      </c>
      <c r="BM157" s="33" t="s">
        <v>3</v>
      </c>
      <c r="BN157" s="114"/>
      <c r="BO157" s="115"/>
      <c r="BP157" s="115"/>
      <c r="BQ157" s="116"/>
      <c r="BS157" s="11">
        <v>46176</v>
      </c>
      <c r="BT157" s="33" t="s">
        <v>3</v>
      </c>
      <c r="BU157" s="114"/>
      <c r="BV157" s="115"/>
      <c r="BW157" s="115"/>
      <c r="BX157" s="116"/>
      <c r="BZ157" s="11">
        <v>46175</v>
      </c>
      <c r="CA157" s="33" t="s">
        <v>9</v>
      </c>
      <c r="CB157" s="114"/>
      <c r="CC157" s="115"/>
      <c r="CD157" s="115"/>
      <c r="CE157" s="116"/>
      <c r="CG157" s="11">
        <v>46176</v>
      </c>
      <c r="CH157" s="33" t="s">
        <v>3</v>
      </c>
      <c r="CI157" s="114"/>
      <c r="CJ157" s="115"/>
      <c r="CK157" s="115"/>
      <c r="CL157" s="116"/>
      <c r="CN157" s="11">
        <v>46176</v>
      </c>
      <c r="CO157" s="33" t="s">
        <v>3</v>
      </c>
      <c r="CP157" s="114"/>
      <c r="CQ157" s="115"/>
      <c r="CR157" s="115"/>
      <c r="CS157" s="116"/>
      <c r="CU157" s="11">
        <v>46176</v>
      </c>
      <c r="CV157" s="33" t="s">
        <v>3</v>
      </c>
      <c r="CW157" s="114"/>
      <c r="CX157" s="115"/>
      <c r="CY157" s="115"/>
      <c r="CZ157" s="116"/>
      <c r="DB157" s="11">
        <v>46174</v>
      </c>
      <c r="DC157" s="33" t="s">
        <v>8</v>
      </c>
      <c r="DD157" s="114"/>
      <c r="DE157" s="115"/>
      <c r="DF157" s="115"/>
      <c r="DG157" s="116"/>
      <c r="DI157" s="11">
        <v>46176</v>
      </c>
      <c r="DJ157" s="33" t="s">
        <v>3</v>
      </c>
      <c r="DK157" s="114"/>
      <c r="DL157" s="115"/>
      <c r="DM157" s="115"/>
      <c r="DN157" s="116"/>
      <c r="DP157" s="11">
        <v>46174</v>
      </c>
      <c r="DQ157" s="33" t="s">
        <v>8</v>
      </c>
      <c r="DR157" s="114"/>
      <c r="DS157" s="115"/>
      <c r="DT157" s="115"/>
      <c r="DU157" s="116"/>
      <c r="DW157" s="11">
        <v>46176</v>
      </c>
      <c r="DX157" s="33" t="s">
        <v>3</v>
      </c>
      <c r="DY157" s="114"/>
      <c r="DZ157" s="115"/>
      <c r="EA157" s="115"/>
      <c r="EB157" s="116"/>
    </row>
    <row r="158" spans="1:132" x14ac:dyDescent="0.25">
      <c r="A158" s="11">
        <v>46177</v>
      </c>
      <c r="B158" s="33" t="s">
        <v>4</v>
      </c>
      <c r="C158" s="114" t="s">
        <v>60</v>
      </c>
      <c r="D158" s="115"/>
      <c r="E158" s="115"/>
      <c r="F158" s="116"/>
      <c r="H158" s="11">
        <v>46177</v>
      </c>
      <c r="I158" s="33" t="s">
        <v>4</v>
      </c>
      <c r="J158" s="114" t="s">
        <v>60</v>
      </c>
      <c r="K158" s="115"/>
      <c r="L158" s="115"/>
      <c r="M158" s="116"/>
      <c r="O158" s="11">
        <v>46177</v>
      </c>
      <c r="P158" s="33" t="s">
        <v>4</v>
      </c>
      <c r="Q158" s="114" t="s">
        <v>60</v>
      </c>
      <c r="R158" s="115"/>
      <c r="S158" s="115"/>
      <c r="T158" s="116"/>
      <c r="V158" s="11">
        <v>46176</v>
      </c>
      <c r="W158" s="33" t="s">
        <v>3</v>
      </c>
      <c r="X158" s="114"/>
      <c r="Y158" s="115"/>
      <c r="Z158" s="115"/>
      <c r="AA158" s="116"/>
      <c r="AC158" s="11">
        <v>46177</v>
      </c>
      <c r="AD158" s="33" t="s">
        <v>4</v>
      </c>
      <c r="AE158" s="114" t="s">
        <v>60</v>
      </c>
      <c r="AF158" s="115"/>
      <c r="AG158" s="115"/>
      <c r="AH158" s="116"/>
      <c r="AJ158" s="11">
        <v>46177</v>
      </c>
      <c r="AK158" s="33" t="s">
        <v>4</v>
      </c>
      <c r="AL158" s="114" t="s">
        <v>60</v>
      </c>
      <c r="AM158" s="115"/>
      <c r="AN158" s="115"/>
      <c r="AO158" s="116"/>
      <c r="AQ158" s="11">
        <v>46177</v>
      </c>
      <c r="AR158" s="33" t="s">
        <v>4</v>
      </c>
      <c r="AS158" s="114" t="s">
        <v>60</v>
      </c>
      <c r="AT158" s="115"/>
      <c r="AU158" s="115"/>
      <c r="AV158" s="116"/>
      <c r="AX158" s="11">
        <v>46176</v>
      </c>
      <c r="AY158" s="33" t="s">
        <v>3</v>
      </c>
      <c r="AZ158" s="114"/>
      <c r="BA158" s="115"/>
      <c r="BB158" s="115"/>
      <c r="BC158" s="116"/>
      <c r="BE158" s="11">
        <v>46177</v>
      </c>
      <c r="BF158" s="33" t="s">
        <v>4</v>
      </c>
      <c r="BG158" s="33" t="s">
        <v>60</v>
      </c>
      <c r="BH158" s="19"/>
      <c r="BI158" s="19"/>
      <c r="BJ158" s="20"/>
      <c r="BL158" s="11">
        <v>46177</v>
      </c>
      <c r="BM158" s="33" t="s">
        <v>4</v>
      </c>
      <c r="BN158" s="114" t="s">
        <v>60</v>
      </c>
      <c r="BO158" s="115"/>
      <c r="BP158" s="115"/>
      <c r="BQ158" s="116"/>
      <c r="BS158" s="11">
        <v>46177</v>
      </c>
      <c r="BT158" s="33" t="s">
        <v>4</v>
      </c>
      <c r="BU158" s="114" t="s">
        <v>60</v>
      </c>
      <c r="BV158" s="115"/>
      <c r="BW158" s="115"/>
      <c r="BX158" s="116"/>
      <c r="BZ158" s="11">
        <v>46176</v>
      </c>
      <c r="CA158" s="33" t="s">
        <v>3</v>
      </c>
      <c r="CB158" s="114"/>
      <c r="CC158" s="115"/>
      <c r="CD158" s="115"/>
      <c r="CE158" s="116"/>
      <c r="CG158" s="11">
        <v>46177</v>
      </c>
      <c r="CH158" s="33" t="s">
        <v>4</v>
      </c>
      <c r="CI158" s="114" t="s">
        <v>60</v>
      </c>
      <c r="CJ158" s="115"/>
      <c r="CK158" s="115"/>
      <c r="CL158" s="116"/>
      <c r="CN158" s="11">
        <v>46177</v>
      </c>
      <c r="CO158" s="33" t="s">
        <v>4</v>
      </c>
      <c r="CP158" s="114" t="s">
        <v>60</v>
      </c>
      <c r="CQ158" s="115"/>
      <c r="CR158" s="115"/>
      <c r="CS158" s="116"/>
      <c r="CU158" s="11">
        <v>46177</v>
      </c>
      <c r="CV158" s="33" t="s">
        <v>4</v>
      </c>
      <c r="CW158" s="114" t="s">
        <v>60</v>
      </c>
      <c r="CX158" s="115"/>
      <c r="CY158" s="115"/>
      <c r="CZ158" s="116"/>
      <c r="DB158" s="11">
        <v>46175</v>
      </c>
      <c r="DC158" s="33" t="s">
        <v>9</v>
      </c>
      <c r="DD158" s="114"/>
      <c r="DE158" s="115"/>
      <c r="DF158" s="115"/>
      <c r="DG158" s="116"/>
      <c r="DI158" s="11">
        <v>46177</v>
      </c>
      <c r="DJ158" s="33" t="s">
        <v>4</v>
      </c>
      <c r="DK158" s="114" t="s">
        <v>60</v>
      </c>
      <c r="DL158" s="115"/>
      <c r="DM158" s="115"/>
      <c r="DN158" s="116"/>
      <c r="DP158" s="11">
        <v>46175</v>
      </c>
      <c r="DQ158" s="33" t="s">
        <v>9</v>
      </c>
      <c r="DR158" s="114"/>
      <c r="DS158" s="115"/>
      <c r="DT158" s="115"/>
      <c r="DU158" s="116"/>
      <c r="DW158" s="11">
        <v>46177</v>
      </c>
      <c r="DX158" s="33" t="s">
        <v>4</v>
      </c>
      <c r="DY158" s="114" t="s">
        <v>60</v>
      </c>
      <c r="DZ158" s="115"/>
      <c r="EA158" s="115"/>
      <c r="EB158" s="116"/>
    </row>
    <row r="159" spans="1:132" x14ac:dyDescent="0.25">
      <c r="A159" s="11">
        <v>46178</v>
      </c>
      <c r="B159" s="33" t="s">
        <v>5</v>
      </c>
      <c r="C159" s="114"/>
      <c r="D159" s="115"/>
      <c r="E159" s="115"/>
      <c r="F159" s="116"/>
      <c r="H159" s="11">
        <v>46178</v>
      </c>
      <c r="I159" s="33" t="s">
        <v>5</v>
      </c>
      <c r="J159" s="114"/>
      <c r="K159" s="115"/>
      <c r="L159" s="115"/>
      <c r="M159" s="116"/>
      <c r="O159" s="11">
        <v>46178</v>
      </c>
      <c r="P159" s="33" t="s">
        <v>5</v>
      </c>
      <c r="Q159" s="114"/>
      <c r="R159" s="115"/>
      <c r="S159" s="115"/>
      <c r="T159" s="116"/>
      <c r="V159" s="11">
        <v>46177</v>
      </c>
      <c r="W159" s="33" t="s">
        <v>4</v>
      </c>
      <c r="X159" s="114" t="s">
        <v>60</v>
      </c>
      <c r="Y159" s="115"/>
      <c r="Z159" s="115"/>
      <c r="AA159" s="116"/>
      <c r="AC159" s="11">
        <v>46178</v>
      </c>
      <c r="AD159" s="33" t="s">
        <v>5</v>
      </c>
      <c r="AE159" s="114"/>
      <c r="AF159" s="115"/>
      <c r="AG159" s="115"/>
      <c r="AH159" s="116"/>
      <c r="AJ159" s="11">
        <v>46178</v>
      </c>
      <c r="AK159" s="33" t="s">
        <v>5</v>
      </c>
      <c r="AL159" s="114"/>
      <c r="AM159" s="115"/>
      <c r="AN159" s="115"/>
      <c r="AO159" s="116"/>
      <c r="AQ159" s="11">
        <v>46178</v>
      </c>
      <c r="AR159" s="33" t="s">
        <v>5</v>
      </c>
      <c r="AS159" s="114"/>
      <c r="AT159" s="115"/>
      <c r="AU159" s="115"/>
      <c r="AV159" s="116"/>
      <c r="AX159" s="11">
        <v>46177</v>
      </c>
      <c r="AY159" s="33" t="s">
        <v>4</v>
      </c>
      <c r="AZ159" s="114" t="s">
        <v>60</v>
      </c>
      <c r="BA159" s="115"/>
      <c r="BB159" s="115"/>
      <c r="BC159" s="116"/>
      <c r="BE159" s="11">
        <v>46178</v>
      </c>
      <c r="BF159" s="33" t="s">
        <v>5</v>
      </c>
      <c r="BG159" s="33"/>
      <c r="BH159" s="19"/>
      <c r="BI159" s="19"/>
      <c r="BJ159" s="20"/>
      <c r="BL159" s="11">
        <v>46178</v>
      </c>
      <c r="BM159" s="33" t="s">
        <v>5</v>
      </c>
      <c r="BN159" s="114"/>
      <c r="BO159" s="115"/>
      <c r="BP159" s="115"/>
      <c r="BQ159" s="116"/>
      <c r="BS159" s="11">
        <v>46178</v>
      </c>
      <c r="BT159" s="33" t="s">
        <v>5</v>
      </c>
      <c r="BU159" s="114"/>
      <c r="BV159" s="115"/>
      <c r="BW159" s="115"/>
      <c r="BX159" s="116"/>
      <c r="BZ159" s="11">
        <v>46177</v>
      </c>
      <c r="CA159" s="33" t="s">
        <v>4</v>
      </c>
      <c r="CB159" s="114" t="s">
        <v>60</v>
      </c>
      <c r="CC159" s="115"/>
      <c r="CD159" s="115"/>
      <c r="CE159" s="116"/>
      <c r="CG159" s="11">
        <v>46178</v>
      </c>
      <c r="CH159" s="33" t="s">
        <v>5</v>
      </c>
      <c r="CI159" s="114"/>
      <c r="CJ159" s="115"/>
      <c r="CK159" s="115"/>
      <c r="CL159" s="116"/>
      <c r="CN159" s="11">
        <v>46178</v>
      </c>
      <c r="CO159" s="33" t="s">
        <v>5</v>
      </c>
      <c r="CP159" s="114"/>
      <c r="CQ159" s="115"/>
      <c r="CR159" s="115"/>
      <c r="CS159" s="116"/>
      <c r="CU159" s="11">
        <v>46178</v>
      </c>
      <c r="CV159" s="33" t="s">
        <v>5</v>
      </c>
      <c r="CW159" s="114"/>
      <c r="CX159" s="115"/>
      <c r="CY159" s="115"/>
      <c r="CZ159" s="116"/>
      <c r="DB159" s="11">
        <v>46176</v>
      </c>
      <c r="DC159" s="33" t="s">
        <v>3</v>
      </c>
      <c r="DD159" s="114"/>
      <c r="DE159" s="115"/>
      <c r="DF159" s="115"/>
      <c r="DG159" s="116"/>
      <c r="DI159" s="11">
        <v>46178</v>
      </c>
      <c r="DJ159" s="33" t="s">
        <v>5</v>
      </c>
      <c r="DK159" s="114"/>
      <c r="DL159" s="115"/>
      <c r="DM159" s="115"/>
      <c r="DN159" s="116"/>
      <c r="DP159" s="11">
        <v>46176</v>
      </c>
      <c r="DQ159" s="33" t="s">
        <v>3</v>
      </c>
      <c r="DR159" s="114"/>
      <c r="DS159" s="115"/>
      <c r="DT159" s="115"/>
      <c r="DU159" s="116"/>
      <c r="DW159" s="11">
        <v>46178</v>
      </c>
      <c r="DX159" s="33" t="s">
        <v>5</v>
      </c>
      <c r="DY159" s="114"/>
      <c r="DZ159" s="115"/>
      <c r="EA159" s="115"/>
      <c r="EB159" s="116"/>
    </row>
    <row r="160" spans="1:132" x14ac:dyDescent="0.25">
      <c r="A160" s="11">
        <v>46179</v>
      </c>
      <c r="B160" s="33" t="s">
        <v>6</v>
      </c>
      <c r="C160" s="114"/>
      <c r="D160" s="115"/>
      <c r="E160" s="115"/>
      <c r="F160" s="116"/>
      <c r="H160" s="11">
        <v>46179</v>
      </c>
      <c r="I160" s="33" t="s">
        <v>6</v>
      </c>
      <c r="J160" s="114"/>
      <c r="K160" s="115"/>
      <c r="L160" s="115"/>
      <c r="M160" s="116"/>
      <c r="O160" s="11">
        <v>46179</v>
      </c>
      <c r="P160" s="33" t="s">
        <v>6</v>
      </c>
      <c r="Q160" s="114"/>
      <c r="R160" s="115"/>
      <c r="S160" s="115"/>
      <c r="T160" s="116"/>
      <c r="V160" s="11">
        <v>46178</v>
      </c>
      <c r="W160" s="33" t="s">
        <v>5</v>
      </c>
      <c r="X160" s="114"/>
      <c r="Y160" s="115"/>
      <c r="Z160" s="115"/>
      <c r="AA160" s="116"/>
      <c r="AC160" s="11">
        <v>46179</v>
      </c>
      <c r="AD160" s="33" t="s">
        <v>6</v>
      </c>
      <c r="AE160" s="114"/>
      <c r="AF160" s="115"/>
      <c r="AG160" s="115"/>
      <c r="AH160" s="116"/>
      <c r="AJ160" s="11">
        <v>46179</v>
      </c>
      <c r="AK160" s="33" t="s">
        <v>6</v>
      </c>
      <c r="AL160" s="114"/>
      <c r="AM160" s="115"/>
      <c r="AN160" s="115"/>
      <c r="AO160" s="116"/>
      <c r="AQ160" s="11">
        <v>46179</v>
      </c>
      <c r="AR160" s="33" t="s">
        <v>6</v>
      </c>
      <c r="AS160" s="114"/>
      <c r="AT160" s="115"/>
      <c r="AU160" s="115"/>
      <c r="AV160" s="116"/>
      <c r="AX160" s="11">
        <v>46178</v>
      </c>
      <c r="AY160" s="33" t="s">
        <v>5</v>
      </c>
      <c r="AZ160" s="114"/>
      <c r="BA160" s="115"/>
      <c r="BB160" s="115"/>
      <c r="BC160" s="116"/>
      <c r="BE160" s="11">
        <v>46179</v>
      </c>
      <c r="BF160" s="33" t="s">
        <v>6</v>
      </c>
      <c r="BG160" s="33"/>
      <c r="BH160" s="19"/>
      <c r="BI160" s="19"/>
      <c r="BJ160" s="20"/>
      <c r="BL160" s="11">
        <v>46179</v>
      </c>
      <c r="BM160" s="33" t="s">
        <v>6</v>
      </c>
      <c r="BN160" s="114"/>
      <c r="BO160" s="115"/>
      <c r="BP160" s="115"/>
      <c r="BQ160" s="116"/>
      <c r="BS160" s="11">
        <v>46179</v>
      </c>
      <c r="BT160" s="33" t="s">
        <v>6</v>
      </c>
      <c r="BU160" s="114"/>
      <c r="BV160" s="115"/>
      <c r="BW160" s="115"/>
      <c r="BX160" s="116"/>
      <c r="BZ160" s="11">
        <v>46178</v>
      </c>
      <c r="CA160" s="33" t="s">
        <v>5</v>
      </c>
      <c r="CB160" s="114"/>
      <c r="CC160" s="115"/>
      <c r="CD160" s="115"/>
      <c r="CE160" s="116"/>
      <c r="CG160" s="11">
        <v>46179</v>
      </c>
      <c r="CH160" s="33" t="s">
        <v>6</v>
      </c>
      <c r="CI160" s="114"/>
      <c r="CJ160" s="115"/>
      <c r="CK160" s="115"/>
      <c r="CL160" s="116"/>
      <c r="CN160" s="11">
        <v>46179</v>
      </c>
      <c r="CO160" s="33" t="s">
        <v>6</v>
      </c>
      <c r="CP160" s="114"/>
      <c r="CQ160" s="115"/>
      <c r="CR160" s="115"/>
      <c r="CS160" s="116"/>
      <c r="CU160" s="11">
        <v>46179</v>
      </c>
      <c r="CV160" s="33" t="s">
        <v>6</v>
      </c>
      <c r="CW160" s="114"/>
      <c r="CX160" s="115"/>
      <c r="CY160" s="115"/>
      <c r="CZ160" s="116"/>
      <c r="DB160" s="11">
        <v>46177</v>
      </c>
      <c r="DC160" s="33" t="s">
        <v>4</v>
      </c>
      <c r="DD160" s="114" t="s">
        <v>60</v>
      </c>
      <c r="DE160" s="115"/>
      <c r="DF160" s="115"/>
      <c r="DG160" s="116"/>
      <c r="DI160" s="11">
        <v>46179</v>
      </c>
      <c r="DJ160" s="33" t="s">
        <v>6</v>
      </c>
      <c r="DK160" s="114"/>
      <c r="DL160" s="115"/>
      <c r="DM160" s="115"/>
      <c r="DN160" s="116"/>
      <c r="DP160" s="11">
        <v>46177</v>
      </c>
      <c r="DQ160" s="33" t="s">
        <v>4</v>
      </c>
      <c r="DR160" s="114" t="s">
        <v>60</v>
      </c>
      <c r="DS160" s="115"/>
      <c r="DT160" s="115"/>
      <c r="DU160" s="116"/>
      <c r="DW160" s="11">
        <v>46179</v>
      </c>
      <c r="DX160" s="33" t="s">
        <v>6</v>
      </c>
      <c r="DY160" s="114"/>
      <c r="DZ160" s="115"/>
      <c r="EA160" s="115"/>
      <c r="EB160" s="116"/>
    </row>
    <row r="161" spans="1:132" x14ac:dyDescent="0.25">
      <c r="A161" s="11">
        <v>46180</v>
      </c>
      <c r="B161" s="33" t="s">
        <v>7</v>
      </c>
      <c r="C161" s="114"/>
      <c r="D161" s="115"/>
      <c r="E161" s="115"/>
      <c r="F161" s="116"/>
      <c r="H161" s="11">
        <v>46180</v>
      </c>
      <c r="I161" s="33" t="s">
        <v>7</v>
      </c>
      <c r="J161" s="114"/>
      <c r="K161" s="115"/>
      <c r="L161" s="115"/>
      <c r="M161" s="116"/>
      <c r="O161" s="11">
        <v>46180</v>
      </c>
      <c r="P161" s="33" t="s">
        <v>7</v>
      </c>
      <c r="Q161" s="114"/>
      <c r="R161" s="115"/>
      <c r="S161" s="115"/>
      <c r="T161" s="116"/>
      <c r="V161" s="11">
        <v>46179</v>
      </c>
      <c r="W161" s="33" t="s">
        <v>6</v>
      </c>
      <c r="X161" s="114"/>
      <c r="Y161" s="115"/>
      <c r="Z161" s="115"/>
      <c r="AA161" s="116"/>
      <c r="AC161" s="11">
        <v>46180</v>
      </c>
      <c r="AD161" s="33" t="s">
        <v>7</v>
      </c>
      <c r="AE161" s="114"/>
      <c r="AF161" s="115"/>
      <c r="AG161" s="115"/>
      <c r="AH161" s="116"/>
      <c r="AJ161" s="11">
        <v>46180</v>
      </c>
      <c r="AK161" s="33" t="s">
        <v>7</v>
      </c>
      <c r="AL161" s="114"/>
      <c r="AM161" s="115"/>
      <c r="AN161" s="115"/>
      <c r="AO161" s="116"/>
      <c r="AQ161" s="11">
        <v>46180</v>
      </c>
      <c r="AR161" s="33" t="s">
        <v>7</v>
      </c>
      <c r="AS161" s="114"/>
      <c r="AT161" s="115"/>
      <c r="AU161" s="115"/>
      <c r="AV161" s="116"/>
      <c r="AX161" s="11">
        <v>46179</v>
      </c>
      <c r="AY161" s="33" t="s">
        <v>6</v>
      </c>
      <c r="AZ161" s="114"/>
      <c r="BA161" s="115"/>
      <c r="BB161" s="115"/>
      <c r="BC161" s="116"/>
      <c r="BE161" s="11">
        <v>46180</v>
      </c>
      <c r="BF161" s="33" t="s">
        <v>7</v>
      </c>
      <c r="BG161" s="33"/>
      <c r="BH161" s="19"/>
      <c r="BI161" s="19"/>
      <c r="BJ161" s="20"/>
      <c r="BL161" s="11">
        <v>46180</v>
      </c>
      <c r="BM161" s="33" t="s">
        <v>7</v>
      </c>
      <c r="BN161" s="114"/>
      <c r="BO161" s="115"/>
      <c r="BP161" s="115"/>
      <c r="BQ161" s="116"/>
      <c r="BS161" s="11">
        <v>46180</v>
      </c>
      <c r="BT161" s="33" t="s">
        <v>7</v>
      </c>
      <c r="BU161" s="114"/>
      <c r="BV161" s="115"/>
      <c r="BW161" s="115"/>
      <c r="BX161" s="116"/>
      <c r="BZ161" s="11">
        <v>46179</v>
      </c>
      <c r="CA161" s="33" t="s">
        <v>6</v>
      </c>
      <c r="CB161" s="114"/>
      <c r="CC161" s="115"/>
      <c r="CD161" s="115"/>
      <c r="CE161" s="116"/>
      <c r="CG161" s="11">
        <v>46180</v>
      </c>
      <c r="CH161" s="33" t="s">
        <v>7</v>
      </c>
      <c r="CI161" s="114"/>
      <c r="CJ161" s="115"/>
      <c r="CK161" s="115"/>
      <c r="CL161" s="116"/>
      <c r="CN161" s="11">
        <v>46180</v>
      </c>
      <c r="CO161" s="33" t="s">
        <v>7</v>
      </c>
      <c r="CP161" s="114"/>
      <c r="CQ161" s="115"/>
      <c r="CR161" s="115"/>
      <c r="CS161" s="116"/>
      <c r="CU161" s="11">
        <v>46180</v>
      </c>
      <c r="CV161" s="33" t="s">
        <v>7</v>
      </c>
      <c r="CW161" s="114"/>
      <c r="CX161" s="115"/>
      <c r="CY161" s="115"/>
      <c r="CZ161" s="116"/>
      <c r="DB161" s="11">
        <v>46178</v>
      </c>
      <c r="DC161" s="33" t="s">
        <v>5</v>
      </c>
      <c r="DD161" s="114"/>
      <c r="DE161" s="115"/>
      <c r="DF161" s="115"/>
      <c r="DG161" s="116"/>
      <c r="DI161" s="11">
        <v>46180</v>
      </c>
      <c r="DJ161" s="33" t="s">
        <v>7</v>
      </c>
      <c r="DK161" s="114"/>
      <c r="DL161" s="115"/>
      <c r="DM161" s="115"/>
      <c r="DN161" s="116"/>
      <c r="DP161" s="11">
        <v>46178</v>
      </c>
      <c r="DQ161" s="33" t="s">
        <v>5</v>
      </c>
      <c r="DR161" s="114"/>
      <c r="DS161" s="115"/>
      <c r="DT161" s="115"/>
      <c r="DU161" s="116"/>
      <c r="DW161" s="11">
        <v>46180</v>
      </c>
      <c r="DX161" s="33" t="s">
        <v>7</v>
      </c>
      <c r="DY161" s="114"/>
      <c r="DZ161" s="115"/>
      <c r="EA161" s="115"/>
      <c r="EB161" s="116"/>
    </row>
    <row r="162" spans="1:132" x14ac:dyDescent="0.25">
      <c r="A162" s="11">
        <v>46181</v>
      </c>
      <c r="B162" s="33" t="s">
        <v>8</v>
      </c>
      <c r="C162" s="114"/>
      <c r="D162" s="115"/>
      <c r="E162" s="115"/>
      <c r="F162" s="116"/>
      <c r="H162" s="11">
        <v>46181</v>
      </c>
      <c r="I162" s="33" t="s">
        <v>8</v>
      </c>
      <c r="J162" s="114"/>
      <c r="K162" s="115"/>
      <c r="L162" s="115"/>
      <c r="M162" s="116"/>
      <c r="O162" s="11">
        <v>46181</v>
      </c>
      <c r="P162" s="33" t="s">
        <v>8</v>
      </c>
      <c r="Q162" s="114"/>
      <c r="R162" s="115"/>
      <c r="S162" s="115"/>
      <c r="T162" s="116"/>
      <c r="V162" s="11">
        <v>46180</v>
      </c>
      <c r="W162" s="33" t="s">
        <v>7</v>
      </c>
      <c r="X162" s="114"/>
      <c r="Y162" s="115"/>
      <c r="Z162" s="115"/>
      <c r="AA162" s="116"/>
      <c r="AC162" s="11">
        <v>46181</v>
      </c>
      <c r="AD162" s="33" t="s">
        <v>8</v>
      </c>
      <c r="AE162" s="114"/>
      <c r="AF162" s="115"/>
      <c r="AG162" s="115"/>
      <c r="AH162" s="116"/>
      <c r="AJ162" s="11">
        <v>46181</v>
      </c>
      <c r="AK162" s="33" t="s">
        <v>8</v>
      </c>
      <c r="AL162" s="114"/>
      <c r="AM162" s="115"/>
      <c r="AN162" s="115"/>
      <c r="AO162" s="116"/>
      <c r="AQ162" s="11">
        <v>46181</v>
      </c>
      <c r="AR162" s="33" t="s">
        <v>8</v>
      </c>
      <c r="AS162" s="114"/>
      <c r="AT162" s="115"/>
      <c r="AU162" s="115"/>
      <c r="AV162" s="116"/>
      <c r="AX162" s="11">
        <v>46180</v>
      </c>
      <c r="AY162" s="33" t="s">
        <v>7</v>
      </c>
      <c r="AZ162" s="114"/>
      <c r="BA162" s="115"/>
      <c r="BB162" s="115"/>
      <c r="BC162" s="116"/>
      <c r="BE162" s="11">
        <v>46181</v>
      </c>
      <c r="BF162" s="33" t="s">
        <v>8</v>
      </c>
      <c r="BG162" s="33"/>
      <c r="BH162" s="19"/>
      <c r="BI162" s="19"/>
      <c r="BJ162" s="20"/>
      <c r="BL162" s="11">
        <v>46181</v>
      </c>
      <c r="BM162" s="33" t="s">
        <v>8</v>
      </c>
      <c r="BN162" s="114"/>
      <c r="BO162" s="115"/>
      <c r="BP162" s="115"/>
      <c r="BQ162" s="116"/>
      <c r="BS162" s="11">
        <v>46181</v>
      </c>
      <c r="BT162" s="33" t="s">
        <v>8</v>
      </c>
      <c r="BU162" s="114"/>
      <c r="BV162" s="115"/>
      <c r="BW162" s="115"/>
      <c r="BX162" s="116"/>
      <c r="BZ162" s="11">
        <v>46180</v>
      </c>
      <c r="CA162" s="33" t="s">
        <v>7</v>
      </c>
      <c r="CB162" s="114"/>
      <c r="CC162" s="115"/>
      <c r="CD162" s="115"/>
      <c r="CE162" s="116"/>
      <c r="CG162" s="11">
        <v>46181</v>
      </c>
      <c r="CH162" s="33" t="s">
        <v>8</v>
      </c>
      <c r="CI162" s="114"/>
      <c r="CJ162" s="115"/>
      <c r="CK162" s="115"/>
      <c r="CL162" s="116"/>
      <c r="CN162" s="11">
        <v>46181</v>
      </c>
      <c r="CO162" s="33" t="s">
        <v>8</v>
      </c>
      <c r="CP162" s="114"/>
      <c r="CQ162" s="115"/>
      <c r="CR162" s="115"/>
      <c r="CS162" s="116"/>
      <c r="CU162" s="11">
        <v>46181</v>
      </c>
      <c r="CV162" s="33" t="s">
        <v>8</v>
      </c>
      <c r="CW162" s="114"/>
      <c r="CX162" s="115"/>
      <c r="CY162" s="115"/>
      <c r="CZ162" s="116"/>
      <c r="DB162" s="11">
        <v>46179</v>
      </c>
      <c r="DC162" s="33" t="s">
        <v>6</v>
      </c>
      <c r="DD162" s="114"/>
      <c r="DE162" s="115"/>
      <c r="DF162" s="115"/>
      <c r="DG162" s="116"/>
      <c r="DI162" s="11">
        <v>46181</v>
      </c>
      <c r="DJ162" s="33" t="s">
        <v>8</v>
      </c>
      <c r="DK162" s="114"/>
      <c r="DL162" s="115"/>
      <c r="DM162" s="115"/>
      <c r="DN162" s="116"/>
      <c r="DP162" s="11">
        <v>46179</v>
      </c>
      <c r="DQ162" s="33" t="s">
        <v>6</v>
      </c>
      <c r="DR162" s="114"/>
      <c r="DS162" s="115"/>
      <c r="DT162" s="115"/>
      <c r="DU162" s="116"/>
      <c r="DW162" s="11">
        <v>46181</v>
      </c>
      <c r="DX162" s="33" t="s">
        <v>8</v>
      </c>
      <c r="DY162" s="114"/>
      <c r="DZ162" s="115"/>
      <c r="EA162" s="115"/>
      <c r="EB162" s="116"/>
    </row>
    <row r="163" spans="1:132" x14ac:dyDescent="0.25">
      <c r="A163" s="11">
        <v>46182</v>
      </c>
      <c r="B163" s="33" t="s">
        <v>9</v>
      </c>
      <c r="C163" s="114"/>
      <c r="D163" s="115"/>
      <c r="E163" s="115"/>
      <c r="F163" s="116"/>
      <c r="H163" s="11">
        <v>46182</v>
      </c>
      <c r="I163" s="33" t="s">
        <v>9</v>
      </c>
      <c r="J163" s="114"/>
      <c r="K163" s="115"/>
      <c r="L163" s="115"/>
      <c r="M163" s="116"/>
      <c r="O163" s="11">
        <v>46182</v>
      </c>
      <c r="P163" s="33" t="s">
        <v>9</v>
      </c>
      <c r="Q163" s="114"/>
      <c r="R163" s="115"/>
      <c r="S163" s="115"/>
      <c r="T163" s="116"/>
      <c r="V163" s="11">
        <v>46181</v>
      </c>
      <c r="W163" s="33" t="s">
        <v>8</v>
      </c>
      <c r="X163" s="114"/>
      <c r="Y163" s="115"/>
      <c r="Z163" s="115"/>
      <c r="AA163" s="116"/>
      <c r="AC163" s="11">
        <v>46182</v>
      </c>
      <c r="AD163" s="33" t="s">
        <v>9</v>
      </c>
      <c r="AE163" s="114"/>
      <c r="AF163" s="115"/>
      <c r="AG163" s="115"/>
      <c r="AH163" s="116"/>
      <c r="AJ163" s="11">
        <v>46182</v>
      </c>
      <c r="AK163" s="33" t="s">
        <v>9</v>
      </c>
      <c r="AL163" s="114"/>
      <c r="AM163" s="115"/>
      <c r="AN163" s="115"/>
      <c r="AO163" s="116"/>
      <c r="AQ163" s="11">
        <v>46182</v>
      </c>
      <c r="AR163" s="33" t="s">
        <v>9</v>
      </c>
      <c r="AS163" s="114"/>
      <c r="AT163" s="115"/>
      <c r="AU163" s="115"/>
      <c r="AV163" s="116"/>
      <c r="AX163" s="11">
        <v>46181</v>
      </c>
      <c r="AY163" s="33" t="s">
        <v>8</v>
      </c>
      <c r="AZ163" s="114"/>
      <c r="BA163" s="115"/>
      <c r="BB163" s="115"/>
      <c r="BC163" s="116"/>
      <c r="BE163" s="11">
        <v>46182</v>
      </c>
      <c r="BF163" s="33" t="s">
        <v>9</v>
      </c>
      <c r="BG163" s="33"/>
      <c r="BH163" s="19"/>
      <c r="BI163" s="19"/>
      <c r="BJ163" s="20"/>
      <c r="BL163" s="11">
        <v>46182</v>
      </c>
      <c r="BM163" s="33" t="s">
        <v>9</v>
      </c>
      <c r="BN163" s="114"/>
      <c r="BO163" s="115"/>
      <c r="BP163" s="115"/>
      <c r="BQ163" s="116"/>
      <c r="BS163" s="11">
        <v>46182</v>
      </c>
      <c r="BT163" s="33" t="s">
        <v>9</v>
      </c>
      <c r="BU163" s="114"/>
      <c r="BV163" s="115"/>
      <c r="BW163" s="115"/>
      <c r="BX163" s="116"/>
      <c r="BZ163" s="11">
        <v>46181</v>
      </c>
      <c r="CA163" s="33" t="s">
        <v>8</v>
      </c>
      <c r="CB163" s="114"/>
      <c r="CC163" s="115"/>
      <c r="CD163" s="115"/>
      <c r="CE163" s="116"/>
      <c r="CG163" s="11">
        <v>46182</v>
      </c>
      <c r="CH163" s="33" t="s">
        <v>9</v>
      </c>
      <c r="CI163" s="114"/>
      <c r="CJ163" s="115"/>
      <c r="CK163" s="115"/>
      <c r="CL163" s="116"/>
      <c r="CN163" s="11">
        <v>46182</v>
      </c>
      <c r="CO163" s="33" t="s">
        <v>9</v>
      </c>
      <c r="CP163" s="114"/>
      <c r="CQ163" s="115"/>
      <c r="CR163" s="115"/>
      <c r="CS163" s="116"/>
      <c r="CU163" s="11">
        <v>46182</v>
      </c>
      <c r="CV163" s="33" t="s">
        <v>9</v>
      </c>
      <c r="CW163" s="114"/>
      <c r="CX163" s="115"/>
      <c r="CY163" s="115"/>
      <c r="CZ163" s="116"/>
      <c r="DB163" s="11">
        <v>46180</v>
      </c>
      <c r="DC163" s="33" t="s">
        <v>7</v>
      </c>
      <c r="DD163" s="114"/>
      <c r="DE163" s="115"/>
      <c r="DF163" s="115"/>
      <c r="DG163" s="116"/>
      <c r="DI163" s="11">
        <v>46182</v>
      </c>
      <c r="DJ163" s="33" t="s">
        <v>9</v>
      </c>
      <c r="DK163" s="114"/>
      <c r="DL163" s="115"/>
      <c r="DM163" s="115"/>
      <c r="DN163" s="116"/>
      <c r="DP163" s="11">
        <v>46180</v>
      </c>
      <c r="DQ163" s="33" t="s">
        <v>7</v>
      </c>
      <c r="DR163" s="114"/>
      <c r="DS163" s="115"/>
      <c r="DT163" s="115"/>
      <c r="DU163" s="116"/>
      <c r="DW163" s="11">
        <v>46182</v>
      </c>
      <c r="DX163" s="33" t="s">
        <v>9</v>
      </c>
      <c r="DY163" s="114"/>
      <c r="DZ163" s="115"/>
      <c r="EA163" s="115"/>
      <c r="EB163" s="116"/>
    </row>
    <row r="164" spans="1:132" x14ac:dyDescent="0.25">
      <c r="A164" s="11">
        <v>46183</v>
      </c>
      <c r="B164" s="33" t="s">
        <v>3</v>
      </c>
      <c r="C164" s="114"/>
      <c r="D164" s="115"/>
      <c r="E164" s="115"/>
      <c r="F164" s="116"/>
      <c r="H164" s="11">
        <v>46183</v>
      </c>
      <c r="I164" s="33" t="s">
        <v>3</v>
      </c>
      <c r="J164" s="114"/>
      <c r="K164" s="115"/>
      <c r="L164" s="115"/>
      <c r="M164" s="116"/>
      <c r="O164" s="11">
        <v>46183</v>
      </c>
      <c r="P164" s="33" t="s">
        <v>3</v>
      </c>
      <c r="Q164" s="114"/>
      <c r="R164" s="115"/>
      <c r="S164" s="115"/>
      <c r="T164" s="116"/>
      <c r="V164" s="11">
        <v>46182</v>
      </c>
      <c r="W164" s="33" t="s">
        <v>9</v>
      </c>
      <c r="X164" s="114"/>
      <c r="Y164" s="115"/>
      <c r="Z164" s="115"/>
      <c r="AA164" s="116"/>
      <c r="AC164" s="11">
        <v>46183</v>
      </c>
      <c r="AD164" s="33" t="s">
        <v>3</v>
      </c>
      <c r="AE164" s="114"/>
      <c r="AF164" s="115"/>
      <c r="AG164" s="115"/>
      <c r="AH164" s="116"/>
      <c r="AJ164" s="11">
        <v>46183</v>
      </c>
      <c r="AK164" s="33" t="s">
        <v>3</v>
      </c>
      <c r="AL164" s="114"/>
      <c r="AM164" s="115"/>
      <c r="AN164" s="115"/>
      <c r="AO164" s="116"/>
      <c r="AQ164" s="11">
        <v>46183</v>
      </c>
      <c r="AR164" s="33" t="s">
        <v>3</v>
      </c>
      <c r="AS164" s="114"/>
      <c r="AT164" s="115"/>
      <c r="AU164" s="115"/>
      <c r="AV164" s="116"/>
      <c r="AX164" s="11">
        <v>46182</v>
      </c>
      <c r="AY164" s="33" t="s">
        <v>9</v>
      </c>
      <c r="AZ164" s="114"/>
      <c r="BA164" s="115"/>
      <c r="BB164" s="115"/>
      <c r="BC164" s="116"/>
      <c r="BE164" s="11">
        <v>46183</v>
      </c>
      <c r="BF164" s="33" t="s">
        <v>3</v>
      </c>
      <c r="BG164" s="33"/>
      <c r="BH164" s="19"/>
      <c r="BI164" s="19"/>
      <c r="BJ164" s="20"/>
      <c r="BL164" s="11">
        <v>46183</v>
      </c>
      <c r="BM164" s="33" t="s">
        <v>3</v>
      </c>
      <c r="BN164" s="114"/>
      <c r="BO164" s="115"/>
      <c r="BP164" s="115"/>
      <c r="BQ164" s="116"/>
      <c r="BS164" s="11">
        <v>46183</v>
      </c>
      <c r="BT164" s="33" t="s">
        <v>3</v>
      </c>
      <c r="BU164" s="114"/>
      <c r="BV164" s="115"/>
      <c r="BW164" s="115"/>
      <c r="BX164" s="116"/>
      <c r="BZ164" s="11">
        <v>46182</v>
      </c>
      <c r="CA164" s="33" t="s">
        <v>9</v>
      </c>
      <c r="CB164" s="114"/>
      <c r="CC164" s="115"/>
      <c r="CD164" s="115"/>
      <c r="CE164" s="116"/>
      <c r="CG164" s="11">
        <v>46183</v>
      </c>
      <c r="CH164" s="33" t="s">
        <v>3</v>
      </c>
      <c r="CI164" s="114"/>
      <c r="CJ164" s="115"/>
      <c r="CK164" s="115"/>
      <c r="CL164" s="116"/>
      <c r="CN164" s="11">
        <v>46183</v>
      </c>
      <c r="CO164" s="33" t="s">
        <v>3</v>
      </c>
      <c r="CP164" s="114"/>
      <c r="CQ164" s="115"/>
      <c r="CR164" s="115"/>
      <c r="CS164" s="116"/>
      <c r="CU164" s="11">
        <v>46183</v>
      </c>
      <c r="CV164" s="33" t="s">
        <v>3</v>
      </c>
      <c r="CW164" s="114"/>
      <c r="CX164" s="115"/>
      <c r="CY164" s="115"/>
      <c r="CZ164" s="116"/>
      <c r="DB164" s="11">
        <v>46181</v>
      </c>
      <c r="DC164" s="33" t="s">
        <v>8</v>
      </c>
      <c r="DD164" s="114"/>
      <c r="DE164" s="115"/>
      <c r="DF164" s="115"/>
      <c r="DG164" s="116"/>
      <c r="DI164" s="11">
        <v>46183</v>
      </c>
      <c r="DJ164" s="33" t="s">
        <v>3</v>
      </c>
      <c r="DK164" s="114"/>
      <c r="DL164" s="115"/>
      <c r="DM164" s="115"/>
      <c r="DN164" s="116"/>
      <c r="DP164" s="11">
        <v>46181</v>
      </c>
      <c r="DQ164" s="33" t="s">
        <v>8</v>
      </c>
      <c r="DR164" s="114"/>
      <c r="DS164" s="115"/>
      <c r="DT164" s="115"/>
      <c r="DU164" s="116"/>
      <c r="DW164" s="11">
        <v>46183</v>
      </c>
      <c r="DX164" s="33" t="s">
        <v>3</v>
      </c>
      <c r="DY164" s="114"/>
      <c r="DZ164" s="115"/>
      <c r="EA164" s="115"/>
      <c r="EB164" s="116"/>
    </row>
    <row r="165" spans="1:132" x14ac:dyDescent="0.25">
      <c r="A165" s="11">
        <v>46184</v>
      </c>
      <c r="B165" s="33" t="s">
        <v>4</v>
      </c>
      <c r="C165" s="114"/>
      <c r="D165" s="115"/>
      <c r="E165" s="115"/>
      <c r="F165" s="116"/>
      <c r="H165" s="11">
        <v>46184</v>
      </c>
      <c r="I165" s="33" t="s">
        <v>4</v>
      </c>
      <c r="J165" s="114"/>
      <c r="K165" s="115"/>
      <c r="L165" s="115"/>
      <c r="M165" s="116"/>
      <c r="O165" s="11">
        <v>46184</v>
      </c>
      <c r="P165" s="33" t="s">
        <v>4</v>
      </c>
      <c r="Q165" s="114"/>
      <c r="R165" s="115"/>
      <c r="S165" s="115"/>
      <c r="T165" s="116"/>
      <c r="V165" s="11">
        <v>46183</v>
      </c>
      <c r="W165" s="33" t="s">
        <v>3</v>
      </c>
      <c r="X165" s="114"/>
      <c r="Y165" s="115"/>
      <c r="Z165" s="115"/>
      <c r="AA165" s="116"/>
      <c r="AC165" s="11">
        <v>46184</v>
      </c>
      <c r="AD165" s="33" t="s">
        <v>4</v>
      </c>
      <c r="AE165" s="114"/>
      <c r="AF165" s="115"/>
      <c r="AG165" s="115"/>
      <c r="AH165" s="116"/>
      <c r="AJ165" s="11">
        <v>46184</v>
      </c>
      <c r="AK165" s="33" t="s">
        <v>4</v>
      </c>
      <c r="AL165" s="114"/>
      <c r="AM165" s="115"/>
      <c r="AN165" s="115"/>
      <c r="AO165" s="116"/>
      <c r="AQ165" s="11">
        <v>46184</v>
      </c>
      <c r="AR165" s="33" t="s">
        <v>4</v>
      </c>
      <c r="AS165" s="114"/>
      <c r="AT165" s="115"/>
      <c r="AU165" s="115"/>
      <c r="AV165" s="116"/>
      <c r="AX165" s="11">
        <v>46183</v>
      </c>
      <c r="AY165" s="33" t="s">
        <v>3</v>
      </c>
      <c r="AZ165" s="114"/>
      <c r="BA165" s="115"/>
      <c r="BB165" s="115"/>
      <c r="BC165" s="116"/>
      <c r="BE165" s="11">
        <v>46184</v>
      </c>
      <c r="BF165" s="33" t="s">
        <v>4</v>
      </c>
      <c r="BG165" s="33"/>
      <c r="BH165" s="19"/>
      <c r="BI165" s="19"/>
      <c r="BJ165" s="20"/>
      <c r="BL165" s="11">
        <v>46184</v>
      </c>
      <c r="BM165" s="33" t="s">
        <v>4</v>
      </c>
      <c r="BN165" s="114"/>
      <c r="BO165" s="115"/>
      <c r="BP165" s="115"/>
      <c r="BQ165" s="116"/>
      <c r="BS165" s="11">
        <v>46184</v>
      </c>
      <c r="BT165" s="33" t="s">
        <v>4</v>
      </c>
      <c r="BU165" s="114"/>
      <c r="BV165" s="115"/>
      <c r="BW165" s="115"/>
      <c r="BX165" s="116"/>
      <c r="BZ165" s="11">
        <v>46183</v>
      </c>
      <c r="CA165" s="33" t="s">
        <v>3</v>
      </c>
      <c r="CB165" s="114"/>
      <c r="CC165" s="115"/>
      <c r="CD165" s="115"/>
      <c r="CE165" s="116"/>
      <c r="CG165" s="11">
        <v>46184</v>
      </c>
      <c r="CH165" s="33" t="s">
        <v>4</v>
      </c>
      <c r="CI165" s="114"/>
      <c r="CJ165" s="115"/>
      <c r="CK165" s="115"/>
      <c r="CL165" s="116"/>
      <c r="CN165" s="11">
        <v>46184</v>
      </c>
      <c r="CO165" s="33" t="s">
        <v>4</v>
      </c>
      <c r="CP165" s="114"/>
      <c r="CQ165" s="115"/>
      <c r="CR165" s="115"/>
      <c r="CS165" s="116"/>
      <c r="CU165" s="11">
        <v>46184</v>
      </c>
      <c r="CV165" s="33" t="s">
        <v>4</v>
      </c>
      <c r="CW165" s="114"/>
      <c r="CX165" s="115"/>
      <c r="CY165" s="115"/>
      <c r="CZ165" s="116"/>
      <c r="DB165" s="11">
        <v>46182</v>
      </c>
      <c r="DC165" s="33" t="s">
        <v>9</v>
      </c>
      <c r="DD165" s="114"/>
      <c r="DE165" s="115"/>
      <c r="DF165" s="115"/>
      <c r="DG165" s="116"/>
      <c r="DI165" s="11">
        <v>46184</v>
      </c>
      <c r="DJ165" s="33" t="s">
        <v>4</v>
      </c>
      <c r="DK165" s="114"/>
      <c r="DL165" s="115"/>
      <c r="DM165" s="115"/>
      <c r="DN165" s="116"/>
      <c r="DP165" s="11">
        <v>46182</v>
      </c>
      <c r="DQ165" s="33" t="s">
        <v>9</v>
      </c>
      <c r="DR165" s="114"/>
      <c r="DS165" s="115"/>
      <c r="DT165" s="115"/>
      <c r="DU165" s="116"/>
      <c r="DW165" s="11">
        <v>46184</v>
      </c>
      <c r="DX165" s="33" t="s">
        <v>4</v>
      </c>
      <c r="DY165" s="114"/>
      <c r="DZ165" s="115"/>
      <c r="EA165" s="115"/>
      <c r="EB165" s="116"/>
    </row>
    <row r="166" spans="1:132" x14ac:dyDescent="0.25">
      <c r="A166" s="11">
        <v>46185</v>
      </c>
      <c r="B166" s="33" t="s">
        <v>5</v>
      </c>
      <c r="C166" s="114"/>
      <c r="D166" s="115"/>
      <c r="E166" s="115"/>
      <c r="F166" s="116"/>
      <c r="H166" s="11">
        <v>46185</v>
      </c>
      <c r="I166" s="33" t="s">
        <v>5</v>
      </c>
      <c r="J166" s="114"/>
      <c r="K166" s="115"/>
      <c r="L166" s="115"/>
      <c r="M166" s="116"/>
      <c r="O166" s="11">
        <v>46185</v>
      </c>
      <c r="P166" s="33" t="s">
        <v>5</v>
      </c>
      <c r="Q166" s="114"/>
      <c r="R166" s="115"/>
      <c r="S166" s="115"/>
      <c r="T166" s="116"/>
      <c r="V166" s="11">
        <v>46184</v>
      </c>
      <c r="W166" s="33" t="s">
        <v>4</v>
      </c>
      <c r="X166" s="114"/>
      <c r="Y166" s="115"/>
      <c r="Z166" s="115"/>
      <c r="AA166" s="116"/>
      <c r="AC166" s="11">
        <v>46185</v>
      </c>
      <c r="AD166" s="33" t="s">
        <v>5</v>
      </c>
      <c r="AE166" s="114"/>
      <c r="AF166" s="115"/>
      <c r="AG166" s="115"/>
      <c r="AH166" s="116"/>
      <c r="AJ166" s="11">
        <v>46185</v>
      </c>
      <c r="AK166" s="33" t="s">
        <v>5</v>
      </c>
      <c r="AL166" s="114"/>
      <c r="AM166" s="115"/>
      <c r="AN166" s="115"/>
      <c r="AO166" s="116"/>
      <c r="AQ166" s="11">
        <v>46185</v>
      </c>
      <c r="AR166" s="33" t="s">
        <v>5</v>
      </c>
      <c r="AS166" s="114"/>
      <c r="AT166" s="115"/>
      <c r="AU166" s="115"/>
      <c r="AV166" s="116"/>
      <c r="AX166" s="11">
        <v>46184</v>
      </c>
      <c r="AY166" s="33" t="s">
        <v>4</v>
      </c>
      <c r="AZ166" s="114"/>
      <c r="BA166" s="115"/>
      <c r="BB166" s="115"/>
      <c r="BC166" s="116"/>
      <c r="BE166" s="11">
        <v>46185</v>
      </c>
      <c r="BF166" s="33" t="s">
        <v>5</v>
      </c>
      <c r="BG166" s="33"/>
      <c r="BH166" s="19"/>
      <c r="BI166" s="19"/>
      <c r="BJ166" s="20"/>
      <c r="BL166" s="11">
        <v>46185</v>
      </c>
      <c r="BM166" s="33" t="s">
        <v>5</v>
      </c>
      <c r="BN166" s="114"/>
      <c r="BO166" s="115"/>
      <c r="BP166" s="115"/>
      <c r="BQ166" s="116"/>
      <c r="BS166" s="11">
        <v>46185</v>
      </c>
      <c r="BT166" s="33" t="s">
        <v>5</v>
      </c>
      <c r="BU166" s="114"/>
      <c r="BV166" s="115"/>
      <c r="BW166" s="115"/>
      <c r="BX166" s="116"/>
      <c r="BZ166" s="11">
        <v>46184</v>
      </c>
      <c r="CA166" s="33" t="s">
        <v>4</v>
      </c>
      <c r="CB166" s="114"/>
      <c r="CC166" s="115"/>
      <c r="CD166" s="115"/>
      <c r="CE166" s="116"/>
      <c r="CG166" s="11">
        <v>46185</v>
      </c>
      <c r="CH166" s="33" t="s">
        <v>5</v>
      </c>
      <c r="CI166" s="114"/>
      <c r="CJ166" s="115"/>
      <c r="CK166" s="115"/>
      <c r="CL166" s="116"/>
      <c r="CN166" s="11">
        <v>46185</v>
      </c>
      <c r="CO166" s="33" t="s">
        <v>5</v>
      </c>
      <c r="CP166" s="114"/>
      <c r="CQ166" s="115"/>
      <c r="CR166" s="115"/>
      <c r="CS166" s="116"/>
      <c r="CU166" s="11">
        <v>46185</v>
      </c>
      <c r="CV166" s="33" t="s">
        <v>5</v>
      </c>
      <c r="CW166" s="114"/>
      <c r="CX166" s="115"/>
      <c r="CY166" s="115"/>
      <c r="CZ166" s="116"/>
      <c r="DB166" s="11">
        <v>46183</v>
      </c>
      <c r="DC166" s="33" t="s">
        <v>3</v>
      </c>
      <c r="DD166" s="114"/>
      <c r="DE166" s="115"/>
      <c r="DF166" s="115"/>
      <c r="DG166" s="116"/>
      <c r="DI166" s="11">
        <v>46185</v>
      </c>
      <c r="DJ166" s="33" t="s">
        <v>5</v>
      </c>
      <c r="DK166" s="114"/>
      <c r="DL166" s="115"/>
      <c r="DM166" s="115"/>
      <c r="DN166" s="116"/>
      <c r="DP166" s="11">
        <v>46183</v>
      </c>
      <c r="DQ166" s="33" t="s">
        <v>3</v>
      </c>
      <c r="DR166" s="114"/>
      <c r="DS166" s="115"/>
      <c r="DT166" s="115"/>
      <c r="DU166" s="116"/>
      <c r="DW166" s="11">
        <v>46185</v>
      </c>
      <c r="DX166" s="33" t="s">
        <v>5</v>
      </c>
      <c r="DY166" s="114"/>
      <c r="DZ166" s="115"/>
      <c r="EA166" s="115"/>
      <c r="EB166" s="116"/>
    </row>
    <row r="167" spans="1:132" x14ac:dyDescent="0.25">
      <c r="A167" s="11">
        <v>46186</v>
      </c>
      <c r="B167" s="33" t="s">
        <v>6</v>
      </c>
      <c r="C167" s="114"/>
      <c r="D167" s="115"/>
      <c r="E167" s="115"/>
      <c r="F167" s="116"/>
      <c r="H167" s="11">
        <v>46186</v>
      </c>
      <c r="I167" s="33" t="s">
        <v>6</v>
      </c>
      <c r="J167" s="114"/>
      <c r="K167" s="115"/>
      <c r="L167" s="115"/>
      <c r="M167" s="116"/>
      <c r="O167" s="11">
        <v>46186</v>
      </c>
      <c r="P167" s="33" t="s">
        <v>6</v>
      </c>
      <c r="Q167" s="114"/>
      <c r="R167" s="115"/>
      <c r="S167" s="115"/>
      <c r="T167" s="116"/>
      <c r="V167" s="11">
        <v>46185</v>
      </c>
      <c r="W167" s="33" t="s">
        <v>5</v>
      </c>
      <c r="X167" s="114"/>
      <c r="Y167" s="115"/>
      <c r="Z167" s="115"/>
      <c r="AA167" s="116"/>
      <c r="AC167" s="11">
        <v>46186</v>
      </c>
      <c r="AD167" s="33" t="s">
        <v>6</v>
      </c>
      <c r="AE167" s="114"/>
      <c r="AF167" s="115"/>
      <c r="AG167" s="115"/>
      <c r="AH167" s="116"/>
      <c r="AJ167" s="11">
        <v>46186</v>
      </c>
      <c r="AK167" s="33" t="s">
        <v>6</v>
      </c>
      <c r="AL167" s="114"/>
      <c r="AM167" s="115"/>
      <c r="AN167" s="115"/>
      <c r="AO167" s="116"/>
      <c r="AQ167" s="11">
        <v>46186</v>
      </c>
      <c r="AR167" s="33" t="s">
        <v>6</v>
      </c>
      <c r="AS167" s="114"/>
      <c r="AT167" s="115"/>
      <c r="AU167" s="115"/>
      <c r="AV167" s="116"/>
      <c r="AX167" s="11">
        <v>46185</v>
      </c>
      <c r="AY167" s="33" t="s">
        <v>5</v>
      </c>
      <c r="AZ167" s="114"/>
      <c r="BA167" s="115"/>
      <c r="BB167" s="115"/>
      <c r="BC167" s="116"/>
      <c r="BE167" s="11">
        <v>46186</v>
      </c>
      <c r="BF167" s="33" t="s">
        <v>6</v>
      </c>
      <c r="BG167" s="33"/>
      <c r="BH167" s="19"/>
      <c r="BI167" s="19"/>
      <c r="BJ167" s="20"/>
      <c r="BL167" s="11">
        <v>46186</v>
      </c>
      <c r="BM167" s="33" t="s">
        <v>6</v>
      </c>
      <c r="BN167" s="114"/>
      <c r="BO167" s="115"/>
      <c r="BP167" s="115"/>
      <c r="BQ167" s="116"/>
      <c r="BS167" s="11">
        <v>46186</v>
      </c>
      <c r="BT167" s="33" t="s">
        <v>6</v>
      </c>
      <c r="BU167" s="114"/>
      <c r="BV167" s="115"/>
      <c r="BW167" s="115"/>
      <c r="BX167" s="116"/>
      <c r="BZ167" s="11">
        <v>46185</v>
      </c>
      <c r="CA167" s="33" t="s">
        <v>5</v>
      </c>
      <c r="CB167" s="114"/>
      <c r="CC167" s="115"/>
      <c r="CD167" s="115"/>
      <c r="CE167" s="116"/>
      <c r="CG167" s="11">
        <v>46186</v>
      </c>
      <c r="CH167" s="33" t="s">
        <v>6</v>
      </c>
      <c r="CI167" s="114"/>
      <c r="CJ167" s="115"/>
      <c r="CK167" s="115"/>
      <c r="CL167" s="116"/>
      <c r="CN167" s="11">
        <v>46186</v>
      </c>
      <c r="CO167" s="33" t="s">
        <v>6</v>
      </c>
      <c r="CP167" s="114"/>
      <c r="CQ167" s="115"/>
      <c r="CR167" s="115"/>
      <c r="CS167" s="116"/>
      <c r="CU167" s="11">
        <v>46186</v>
      </c>
      <c r="CV167" s="33" t="s">
        <v>6</v>
      </c>
      <c r="CW167" s="114"/>
      <c r="CX167" s="115"/>
      <c r="CY167" s="115"/>
      <c r="CZ167" s="116"/>
      <c r="DB167" s="11">
        <v>46184</v>
      </c>
      <c r="DC167" s="33" t="s">
        <v>4</v>
      </c>
      <c r="DD167" s="114"/>
      <c r="DE167" s="115"/>
      <c r="DF167" s="115"/>
      <c r="DG167" s="116"/>
      <c r="DI167" s="11">
        <v>46186</v>
      </c>
      <c r="DJ167" s="33" t="s">
        <v>6</v>
      </c>
      <c r="DK167" s="114"/>
      <c r="DL167" s="115"/>
      <c r="DM167" s="115"/>
      <c r="DN167" s="116"/>
      <c r="DP167" s="11">
        <v>46184</v>
      </c>
      <c r="DQ167" s="33" t="s">
        <v>4</v>
      </c>
      <c r="DR167" s="114"/>
      <c r="DS167" s="115"/>
      <c r="DT167" s="115"/>
      <c r="DU167" s="116"/>
      <c r="DW167" s="11">
        <v>46186</v>
      </c>
      <c r="DX167" s="33" t="s">
        <v>6</v>
      </c>
      <c r="DY167" s="114"/>
      <c r="DZ167" s="115"/>
      <c r="EA167" s="115"/>
      <c r="EB167" s="116"/>
    </row>
    <row r="168" spans="1:132" x14ac:dyDescent="0.25">
      <c r="A168" s="11">
        <v>46187</v>
      </c>
      <c r="B168" s="33" t="s">
        <v>7</v>
      </c>
      <c r="C168" s="114"/>
      <c r="D168" s="115"/>
      <c r="E168" s="115"/>
      <c r="F168" s="116"/>
      <c r="H168" s="11">
        <v>46187</v>
      </c>
      <c r="I168" s="33" t="s">
        <v>7</v>
      </c>
      <c r="J168" s="114"/>
      <c r="K168" s="115"/>
      <c r="L168" s="115"/>
      <c r="M168" s="116"/>
      <c r="O168" s="11">
        <v>46187</v>
      </c>
      <c r="P168" s="33" t="s">
        <v>7</v>
      </c>
      <c r="Q168" s="114"/>
      <c r="R168" s="115"/>
      <c r="S168" s="115"/>
      <c r="T168" s="116"/>
      <c r="V168" s="11">
        <v>46186</v>
      </c>
      <c r="W168" s="33" t="s">
        <v>6</v>
      </c>
      <c r="X168" s="114"/>
      <c r="Y168" s="115"/>
      <c r="Z168" s="115"/>
      <c r="AA168" s="116"/>
      <c r="AC168" s="11">
        <v>46187</v>
      </c>
      <c r="AD168" s="33" t="s">
        <v>7</v>
      </c>
      <c r="AE168" s="114"/>
      <c r="AF168" s="115"/>
      <c r="AG168" s="115"/>
      <c r="AH168" s="116"/>
      <c r="AJ168" s="11">
        <v>46187</v>
      </c>
      <c r="AK168" s="33" t="s">
        <v>7</v>
      </c>
      <c r="AL168" s="114"/>
      <c r="AM168" s="115"/>
      <c r="AN168" s="115"/>
      <c r="AO168" s="116"/>
      <c r="AQ168" s="11">
        <v>46187</v>
      </c>
      <c r="AR168" s="33" t="s">
        <v>7</v>
      </c>
      <c r="AS168" s="114"/>
      <c r="AT168" s="115"/>
      <c r="AU168" s="115"/>
      <c r="AV168" s="116"/>
      <c r="AX168" s="11">
        <v>46186</v>
      </c>
      <c r="AY168" s="33" t="s">
        <v>6</v>
      </c>
      <c r="AZ168" s="114"/>
      <c r="BA168" s="115"/>
      <c r="BB168" s="115"/>
      <c r="BC168" s="116"/>
      <c r="BE168" s="11">
        <v>46187</v>
      </c>
      <c r="BF168" s="33" t="s">
        <v>7</v>
      </c>
      <c r="BG168" s="33"/>
      <c r="BH168" s="19"/>
      <c r="BI168" s="19"/>
      <c r="BJ168" s="20"/>
      <c r="BL168" s="11">
        <v>46187</v>
      </c>
      <c r="BM168" s="33" t="s">
        <v>7</v>
      </c>
      <c r="BN168" s="114"/>
      <c r="BO168" s="115"/>
      <c r="BP168" s="115"/>
      <c r="BQ168" s="116"/>
      <c r="BS168" s="11">
        <v>46187</v>
      </c>
      <c r="BT168" s="33" t="s">
        <v>7</v>
      </c>
      <c r="BU168" s="114"/>
      <c r="BV168" s="115"/>
      <c r="BW168" s="115"/>
      <c r="BX168" s="116"/>
      <c r="BZ168" s="11">
        <v>46186</v>
      </c>
      <c r="CA168" s="33" t="s">
        <v>6</v>
      </c>
      <c r="CB168" s="114"/>
      <c r="CC168" s="115"/>
      <c r="CD168" s="115"/>
      <c r="CE168" s="116"/>
      <c r="CG168" s="11">
        <v>46187</v>
      </c>
      <c r="CH168" s="33" t="s">
        <v>7</v>
      </c>
      <c r="CI168" s="114"/>
      <c r="CJ168" s="115"/>
      <c r="CK168" s="115"/>
      <c r="CL168" s="116"/>
      <c r="CN168" s="11">
        <v>46187</v>
      </c>
      <c r="CO168" s="33" t="s">
        <v>7</v>
      </c>
      <c r="CP168" s="114"/>
      <c r="CQ168" s="115"/>
      <c r="CR168" s="115"/>
      <c r="CS168" s="116"/>
      <c r="CU168" s="11">
        <v>46187</v>
      </c>
      <c r="CV168" s="33" t="s">
        <v>7</v>
      </c>
      <c r="CW168" s="114"/>
      <c r="CX168" s="115"/>
      <c r="CY168" s="115"/>
      <c r="CZ168" s="116"/>
      <c r="DB168" s="11">
        <v>46185</v>
      </c>
      <c r="DC168" s="33" t="s">
        <v>5</v>
      </c>
      <c r="DD168" s="114"/>
      <c r="DE168" s="115"/>
      <c r="DF168" s="115"/>
      <c r="DG168" s="116"/>
      <c r="DI168" s="11">
        <v>46187</v>
      </c>
      <c r="DJ168" s="33" t="s">
        <v>7</v>
      </c>
      <c r="DK168" s="114"/>
      <c r="DL168" s="115"/>
      <c r="DM168" s="115"/>
      <c r="DN168" s="116"/>
      <c r="DP168" s="11">
        <v>46185</v>
      </c>
      <c r="DQ168" s="33" t="s">
        <v>5</v>
      </c>
      <c r="DR168" s="114"/>
      <c r="DS168" s="115"/>
      <c r="DT168" s="115"/>
      <c r="DU168" s="116"/>
      <c r="DW168" s="11">
        <v>46187</v>
      </c>
      <c r="DX168" s="33" t="s">
        <v>7</v>
      </c>
      <c r="DY168" s="114"/>
      <c r="DZ168" s="115"/>
      <c r="EA168" s="115"/>
      <c r="EB168" s="116"/>
    </row>
    <row r="169" spans="1:132" x14ac:dyDescent="0.25">
      <c r="A169" s="11">
        <v>46188</v>
      </c>
      <c r="B169" s="33" t="s">
        <v>8</v>
      </c>
      <c r="C169" s="114"/>
      <c r="D169" s="115"/>
      <c r="E169" s="115"/>
      <c r="F169" s="116"/>
      <c r="H169" s="11">
        <v>46188</v>
      </c>
      <c r="I169" s="33" t="s">
        <v>8</v>
      </c>
      <c r="J169" s="114"/>
      <c r="K169" s="115"/>
      <c r="L169" s="115"/>
      <c r="M169" s="116"/>
      <c r="O169" s="11">
        <v>46188</v>
      </c>
      <c r="P169" s="33" t="s">
        <v>8</v>
      </c>
      <c r="Q169" s="114"/>
      <c r="R169" s="115"/>
      <c r="S169" s="115"/>
      <c r="T169" s="116"/>
      <c r="V169" s="11">
        <v>46187</v>
      </c>
      <c r="W169" s="33" t="s">
        <v>7</v>
      </c>
      <c r="X169" s="114"/>
      <c r="Y169" s="115"/>
      <c r="Z169" s="115"/>
      <c r="AA169" s="116"/>
      <c r="AC169" s="11">
        <v>46188</v>
      </c>
      <c r="AD169" s="33" t="s">
        <v>8</v>
      </c>
      <c r="AE169" s="114"/>
      <c r="AF169" s="115"/>
      <c r="AG169" s="115"/>
      <c r="AH169" s="116"/>
      <c r="AJ169" s="11">
        <v>46188</v>
      </c>
      <c r="AK169" s="33" t="s">
        <v>8</v>
      </c>
      <c r="AL169" s="114"/>
      <c r="AM169" s="115"/>
      <c r="AN169" s="115"/>
      <c r="AO169" s="116"/>
      <c r="AQ169" s="11">
        <v>46188</v>
      </c>
      <c r="AR169" s="33" t="s">
        <v>8</v>
      </c>
      <c r="AS169" s="114"/>
      <c r="AT169" s="115"/>
      <c r="AU169" s="115"/>
      <c r="AV169" s="116"/>
      <c r="AX169" s="11">
        <v>46187</v>
      </c>
      <c r="AY169" s="33" t="s">
        <v>7</v>
      </c>
      <c r="AZ169" s="114"/>
      <c r="BA169" s="115"/>
      <c r="BB169" s="115"/>
      <c r="BC169" s="116"/>
      <c r="BE169" s="11">
        <v>46188</v>
      </c>
      <c r="BF169" s="33" t="s">
        <v>8</v>
      </c>
      <c r="BG169" s="33"/>
      <c r="BH169" s="19"/>
      <c r="BI169" s="19"/>
      <c r="BJ169" s="20"/>
      <c r="BL169" s="11">
        <v>46188</v>
      </c>
      <c r="BM169" s="33" t="s">
        <v>8</v>
      </c>
      <c r="BN169" s="114"/>
      <c r="BO169" s="115"/>
      <c r="BP169" s="115"/>
      <c r="BQ169" s="116"/>
      <c r="BS169" s="11">
        <v>46188</v>
      </c>
      <c r="BT169" s="33" t="s">
        <v>8</v>
      </c>
      <c r="BU169" s="114"/>
      <c r="BV169" s="115"/>
      <c r="BW169" s="115"/>
      <c r="BX169" s="116"/>
      <c r="BZ169" s="11">
        <v>46187</v>
      </c>
      <c r="CA169" s="33" t="s">
        <v>7</v>
      </c>
      <c r="CB169" s="114"/>
      <c r="CC169" s="115"/>
      <c r="CD169" s="115"/>
      <c r="CE169" s="116"/>
      <c r="CG169" s="11">
        <v>46188</v>
      </c>
      <c r="CH169" s="33" t="s">
        <v>8</v>
      </c>
      <c r="CI169" s="114"/>
      <c r="CJ169" s="115"/>
      <c r="CK169" s="115"/>
      <c r="CL169" s="116"/>
      <c r="CN169" s="11">
        <v>46188</v>
      </c>
      <c r="CO169" s="33" t="s">
        <v>8</v>
      </c>
      <c r="CP169" s="114"/>
      <c r="CQ169" s="115"/>
      <c r="CR169" s="115"/>
      <c r="CS169" s="116"/>
      <c r="CU169" s="11">
        <v>46188</v>
      </c>
      <c r="CV169" s="33" t="s">
        <v>8</v>
      </c>
      <c r="CW169" s="114"/>
      <c r="CX169" s="115"/>
      <c r="CY169" s="115"/>
      <c r="CZ169" s="116"/>
      <c r="DB169" s="11">
        <v>46186</v>
      </c>
      <c r="DC169" s="33" t="s">
        <v>6</v>
      </c>
      <c r="DD169" s="114"/>
      <c r="DE169" s="115"/>
      <c r="DF169" s="115"/>
      <c r="DG169" s="116"/>
      <c r="DI169" s="11">
        <v>46188</v>
      </c>
      <c r="DJ169" s="33" t="s">
        <v>8</v>
      </c>
      <c r="DK169" s="114"/>
      <c r="DL169" s="115"/>
      <c r="DM169" s="115"/>
      <c r="DN169" s="116"/>
      <c r="DP169" s="11">
        <v>46186</v>
      </c>
      <c r="DQ169" s="33" t="s">
        <v>6</v>
      </c>
      <c r="DR169" s="114"/>
      <c r="DS169" s="115"/>
      <c r="DT169" s="115"/>
      <c r="DU169" s="116"/>
      <c r="DW169" s="11">
        <v>46188</v>
      </c>
      <c r="DX169" s="33" t="s">
        <v>8</v>
      </c>
      <c r="DY169" s="114"/>
      <c r="DZ169" s="115"/>
      <c r="EA169" s="115"/>
      <c r="EB169" s="116"/>
    </row>
    <row r="170" spans="1:132" x14ac:dyDescent="0.25">
      <c r="A170" s="11">
        <v>46189</v>
      </c>
      <c r="B170" s="33" t="s">
        <v>9</v>
      </c>
      <c r="C170" s="114"/>
      <c r="D170" s="115"/>
      <c r="E170" s="115"/>
      <c r="F170" s="116"/>
      <c r="H170" s="11">
        <v>46189</v>
      </c>
      <c r="I170" s="33" t="s">
        <v>9</v>
      </c>
      <c r="J170" s="114"/>
      <c r="K170" s="115"/>
      <c r="L170" s="115"/>
      <c r="M170" s="116"/>
      <c r="O170" s="11">
        <v>46189</v>
      </c>
      <c r="P170" s="33" t="s">
        <v>9</v>
      </c>
      <c r="Q170" s="114"/>
      <c r="R170" s="115"/>
      <c r="S170" s="115"/>
      <c r="T170" s="116"/>
      <c r="V170" s="11">
        <v>46188</v>
      </c>
      <c r="W170" s="33" t="s">
        <v>8</v>
      </c>
      <c r="X170" s="114"/>
      <c r="Y170" s="115"/>
      <c r="Z170" s="115"/>
      <c r="AA170" s="116"/>
      <c r="AC170" s="11">
        <v>46189</v>
      </c>
      <c r="AD170" s="33" t="s">
        <v>9</v>
      </c>
      <c r="AE170" s="114"/>
      <c r="AF170" s="115"/>
      <c r="AG170" s="115"/>
      <c r="AH170" s="116"/>
      <c r="AJ170" s="11">
        <v>46189</v>
      </c>
      <c r="AK170" s="33" t="s">
        <v>9</v>
      </c>
      <c r="AL170" s="114"/>
      <c r="AM170" s="115"/>
      <c r="AN170" s="115"/>
      <c r="AO170" s="116"/>
      <c r="AQ170" s="11">
        <v>46189</v>
      </c>
      <c r="AR170" s="33" t="s">
        <v>9</v>
      </c>
      <c r="AS170" s="114"/>
      <c r="AT170" s="115"/>
      <c r="AU170" s="115"/>
      <c r="AV170" s="116"/>
      <c r="AX170" s="11">
        <v>46188</v>
      </c>
      <c r="AY170" s="33" t="s">
        <v>8</v>
      </c>
      <c r="AZ170" s="114"/>
      <c r="BA170" s="115"/>
      <c r="BB170" s="115"/>
      <c r="BC170" s="116"/>
      <c r="BE170" s="11">
        <v>46189</v>
      </c>
      <c r="BF170" s="33" t="s">
        <v>9</v>
      </c>
      <c r="BG170" s="33"/>
      <c r="BH170" s="19"/>
      <c r="BI170" s="19"/>
      <c r="BJ170" s="20"/>
      <c r="BL170" s="11">
        <v>46189</v>
      </c>
      <c r="BM170" s="33" t="s">
        <v>9</v>
      </c>
      <c r="BN170" s="114"/>
      <c r="BO170" s="115"/>
      <c r="BP170" s="115"/>
      <c r="BQ170" s="116"/>
      <c r="BS170" s="11">
        <v>46189</v>
      </c>
      <c r="BT170" s="33" t="s">
        <v>9</v>
      </c>
      <c r="BU170" s="114"/>
      <c r="BV170" s="115"/>
      <c r="BW170" s="115"/>
      <c r="BX170" s="116"/>
      <c r="BZ170" s="11">
        <v>46188</v>
      </c>
      <c r="CA170" s="33" t="s">
        <v>8</v>
      </c>
      <c r="CB170" s="114"/>
      <c r="CC170" s="115"/>
      <c r="CD170" s="115"/>
      <c r="CE170" s="116"/>
      <c r="CG170" s="11">
        <v>46189</v>
      </c>
      <c r="CH170" s="33" t="s">
        <v>9</v>
      </c>
      <c r="CI170" s="114"/>
      <c r="CJ170" s="115"/>
      <c r="CK170" s="115"/>
      <c r="CL170" s="116"/>
      <c r="CN170" s="11">
        <v>46189</v>
      </c>
      <c r="CO170" s="33" t="s">
        <v>9</v>
      </c>
      <c r="CP170" s="114"/>
      <c r="CQ170" s="115"/>
      <c r="CR170" s="115"/>
      <c r="CS170" s="116"/>
      <c r="CU170" s="11">
        <v>46189</v>
      </c>
      <c r="CV170" s="33" t="s">
        <v>9</v>
      </c>
      <c r="CW170" s="114"/>
      <c r="CX170" s="115"/>
      <c r="CY170" s="115"/>
      <c r="CZ170" s="116"/>
      <c r="DB170" s="11">
        <v>46187</v>
      </c>
      <c r="DC170" s="33" t="s">
        <v>7</v>
      </c>
      <c r="DD170" s="114"/>
      <c r="DE170" s="115"/>
      <c r="DF170" s="115"/>
      <c r="DG170" s="116"/>
      <c r="DI170" s="11">
        <v>46189</v>
      </c>
      <c r="DJ170" s="33" t="s">
        <v>9</v>
      </c>
      <c r="DK170" s="114"/>
      <c r="DL170" s="115"/>
      <c r="DM170" s="115"/>
      <c r="DN170" s="116"/>
      <c r="DP170" s="11">
        <v>46187</v>
      </c>
      <c r="DQ170" s="33" t="s">
        <v>7</v>
      </c>
      <c r="DR170" s="114"/>
      <c r="DS170" s="115"/>
      <c r="DT170" s="115"/>
      <c r="DU170" s="116"/>
      <c r="DW170" s="11">
        <v>46189</v>
      </c>
      <c r="DX170" s="33" t="s">
        <v>9</v>
      </c>
      <c r="DY170" s="114"/>
      <c r="DZ170" s="115"/>
      <c r="EA170" s="115"/>
      <c r="EB170" s="116"/>
    </row>
    <row r="171" spans="1:132" x14ac:dyDescent="0.25">
      <c r="A171" s="11">
        <v>46190</v>
      </c>
      <c r="B171" s="33" t="s">
        <v>3</v>
      </c>
      <c r="C171" s="114"/>
      <c r="D171" s="115"/>
      <c r="E171" s="115"/>
      <c r="F171" s="116"/>
      <c r="H171" s="11">
        <v>46190</v>
      </c>
      <c r="I171" s="33" t="s">
        <v>3</v>
      </c>
      <c r="J171" s="114"/>
      <c r="K171" s="115"/>
      <c r="L171" s="115"/>
      <c r="M171" s="116"/>
      <c r="O171" s="11">
        <v>46190</v>
      </c>
      <c r="P171" s="33" t="s">
        <v>3</v>
      </c>
      <c r="Q171" s="114"/>
      <c r="R171" s="115"/>
      <c r="S171" s="115"/>
      <c r="T171" s="116"/>
      <c r="V171" s="11">
        <v>46189</v>
      </c>
      <c r="W171" s="33" t="s">
        <v>9</v>
      </c>
      <c r="X171" s="114"/>
      <c r="Y171" s="115"/>
      <c r="Z171" s="115"/>
      <c r="AA171" s="116"/>
      <c r="AC171" s="11">
        <v>46190</v>
      </c>
      <c r="AD171" s="33" t="s">
        <v>3</v>
      </c>
      <c r="AE171" s="114"/>
      <c r="AF171" s="115"/>
      <c r="AG171" s="115"/>
      <c r="AH171" s="116"/>
      <c r="AJ171" s="11">
        <v>46190</v>
      </c>
      <c r="AK171" s="33" t="s">
        <v>3</v>
      </c>
      <c r="AL171" s="114"/>
      <c r="AM171" s="115"/>
      <c r="AN171" s="115"/>
      <c r="AO171" s="116"/>
      <c r="AQ171" s="11">
        <v>46190</v>
      </c>
      <c r="AR171" s="33" t="s">
        <v>3</v>
      </c>
      <c r="AS171" s="114"/>
      <c r="AT171" s="115"/>
      <c r="AU171" s="115"/>
      <c r="AV171" s="116"/>
      <c r="AX171" s="11">
        <v>46189</v>
      </c>
      <c r="AY171" s="33" t="s">
        <v>9</v>
      </c>
      <c r="AZ171" s="114"/>
      <c r="BA171" s="115"/>
      <c r="BB171" s="115"/>
      <c r="BC171" s="116"/>
      <c r="BE171" s="11">
        <v>46190</v>
      </c>
      <c r="BF171" s="33" t="s">
        <v>3</v>
      </c>
      <c r="BG171" s="33"/>
      <c r="BH171" s="19"/>
      <c r="BI171" s="19"/>
      <c r="BJ171" s="20"/>
      <c r="BL171" s="11">
        <v>46190</v>
      </c>
      <c r="BM171" s="33" t="s">
        <v>3</v>
      </c>
      <c r="BN171" s="114"/>
      <c r="BO171" s="115"/>
      <c r="BP171" s="115"/>
      <c r="BQ171" s="116"/>
      <c r="BS171" s="11">
        <v>46190</v>
      </c>
      <c r="BT171" s="33" t="s">
        <v>3</v>
      </c>
      <c r="BU171" s="114"/>
      <c r="BV171" s="115"/>
      <c r="BW171" s="115"/>
      <c r="BX171" s="116"/>
      <c r="BZ171" s="11">
        <v>46189</v>
      </c>
      <c r="CA171" s="33" t="s">
        <v>9</v>
      </c>
      <c r="CB171" s="114"/>
      <c r="CC171" s="115"/>
      <c r="CD171" s="115"/>
      <c r="CE171" s="116"/>
      <c r="CG171" s="11">
        <v>46190</v>
      </c>
      <c r="CH171" s="33" t="s">
        <v>3</v>
      </c>
      <c r="CI171" s="114"/>
      <c r="CJ171" s="115"/>
      <c r="CK171" s="115"/>
      <c r="CL171" s="116"/>
      <c r="CN171" s="11">
        <v>46190</v>
      </c>
      <c r="CO171" s="33" t="s">
        <v>3</v>
      </c>
      <c r="CP171" s="114"/>
      <c r="CQ171" s="115"/>
      <c r="CR171" s="115"/>
      <c r="CS171" s="116"/>
      <c r="CU171" s="11">
        <v>46190</v>
      </c>
      <c r="CV171" s="33" t="s">
        <v>3</v>
      </c>
      <c r="CW171" s="114"/>
      <c r="CX171" s="115"/>
      <c r="CY171" s="115"/>
      <c r="CZ171" s="116"/>
      <c r="DB171" s="11">
        <v>46188</v>
      </c>
      <c r="DC171" s="33" t="s">
        <v>8</v>
      </c>
      <c r="DD171" s="114"/>
      <c r="DE171" s="115"/>
      <c r="DF171" s="115"/>
      <c r="DG171" s="116"/>
      <c r="DI171" s="11">
        <v>46190</v>
      </c>
      <c r="DJ171" s="33" t="s">
        <v>3</v>
      </c>
      <c r="DK171" s="114"/>
      <c r="DL171" s="115"/>
      <c r="DM171" s="115"/>
      <c r="DN171" s="116"/>
      <c r="DP171" s="11">
        <v>46188</v>
      </c>
      <c r="DQ171" s="33" t="s">
        <v>8</v>
      </c>
      <c r="DR171" s="114"/>
      <c r="DS171" s="115"/>
      <c r="DT171" s="115"/>
      <c r="DU171" s="116"/>
      <c r="DW171" s="11">
        <v>46190</v>
      </c>
      <c r="DX171" s="33" t="s">
        <v>3</v>
      </c>
      <c r="DY171" s="114"/>
      <c r="DZ171" s="115"/>
      <c r="EA171" s="115"/>
      <c r="EB171" s="116"/>
    </row>
    <row r="172" spans="1:132" x14ac:dyDescent="0.25">
      <c r="A172" s="11">
        <v>46191</v>
      </c>
      <c r="B172" s="33" t="s">
        <v>4</v>
      </c>
      <c r="C172" s="114"/>
      <c r="D172" s="115"/>
      <c r="E172" s="115"/>
      <c r="F172" s="116"/>
      <c r="H172" s="11">
        <v>46191</v>
      </c>
      <c r="I172" s="33" t="s">
        <v>4</v>
      </c>
      <c r="J172" s="114"/>
      <c r="K172" s="115"/>
      <c r="L172" s="115"/>
      <c r="M172" s="116"/>
      <c r="O172" s="11">
        <v>46191</v>
      </c>
      <c r="P172" s="33" t="s">
        <v>4</v>
      </c>
      <c r="Q172" s="114"/>
      <c r="R172" s="115"/>
      <c r="S172" s="115"/>
      <c r="T172" s="116"/>
      <c r="V172" s="11">
        <v>46190</v>
      </c>
      <c r="W172" s="33" t="s">
        <v>3</v>
      </c>
      <c r="X172" s="114"/>
      <c r="Y172" s="115"/>
      <c r="Z172" s="115"/>
      <c r="AA172" s="116"/>
      <c r="AC172" s="11">
        <v>46191</v>
      </c>
      <c r="AD172" s="33" t="s">
        <v>4</v>
      </c>
      <c r="AE172" s="114"/>
      <c r="AF172" s="115"/>
      <c r="AG172" s="115"/>
      <c r="AH172" s="116"/>
      <c r="AJ172" s="11">
        <v>46191</v>
      </c>
      <c r="AK172" s="33" t="s">
        <v>4</v>
      </c>
      <c r="AL172" s="114"/>
      <c r="AM172" s="115"/>
      <c r="AN172" s="115"/>
      <c r="AO172" s="116"/>
      <c r="AQ172" s="11">
        <v>46191</v>
      </c>
      <c r="AR172" s="33" t="s">
        <v>4</v>
      </c>
      <c r="AS172" s="114"/>
      <c r="AT172" s="115"/>
      <c r="AU172" s="115"/>
      <c r="AV172" s="116"/>
      <c r="AX172" s="11">
        <v>46190</v>
      </c>
      <c r="AY172" s="33" t="s">
        <v>3</v>
      </c>
      <c r="AZ172" s="114"/>
      <c r="BA172" s="115"/>
      <c r="BB172" s="115"/>
      <c r="BC172" s="116"/>
      <c r="BE172" s="11">
        <v>46191</v>
      </c>
      <c r="BF172" s="33" t="s">
        <v>4</v>
      </c>
      <c r="BG172" s="33"/>
      <c r="BH172" s="19"/>
      <c r="BI172" s="19"/>
      <c r="BJ172" s="20"/>
      <c r="BL172" s="11">
        <v>46191</v>
      </c>
      <c r="BM172" s="33" t="s">
        <v>4</v>
      </c>
      <c r="BN172" s="114"/>
      <c r="BO172" s="115"/>
      <c r="BP172" s="115"/>
      <c r="BQ172" s="116"/>
      <c r="BS172" s="11">
        <v>46191</v>
      </c>
      <c r="BT172" s="33" t="s">
        <v>4</v>
      </c>
      <c r="BU172" s="114"/>
      <c r="BV172" s="115"/>
      <c r="BW172" s="115"/>
      <c r="BX172" s="116"/>
      <c r="BZ172" s="11">
        <v>46190</v>
      </c>
      <c r="CA172" s="33" t="s">
        <v>3</v>
      </c>
      <c r="CB172" s="114"/>
      <c r="CC172" s="115"/>
      <c r="CD172" s="115"/>
      <c r="CE172" s="116"/>
      <c r="CG172" s="11">
        <v>46191</v>
      </c>
      <c r="CH172" s="33" t="s">
        <v>4</v>
      </c>
      <c r="CI172" s="114"/>
      <c r="CJ172" s="115"/>
      <c r="CK172" s="115"/>
      <c r="CL172" s="116"/>
      <c r="CN172" s="11">
        <v>46191</v>
      </c>
      <c r="CO172" s="33" t="s">
        <v>4</v>
      </c>
      <c r="CP172" s="114"/>
      <c r="CQ172" s="115"/>
      <c r="CR172" s="115"/>
      <c r="CS172" s="116"/>
      <c r="CU172" s="11">
        <v>46191</v>
      </c>
      <c r="CV172" s="33" t="s">
        <v>4</v>
      </c>
      <c r="CW172" s="114"/>
      <c r="CX172" s="115"/>
      <c r="CY172" s="115"/>
      <c r="CZ172" s="116"/>
      <c r="DB172" s="11">
        <v>46189</v>
      </c>
      <c r="DC172" s="33" t="s">
        <v>9</v>
      </c>
      <c r="DD172" s="114"/>
      <c r="DE172" s="115"/>
      <c r="DF172" s="115"/>
      <c r="DG172" s="116"/>
      <c r="DI172" s="11">
        <v>46191</v>
      </c>
      <c r="DJ172" s="33" t="s">
        <v>4</v>
      </c>
      <c r="DK172" s="114"/>
      <c r="DL172" s="115"/>
      <c r="DM172" s="115"/>
      <c r="DN172" s="116"/>
      <c r="DP172" s="11">
        <v>46189</v>
      </c>
      <c r="DQ172" s="33" t="s">
        <v>9</v>
      </c>
      <c r="DR172" s="114"/>
      <c r="DS172" s="115"/>
      <c r="DT172" s="115"/>
      <c r="DU172" s="116"/>
      <c r="DW172" s="11">
        <v>46191</v>
      </c>
      <c r="DX172" s="33" t="s">
        <v>4</v>
      </c>
      <c r="DY172" s="114"/>
      <c r="DZ172" s="115"/>
      <c r="EA172" s="115"/>
      <c r="EB172" s="116"/>
    </row>
    <row r="173" spans="1:132" x14ac:dyDescent="0.25">
      <c r="A173" s="11">
        <v>46192</v>
      </c>
      <c r="B173" s="33" t="s">
        <v>5</v>
      </c>
      <c r="C173" s="114"/>
      <c r="D173" s="115"/>
      <c r="E173" s="115"/>
      <c r="F173" s="116"/>
      <c r="H173" s="11">
        <v>46192</v>
      </c>
      <c r="I173" s="33" t="s">
        <v>5</v>
      </c>
      <c r="J173" s="114"/>
      <c r="K173" s="115"/>
      <c r="L173" s="115"/>
      <c r="M173" s="116"/>
      <c r="O173" s="11">
        <v>46192</v>
      </c>
      <c r="P173" s="33" t="s">
        <v>5</v>
      </c>
      <c r="Q173" s="114"/>
      <c r="R173" s="115"/>
      <c r="S173" s="115"/>
      <c r="T173" s="116"/>
      <c r="V173" s="11">
        <v>46191</v>
      </c>
      <c r="W173" s="33" t="s">
        <v>4</v>
      </c>
      <c r="X173" s="114"/>
      <c r="Y173" s="115"/>
      <c r="Z173" s="115"/>
      <c r="AA173" s="116"/>
      <c r="AC173" s="11">
        <v>46192</v>
      </c>
      <c r="AD173" s="33" t="s">
        <v>5</v>
      </c>
      <c r="AE173" s="114"/>
      <c r="AF173" s="115"/>
      <c r="AG173" s="115"/>
      <c r="AH173" s="116"/>
      <c r="AJ173" s="11">
        <v>46192</v>
      </c>
      <c r="AK173" s="33" t="s">
        <v>5</v>
      </c>
      <c r="AL173" s="114"/>
      <c r="AM173" s="115"/>
      <c r="AN173" s="115"/>
      <c r="AO173" s="116"/>
      <c r="AQ173" s="11">
        <v>46192</v>
      </c>
      <c r="AR173" s="33" t="s">
        <v>5</v>
      </c>
      <c r="AS173" s="114"/>
      <c r="AT173" s="115"/>
      <c r="AU173" s="115"/>
      <c r="AV173" s="116"/>
      <c r="AX173" s="11">
        <v>46191</v>
      </c>
      <c r="AY173" s="33" t="s">
        <v>4</v>
      </c>
      <c r="AZ173" s="114"/>
      <c r="BA173" s="115"/>
      <c r="BB173" s="115"/>
      <c r="BC173" s="116"/>
      <c r="BE173" s="11">
        <v>46192</v>
      </c>
      <c r="BF173" s="33" t="s">
        <v>5</v>
      </c>
      <c r="BG173" s="33"/>
      <c r="BH173" s="19"/>
      <c r="BI173" s="19"/>
      <c r="BJ173" s="20"/>
      <c r="BL173" s="11">
        <v>46192</v>
      </c>
      <c r="BM173" s="33" t="s">
        <v>5</v>
      </c>
      <c r="BN173" s="114"/>
      <c r="BO173" s="115"/>
      <c r="BP173" s="115"/>
      <c r="BQ173" s="116"/>
      <c r="BS173" s="11">
        <v>46192</v>
      </c>
      <c r="BT173" s="33" t="s">
        <v>5</v>
      </c>
      <c r="BU173" s="114"/>
      <c r="BV173" s="115"/>
      <c r="BW173" s="115"/>
      <c r="BX173" s="116"/>
      <c r="BZ173" s="11">
        <v>46191</v>
      </c>
      <c r="CA173" s="33" t="s">
        <v>4</v>
      </c>
      <c r="CB173" s="114"/>
      <c r="CC173" s="115"/>
      <c r="CD173" s="115"/>
      <c r="CE173" s="116"/>
      <c r="CG173" s="11">
        <v>46192</v>
      </c>
      <c r="CH173" s="33" t="s">
        <v>5</v>
      </c>
      <c r="CI173" s="114"/>
      <c r="CJ173" s="115"/>
      <c r="CK173" s="115"/>
      <c r="CL173" s="116"/>
      <c r="CN173" s="11">
        <v>46192</v>
      </c>
      <c r="CO173" s="33" t="s">
        <v>5</v>
      </c>
      <c r="CP173" s="114"/>
      <c r="CQ173" s="115"/>
      <c r="CR173" s="115"/>
      <c r="CS173" s="116"/>
      <c r="CU173" s="11">
        <v>46192</v>
      </c>
      <c r="CV173" s="33" t="s">
        <v>5</v>
      </c>
      <c r="CW173" s="114"/>
      <c r="CX173" s="115"/>
      <c r="CY173" s="115"/>
      <c r="CZ173" s="116"/>
      <c r="DB173" s="11">
        <v>46190</v>
      </c>
      <c r="DC173" s="33" t="s">
        <v>3</v>
      </c>
      <c r="DD173" s="114"/>
      <c r="DE173" s="115"/>
      <c r="DF173" s="115"/>
      <c r="DG173" s="116"/>
      <c r="DI173" s="11">
        <v>46192</v>
      </c>
      <c r="DJ173" s="33" t="s">
        <v>5</v>
      </c>
      <c r="DK173" s="114"/>
      <c r="DL173" s="115"/>
      <c r="DM173" s="115"/>
      <c r="DN173" s="116"/>
      <c r="DP173" s="11">
        <v>46190</v>
      </c>
      <c r="DQ173" s="33" t="s">
        <v>3</v>
      </c>
      <c r="DR173" s="114"/>
      <c r="DS173" s="115"/>
      <c r="DT173" s="115"/>
      <c r="DU173" s="116"/>
      <c r="DW173" s="11">
        <v>46192</v>
      </c>
      <c r="DX173" s="33" t="s">
        <v>5</v>
      </c>
      <c r="DY173" s="114"/>
      <c r="DZ173" s="115"/>
      <c r="EA173" s="115"/>
      <c r="EB173" s="116"/>
    </row>
    <row r="174" spans="1:132" x14ac:dyDescent="0.25">
      <c r="A174" s="11">
        <v>46193</v>
      </c>
      <c r="B174" s="33" t="s">
        <v>6</v>
      </c>
      <c r="C174" s="114"/>
      <c r="D174" s="115"/>
      <c r="E174" s="115"/>
      <c r="F174" s="116"/>
      <c r="H174" s="11">
        <v>46193</v>
      </c>
      <c r="I174" s="33" t="s">
        <v>6</v>
      </c>
      <c r="J174" s="114"/>
      <c r="K174" s="115"/>
      <c r="L174" s="115"/>
      <c r="M174" s="116"/>
      <c r="O174" s="11">
        <v>46193</v>
      </c>
      <c r="P174" s="33" t="s">
        <v>6</v>
      </c>
      <c r="Q174" s="114"/>
      <c r="R174" s="115"/>
      <c r="S174" s="115"/>
      <c r="T174" s="116"/>
      <c r="V174" s="11">
        <v>46192</v>
      </c>
      <c r="W174" s="33" t="s">
        <v>5</v>
      </c>
      <c r="X174" s="114"/>
      <c r="Y174" s="115"/>
      <c r="Z174" s="115"/>
      <c r="AA174" s="116"/>
      <c r="AC174" s="11">
        <v>46193</v>
      </c>
      <c r="AD174" s="33" t="s">
        <v>6</v>
      </c>
      <c r="AE174" s="114"/>
      <c r="AF174" s="115"/>
      <c r="AG174" s="115"/>
      <c r="AH174" s="116"/>
      <c r="AJ174" s="11">
        <v>46193</v>
      </c>
      <c r="AK174" s="33" t="s">
        <v>6</v>
      </c>
      <c r="AL174" s="114"/>
      <c r="AM174" s="115"/>
      <c r="AN174" s="115"/>
      <c r="AO174" s="116"/>
      <c r="AQ174" s="11">
        <v>46193</v>
      </c>
      <c r="AR174" s="33" t="s">
        <v>6</v>
      </c>
      <c r="AS174" s="114"/>
      <c r="AT174" s="115"/>
      <c r="AU174" s="115"/>
      <c r="AV174" s="116"/>
      <c r="AX174" s="11">
        <v>46192</v>
      </c>
      <c r="AY174" s="33" t="s">
        <v>5</v>
      </c>
      <c r="AZ174" s="114"/>
      <c r="BA174" s="115"/>
      <c r="BB174" s="115"/>
      <c r="BC174" s="116"/>
      <c r="BE174" s="11">
        <v>46193</v>
      </c>
      <c r="BF174" s="33" t="s">
        <v>6</v>
      </c>
      <c r="BG174" s="33"/>
      <c r="BH174" s="19"/>
      <c r="BI174" s="19"/>
      <c r="BJ174" s="20"/>
      <c r="BL174" s="11">
        <v>46193</v>
      </c>
      <c r="BM174" s="33" t="s">
        <v>6</v>
      </c>
      <c r="BN174" s="114"/>
      <c r="BO174" s="115"/>
      <c r="BP174" s="115"/>
      <c r="BQ174" s="116"/>
      <c r="BS174" s="11">
        <v>46193</v>
      </c>
      <c r="BT174" s="33" t="s">
        <v>6</v>
      </c>
      <c r="BU174" s="114"/>
      <c r="BV174" s="115"/>
      <c r="BW174" s="115"/>
      <c r="BX174" s="116"/>
      <c r="BZ174" s="11">
        <v>46192</v>
      </c>
      <c r="CA174" s="33" t="s">
        <v>5</v>
      </c>
      <c r="CB174" s="114"/>
      <c r="CC174" s="115"/>
      <c r="CD174" s="115"/>
      <c r="CE174" s="116"/>
      <c r="CG174" s="11">
        <v>46193</v>
      </c>
      <c r="CH174" s="33" t="s">
        <v>6</v>
      </c>
      <c r="CI174" s="114"/>
      <c r="CJ174" s="115"/>
      <c r="CK174" s="115"/>
      <c r="CL174" s="116"/>
      <c r="CN174" s="11">
        <v>46193</v>
      </c>
      <c r="CO174" s="33" t="s">
        <v>6</v>
      </c>
      <c r="CP174" s="114"/>
      <c r="CQ174" s="115"/>
      <c r="CR174" s="115"/>
      <c r="CS174" s="116"/>
      <c r="CU174" s="11">
        <v>46193</v>
      </c>
      <c r="CV174" s="33" t="s">
        <v>6</v>
      </c>
      <c r="CW174" s="114"/>
      <c r="CX174" s="115"/>
      <c r="CY174" s="115"/>
      <c r="CZ174" s="116"/>
      <c r="DB174" s="11">
        <v>46191</v>
      </c>
      <c r="DC174" s="33" t="s">
        <v>4</v>
      </c>
      <c r="DD174" s="114"/>
      <c r="DE174" s="115"/>
      <c r="DF174" s="115"/>
      <c r="DG174" s="116"/>
      <c r="DI174" s="11">
        <v>46193</v>
      </c>
      <c r="DJ174" s="33" t="s">
        <v>6</v>
      </c>
      <c r="DK174" s="114"/>
      <c r="DL174" s="115"/>
      <c r="DM174" s="115"/>
      <c r="DN174" s="116"/>
      <c r="DP174" s="11">
        <v>46191</v>
      </c>
      <c r="DQ174" s="33" t="s">
        <v>4</v>
      </c>
      <c r="DR174" s="114"/>
      <c r="DS174" s="115"/>
      <c r="DT174" s="115"/>
      <c r="DU174" s="116"/>
      <c r="DW174" s="11">
        <v>46193</v>
      </c>
      <c r="DX174" s="33" t="s">
        <v>6</v>
      </c>
      <c r="DY174" s="114"/>
      <c r="DZ174" s="115"/>
      <c r="EA174" s="115"/>
      <c r="EB174" s="116"/>
    </row>
    <row r="175" spans="1:132" x14ac:dyDescent="0.25">
      <c r="A175" s="11">
        <v>46194</v>
      </c>
      <c r="B175" s="33" t="s">
        <v>7</v>
      </c>
      <c r="C175" s="114"/>
      <c r="D175" s="115"/>
      <c r="E175" s="115"/>
      <c r="F175" s="116"/>
      <c r="H175" s="11">
        <v>46194</v>
      </c>
      <c r="I175" s="33" t="s">
        <v>7</v>
      </c>
      <c r="J175" s="114"/>
      <c r="K175" s="115"/>
      <c r="L175" s="115"/>
      <c r="M175" s="116"/>
      <c r="O175" s="11">
        <v>46194</v>
      </c>
      <c r="P175" s="33" t="s">
        <v>7</v>
      </c>
      <c r="Q175" s="114"/>
      <c r="R175" s="115"/>
      <c r="S175" s="115"/>
      <c r="T175" s="116"/>
      <c r="V175" s="11">
        <v>46193</v>
      </c>
      <c r="W175" s="33" t="s">
        <v>6</v>
      </c>
      <c r="X175" s="114"/>
      <c r="Y175" s="115"/>
      <c r="Z175" s="115"/>
      <c r="AA175" s="116"/>
      <c r="AC175" s="11">
        <v>46194</v>
      </c>
      <c r="AD175" s="33" t="s">
        <v>7</v>
      </c>
      <c r="AE175" s="114"/>
      <c r="AF175" s="115"/>
      <c r="AG175" s="115"/>
      <c r="AH175" s="116"/>
      <c r="AJ175" s="11">
        <v>46194</v>
      </c>
      <c r="AK175" s="33" t="s">
        <v>7</v>
      </c>
      <c r="AL175" s="114"/>
      <c r="AM175" s="115"/>
      <c r="AN175" s="115"/>
      <c r="AO175" s="116"/>
      <c r="AQ175" s="11">
        <v>46194</v>
      </c>
      <c r="AR175" s="33" t="s">
        <v>7</v>
      </c>
      <c r="AS175" s="114"/>
      <c r="AT175" s="115"/>
      <c r="AU175" s="115"/>
      <c r="AV175" s="116"/>
      <c r="AX175" s="11">
        <v>46193</v>
      </c>
      <c r="AY175" s="33" t="s">
        <v>6</v>
      </c>
      <c r="AZ175" s="114"/>
      <c r="BA175" s="115"/>
      <c r="BB175" s="115"/>
      <c r="BC175" s="116"/>
      <c r="BE175" s="11">
        <v>46194</v>
      </c>
      <c r="BF175" s="33" t="s">
        <v>7</v>
      </c>
      <c r="BG175" s="33"/>
      <c r="BH175" s="19"/>
      <c r="BI175" s="19"/>
      <c r="BJ175" s="20"/>
      <c r="BL175" s="11">
        <v>46194</v>
      </c>
      <c r="BM175" s="33" t="s">
        <v>7</v>
      </c>
      <c r="BN175" s="114"/>
      <c r="BO175" s="115"/>
      <c r="BP175" s="115"/>
      <c r="BQ175" s="116"/>
      <c r="BS175" s="11">
        <v>46194</v>
      </c>
      <c r="BT175" s="33" t="s">
        <v>7</v>
      </c>
      <c r="BU175" s="114"/>
      <c r="BV175" s="115"/>
      <c r="BW175" s="115"/>
      <c r="BX175" s="116"/>
      <c r="BZ175" s="11">
        <v>46193</v>
      </c>
      <c r="CA175" s="33" t="s">
        <v>6</v>
      </c>
      <c r="CB175" s="114"/>
      <c r="CC175" s="115"/>
      <c r="CD175" s="115"/>
      <c r="CE175" s="116"/>
      <c r="CG175" s="11">
        <v>46194</v>
      </c>
      <c r="CH175" s="33" t="s">
        <v>7</v>
      </c>
      <c r="CI175" s="114"/>
      <c r="CJ175" s="115"/>
      <c r="CK175" s="115"/>
      <c r="CL175" s="116"/>
      <c r="CN175" s="11">
        <v>46194</v>
      </c>
      <c r="CO175" s="33" t="s">
        <v>7</v>
      </c>
      <c r="CP175" s="114"/>
      <c r="CQ175" s="115"/>
      <c r="CR175" s="115"/>
      <c r="CS175" s="116"/>
      <c r="CU175" s="11">
        <v>46194</v>
      </c>
      <c r="CV175" s="33" t="s">
        <v>7</v>
      </c>
      <c r="CW175" s="114"/>
      <c r="CX175" s="115"/>
      <c r="CY175" s="115"/>
      <c r="CZ175" s="116"/>
      <c r="DB175" s="11">
        <v>46192</v>
      </c>
      <c r="DC175" s="33" t="s">
        <v>5</v>
      </c>
      <c r="DD175" s="114"/>
      <c r="DE175" s="115"/>
      <c r="DF175" s="115"/>
      <c r="DG175" s="116"/>
      <c r="DI175" s="11">
        <v>46194</v>
      </c>
      <c r="DJ175" s="33" t="s">
        <v>7</v>
      </c>
      <c r="DK175" s="114"/>
      <c r="DL175" s="115"/>
      <c r="DM175" s="115"/>
      <c r="DN175" s="116"/>
      <c r="DP175" s="11">
        <v>46192</v>
      </c>
      <c r="DQ175" s="33" t="s">
        <v>5</v>
      </c>
      <c r="DR175" s="114"/>
      <c r="DS175" s="115"/>
      <c r="DT175" s="115"/>
      <c r="DU175" s="116"/>
      <c r="DW175" s="11">
        <v>46194</v>
      </c>
      <c r="DX175" s="33" t="s">
        <v>7</v>
      </c>
      <c r="DY175" s="114"/>
      <c r="DZ175" s="115"/>
      <c r="EA175" s="115"/>
      <c r="EB175" s="116"/>
    </row>
    <row r="176" spans="1:132" x14ac:dyDescent="0.25">
      <c r="A176" s="11">
        <v>46195</v>
      </c>
      <c r="B176" s="33" t="s">
        <v>8</v>
      </c>
      <c r="C176" s="114"/>
      <c r="D176" s="115"/>
      <c r="E176" s="115"/>
      <c r="F176" s="116"/>
      <c r="H176" s="11">
        <v>46195</v>
      </c>
      <c r="I176" s="33" t="s">
        <v>8</v>
      </c>
      <c r="J176" s="114"/>
      <c r="K176" s="115"/>
      <c r="L176" s="115"/>
      <c r="M176" s="116"/>
      <c r="O176" s="11">
        <v>46195</v>
      </c>
      <c r="P176" s="33" t="s">
        <v>8</v>
      </c>
      <c r="Q176" s="114"/>
      <c r="R176" s="115"/>
      <c r="S176" s="115"/>
      <c r="T176" s="116"/>
      <c r="V176" s="11">
        <v>46194</v>
      </c>
      <c r="W176" s="33" t="s">
        <v>7</v>
      </c>
      <c r="X176" s="114"/>
      <c r="Y176" s="115"/>
      <c r="Z176" s="115"/>
      <c r="AA176" s="116"/>
      <c r="AC176" s="11">
        <v>46195</v>
      </c>
      <c r="AD176" s="33" t="s">
        <v>8</v>
      </c>
      <c r="AE176" s="114"/>
      <c r="AF176" s="115"/>
      <c r="AG176" s="115"/>
      <c r="AH176" s="116"/>
      <c r="AJ176" s="11">
        <v>46195</v>
      </c>
      <c r="AK176" s="33" t="s">
        <v>8</v>
      </c>
      <c r="AL176" s="114"/>
      <c r="AM176" s="115"/>
      <c r="AN176" s="115"/>
      <c r="AO176" s="116"/>
      <c r="AQ176" s="11">
        <v>46195</v>
      </c>
      <c r="AR176" s="33" t="s">
        <v>8</v>
      </c>
      <c r="AS176" s="114"/>
      <c r="AT176" s="115"/>
      <c r="AU176" s="115"/>
      <c r="AV176" s="116"/>
      <c r="AX176" s="11">
        <v>46194</v>
      </c>
      <c r="AY176" s="33" t="s">
        <v>7</v>
      </c>
      <c r="AZ176" s="114"/>
      <c r="BA176" s="115"/>
      <c r="BB176" s="115"/>
      <c r="BC176" s="116"/>
      <c r="BE176" s="11">
        <v>46195</v>
      </c>
      <c r="BF176" s="33" t="s">
        <v>8</v>
      </c>
      <c r="BG176" s="33"/>
      <c r="BH176" s="19"/>
      <c r="BI176" s="19"/>
      <c r="BJ176" s="20"/>
      <c r="BL176" s="11">
        <v>46195</v>
      </c>
      <c r="BM176" s="33" t="s">
        <v>8</v>
      </c>
      <c r="BN176" s="114"/>
      <c r="BO176" s="115"/>
      <c r="BP176" s="115"/>
      <c r="BQ176" s="116"/>
      <c r="BS176" s="11">
        <v>46195</v>
      </c>
      <c r="BT176" s="33" t="s">
        <v>8</v>
      </c>
      <c r="BU176" s="114"/>
      <c r="BV176" s="115"/>
      <c r="BW176" s="115"/>
      <c r="BX176" s="116"/>
      <c r="BZ176" s="11">
        <v>46194</v>
      </c>
      <c r="CA176" s="33" t="s">
        <v>7</v>
      </c>
      <c r="CB176" s="114"/>
      <c r="CC176" s="115"/>
      <c r="CD176" s="115"/>
      <c r="CE176" s="116"/>
      <c r="CG176" s="11">
        <v>46195</v>
      </c>
      <c r="CH176" s="33" t="s">
        <v>8</v>
      </c>
      <c r="CI176" s="114"/>
      <c r="CJ176" s="115"/>
      <c r="CK176" s="115"/>
      <c r="CL176" s="116"/>
      <c r="CN176" s="11">
        <v>46195</v>
      </c>
      <c r="CO176" s="33" t="s">
        <v>8</v>
      </c>
      <c r="CP176" s="114"/>
      <c r="CQ176" s="115"/>
      <c r="CR176" s="115"/>
      <c r="CS176" s="116"/>
      <c r="CU176" s="11">
        <v>46195</v>
      </c>
      <c r="CV176" s="33" t="s">
        <v>8</v>
      </c>
      <c r="CW176" s="114"/>
      <c r="CX176" s="115"/>
      <c r="CY176" s="115"/>
      <c r="CZ176" s="116"/>
      <c r="DB176" s="11">
        <v>46193</v>
      </c>
      <c r="DC176" s="33" t="s">
        <v>6</v>
      </c>
      <c r="DD176" s="114"/>
      <c r="DE176" s="115"/>
      <c r="DF176" s="115"/>
      <c r="DG176" s="116"/>
      <c r="DI176" s="11">
        <v>46195</v>
      </c>
      <c r="DJ176" s="33" t="s">
        <v>8</v>
      </c>
      <c r="DK176" s="114"/>
      <c r="DL176" s="115"/>
      <c r="DM176" s="115"/>
      <c r="DN176" s="116"/>
      <c r="DP176" s="11">
        <v>46193</v>
      </c>
      <c r="DQ176" s="33" t="s">
        <v>6</v>
      </c>
      <c r="DR176" s="114"/>
      <c r="DS176" s="115"/>
      <c r="DT176" s="115"/>
      <c r="DU176" s="116"/>
      <c r="DW176" s="11">
        <v>46195</v>
      </c>
      <c r="DX176" s="33" t="s">
        <v>8</v>
      </c>
      <c r="DY176" s="114"/>
      <c r="DZ176" s="115"/>
      <c r="EA176" s="115"/>
      <c r="EB176" s="116"/>
    </row>
    <row r="177" spans="1:132" x14ac:dyDescent="0.25">
      <c r="A177" s="11">
        <v>46196</v>
      </c>
      <c r="B177" s="33" t="s">
        <v>9</v>
      </c>
      <c r="C177" s="114"/>
      <c r="D177" s="115"/>
      <c r="E177" s="115"/>
      <c r="F177" s="116"/>
      <c r="H177" s="11">
        <v>46196</v>
      </c>
      <c r="I177" s="33" t="s">
        <v>9</v>
      </c>
      <c r="J177" s="114"/>
      <c r="K177" s="115"/>
      <c r="L177" s="115"/>
      <c r="M177" s="116"/>
      <c r="O177" s="11">
        <v>46196</v>
      </c>
      <c r="P177" s="33" t="s">
        <v>9</v>
      </c>
      <c r="Q177" s="114"/>
      <c r="R177" s="115"/>
      <c r="S177" s="115"/>
      <c r="T177" s="116"/>
      <c r="V177" s="11">
        <v>46195</v>
      </c>
      <c r="W177" s="33" t="s">
        <v>8</v>
      </c>
      <c r="X177" s="114"/>
      <c r="Y177" s="115"/>
      <c r="Z177" s="115"/>
      <c r="AA177" s="116"/>
      <c r="AC177" s="11">
        <v>46196</v>
      </c>
      <c r="AD177" s="33" t="s">
        <v>9</v>
      </c>
      <c r="AE177" s="114"/>
      <c r="AF177" s="115"/>
      <c r="AG177" s="115"/>
      <c r="AH177" s="116"/>
      <c r="AJ177" s="11">
        <v>46196</v>
      </c>
      <c r="AK177" s="33" t="s">
        <v>9</v>
      </c>
      <c r="AL177" s="114"/>
      <c r="AM177" s="115"/>
      <c r="AN177" s="115"/>
      <c r="AO177" s="116"/>
      <c r="AQ177" s="11">
        <v>46196</v>
      </c>
      <c r="AR177" s="33" t="s">
        <v>9</v>
      </c>
      <c r="AS177" s="114"/>
      <c r="AT177" s="115"/>
      <c r="AU177" s="115"/>
      <c r="AV177" s="116"/>
      <c r="AX177" s="11">
        <v>46195</v>
      </c>
      <c r="AY177" s="33" t="s">
        <v>8</v>
      </c>
      <c r="AZ177" s="114"/>
      <c r="BA177" s="115"/>
      <c r="BB177" s="115"/>
      <c r="BC177" s="116"/>
      <c r="BE177" s="11">
        <v>46196</v>
      </c>
      <c r="BF177" s="33" t="s">
        <v>9</v>
      </c>
      <c r="BG177" s="33"/>
      <c r="BH177" s="19"/>
      <c r="BI177" s="19"/>
      <c r="BJ177" s="20"/>
      <c r="BL177" s="11">
        <v>46196</v>
      </c>
      <c r="BM177" s="33" t="s">
        <v>9</v>
      </c>
      <c r="BN177" s="114"/>
      <c r="BO177" s="115"/>
      <c r="BP177" s="115"/>
      <c r="BQ177" s="116"/>
      <c r="BS177" s="11">
        <v>46196</v>
      </c>
      <c r="BT177" s="33" t="s">
        <v>9</v>
      </c>
      <c r="BU177" s="114"/>
      <c r="BV177" s="115"/>
      <c r="BW177" s="115"/>
      <c r="BX177" s="116"/>
      <c r="BZ177" s="11">
        <v>46195</v>
      </c>
      <c r="CA177" s="33" t="s">
        <v>8</v>
      </c>
      <c r="CB177" s="114"/>
      <c r="CC177" s="115"/>
      <c r="CD177" s="115"/>
      <c r="CE177" s="116"/>
      <c r="CG177" s="11">
        <v>46196</v>
      </c>
      <c r="CH177" s="33" t="s">
        <v>9</v>
      </c>
      <c r="CI177" s="114"/>
      <c r="CJ177" s="115"/>
      <c r="CK177" s="115"/>
      <c r="CL177" s="116"/>
      <c r="CN177" s="11">
        <v>46196</v>
      </c>
      <c r="CO177" s="33" t="s">
        <v>9</v>
      </c>
      <c r="CP177" s="114"/>
      <c r="CQ177" s="115"/>
      <c r="CR177" s="115"/>
      <c r="CS177" s="116"/>
      <c r="CU177" s="11">
        <v>46196</v>
      </c>
      <c r="CV177" s="33" t="s">
        <v>9</v>
      </c>
      <c r="CW177" s="114"/>
      <c r="CX177" s="115"/>
      <c r="CY177" s="115"/>
      <c r="CZ177" s="116"/>
      <c r="DB177" s="11">
        <v>46194</v>
      </c>
      <c r="DC177" s="33" t="s">
        <v>7</v>
      </c>
      <c r="DD177" s="114"/>
      <c r="DE177" s="115"/>
      <c r="DF177" s="115"/>
      <c r="DG177" s="116"/>
      <c r="DI177" s="11">
        <v>46196</v>
      </c>
      <c r="DJ177" s="33" t="s">
        <v>9</v>
      </c>
      <c r="DK177" s="114"/>
      <c r="DL177" s="115"/>
      <c r="DM177" s="115"/>
      <c r="DN177" s="116"/>
      <c r="DP177" s="11">
        <v>46194</v>
      </c>
      <c r="DQ177" s="33" t="s">
        <v>7</v>
      </c>
      <c r="DR177" s="114"/>
      <c r="DS177" s="115"/>
      <c r="DT177" s="115"/>
      <c r="DU177" s="116"/>
      <c r="DW177" s="11">
        <v>46196</v>
      </c>
      <c r="DX177" s="33" t="s">
        <v>9</v>
      </c>
      <c r="DY177" s="114"/>
      <c r="DZ177" s="115"/>
      <c r="EA177" s="115"/>
      <c r="EB177" s="116"/>
    </row>
    <row r="178" spans="1:132" x14ac:dyDescent="0.25">
      <c r="A178" s="11">
        <v>46197</v>
      </c>
      <c r="B178" s="33" t="s">
        <v>3</v>
      </c>
      <c r="C178" s="114"/>
      <c r="D178" s="115"/>
      <c r="E178" s="115"/>
      <c r="F178" s="116"/>
      <c r="H178" s="11">
        <v>46197</v>
      </c>
      <c r="I178" s="33" t="s">
        <v>3</v>
      </c>
      <c r="J178" s="114"/>
      <c r="K178" s="115"/>
      <c r="L178" s="115"/>
      <c r="M178" s="116"/>
      <c r="O178" s="11">
        <v>46197</v>
      </c>
      <c r="P178" s="33" t="s">
        <v>3</v>
      </c>
      <c r="Q178" s="114"/>
      <c r="R178" s="115"/>
      <c r="S178" s="115"/>
      <c r="T178" s="116"/>
      <c r="V178" s="11">
        <v>46196</v>
      </c>
      <c r="W178" s="33" t="s">
        <v>9</v>
      </c>
      <c r="X178" s="114"/>
      <c r="Y178" s="115"/>
      <c r="Z178" s="115"/>
      <c r="AA178" s="116"/>
      <c r="AC178" s="11">
        <v>46197</v>
      </c>
      <c r="AD178" s="33" t="s">
        <v>3</v>
      </c>
      <c r="AE178" s="114"/>
      <c r="AF178" s="115"/>
      <c r="AG178" s="115"/>
      <c r="AH178" s="116"/>
      <c r="AJ178" s="11">
        <v>46197</v>
      </c>
      <c r="AK178" s="33" t="s">
        <v>3</v>
      </c>
      <c r="AL178" s="114"/>
      <c r="AM178" s="115"/>
      <c r="AN178" s="115"/>
      <c r="AO178" s="116"/>
      <c r="AQ178" s="11">
        <v>46197</v>
      </c>
      <c r="AR178" s="33" t="s">
        <v>3</v>
      </c>
      <c r="AS178" s="114"/>
      <c r="AT178" s="115"/>
      <c r="AU178" s="115"/>
      <c r="AV178" s="116"/>
      <c r="AX178" s="11">
        <v>46196</v>
      </c>
      <c r="AY178" s="33" t="s">
        <v>9</v>
      </c>
      <c r="AZ178" s="114"/>
      <c r="BA178" s="115"/>
      <c r="BB178" s="115"/>
      <c r="BC178" s="116"/>
      <c r="BE178" s="11">
        <v>46197</v>
      </c>
      <c r="BF178" s="33" t="s">
        <v>3</v>
      </c>
      <c r="BG178" s="33"/>
      <c r="BH178" s="19"/>
      <c r="BI178" s="19"/>
      <c r="BJ178" s="20"/>
      <c r="BL178" s="11">
        <v>46197</v>
      </c>
      <c r="BM178" s="33" t="s">
        <v>3</v>
      </c>
      <c r="BN178" s="114"/>
      <c r="BO178" s="115"/>
      <c r="BP178" s="115"/>
      <c r="BQ178" s="116"/>
      <c r="BS178" s="11">
        <v>46197</v>
      </c>
      <c r="BT178" s="33" t="s">
        <v>3</v>
      </c>
      <c r="BU178" s="114"/>
      <c r="BV178" s="115"/>
      <c r="BW178" s="115"/>
      <c r="BX178" s="116"/>
      <c r="BZ178" s="11">
        <v>46196</v>
      </c>
      <c r="CA178" s="33" t="s">
        <v>9</v>
      </c>
      <c r="CB178" s="114"/>
      <c r="CC178" s="115"/>
      <c r="CD178" s="115"/>
      <c r="CE178" s="116"/>
      <c r="CG178" s="11">
        <v>46197</v>
      </c>
      <c r="CH178" s="33" t="s">
        <v>3</v>
      </c>
      <c r="CI178" s="114"/>
      <c r="CJ178" s="115"/>
      <c r="CK178" s="115"/>
      <c r="CL178" s="116"/>
      <c r="CN178" s="11">
        <v>46197</v>
      </c>
      <c r="CO178" s="33" t="s">
        <v>3</v>
      </c>
      <c r="CP178" s="114"/>
      <c r="CQ178" s="115"/>
      <c r="CR178" s="115"/>
      <c r="CS178" s="116"/>
      <c r="CU178" s="11">
        <v>46197</v>
      </c>
      <c r="CV178" s="33" t="s">
        <v>3</v>
      </c>
      <c r="CW178" s="114"/>
      <c r="CX178" s="115"/>
      <c r="CY178" s="115"/>
      <c r="CZ178" s="116"/>
      <c r="DB178" s="11">
        <v>46195</v>
      </c>
      <c r="DC178" s="33" t="s">
        <v>8</v>
      </c>
      <c r="DD178" s="114"/>
      <c r="DE178" s="115"/>
      <c r="DF178" s="115"/>
      <c r="DG178" s="116"/>
      <c r="DI178" s="11">
        <v>46197</v>
      </c>
      <c r="DJ178" s="33" t="s">
        <v>3</v>
      </c>
      <c r="DK178" s="114"/>
      <c r="DL178" s="115"/>
      <c r="DM178" s="115"/>
      <c r="DN178" s="116"/>
      <c r="DP178" s="11">
        <v>46195</v>
      </c>
      <c r="DQ178" s="33" t="s">
        <v>8</v>
      </c>
      <c r="DR178" s="114"/>
      <c r="DS178" s="115"/>
      <c r="DT178" s="115"/>
      <c r="DU178" s="116"/>
      <c r="DW178" s="11">
        <v>46197</v>
      </c>
      <c r="DX178" s="33" t="s">
        <v>3</v>
      </c>
      <c r="DY178" s="114"/>
      <c r="DZ178" s="115"/>
      <c r="EA178" s="115"/>
      <c r="EB178" s="116"/>
    </row>
    <row r="179" spans="1:132" x14ac:dyDescent="0.25">
      <c r="A179" s="11">
        <v>46198</v>
      </c>
      <c r="B179" s="33" t="s">
        <v>4</v>
      </c>
      <c r="C179" s="114"/>
      <c r="D179" s="115"/>
      <c r="E179" s="115"/>
      <c r="F179" s="116"/>
      <c r="H179" s="11">
        <v>46198</v>
      </c>
      <c r="I179" s="33" t="s">
        <v>4</v>
      </c>
      <c r="J179" s="114"/>
      <c r="K179" s="115"/>
      <c r="L179" s="115"/>
      <c r="M179" s="116"/>
      <c r="O179" s="11">
        <v>46198</v>
      </c>
      <c r="P179" s="33" t="s">
        <v>4</v>
      </c>
      <c r="Q179" s="114"/>
      <c r="R179" s="115"/>
      <c r="S179" s="115"/>
      <c r="T179" s="116"/>
      <c r="V179" s="11">
        <v>46197</v>
      </c>
      <c r="W179" s="33" t="s">
        <v>3</v>
      </c>
      <c r="X179" s="114"/>
      <c r="Y179" s="115"/>
      <c r="Z179" s="115"/>
      <c r="AA179" s="116"/>
      <c r="AC179" s="11">
        <v>46198</v>
      </c>
      <c r="AD179" s="33" t="s">
        <v>4</v>
      </c>
      <c r="AE179" s="114"/>
      <c r="AF179" s="115"/>
      <c r="AG179" s="115"/>
      <c r="AH179" s="116"/>
      <c r="AJ179" s="11">
        <v>46198</v>
      </c>
      <c r="AK179" s="33" t="s">
        <v>4</v>
      </c>
      <c r="AL179" s="114"/>
      <c r="AM179" s="115"/>
      <c r="AN179" s="115"/>
      <c r="AO179" s="116"/>
      <c r="AQ179" s="11">
        <v>46198</v>
      </c>
      <c r="AR179" s="33" t="s">
        <v>4</v>
      </c>
      <c r="AS179" s="114"/>
      <c r="AT179" s="115"/>
      <c r="AU179" s="115"/>
      <c r="AV179" s="116"/>
      <c r="AX179" s="11">
        <v>46197</v>
      </c>
      <c r="AY179" s="33" t="s">
        <v>3</v>
      </c>
      <c r="AZ179" s="114"/>
      <c r="BA179" s="115"/>
      <c r="BB179" s="115"/>
      <c r="BC179" s="116"/>
      <c r="BE179" s="11">
        <v>46198</v>
      </c>
      <c r="BF179" s="33" t="s">
        <v>4</v>
      </c>
      <c r="BG179" s="33"/>
      <c r="BH179" s="19"/>
      <c r="BI179" s="19"/>
      <c r="BJ179" s="20"/>
      <c r="BL179" s="11">
        <v>46198</v>
      </c>
      <c r="BM179" s="33" t="s">
        <v>4</v>
      </c>
      <c r="BN179" s="114"/>
      <c r="BO179" s="115"/>
      <c r="BP179" s="115"/>
      <c r="BQ179" s="116"/>
      <c r="BS179" s="11">
        <v>46198</v>
      </c>
      <c r="BT179" s="33" t="s">
        <v>4</v>
      </c>
      <c r="BU179" s="114"/>
      <c r="BV179" s="115"/>
      <c r="BW179" s="115"/>
      <c r="BX179" s="116"/>
      <c r="BZ179" s="11">
        <v>46197</v>
      </c>
      <c r="CA179" s="33" t="s">
        <v>3</v>
      </c>
      <c r="CB179" s="114"/>
      <c r="CC179" s="115"/>
      <c r="CD179" s="115"/>
      <c r="CE179" s="116"/>
      <c r="CG179" s="11">
        <v>46198</v>
      </c>
      <c r="CH179" s="33" t="s">
        <v>4</v>
      </c>
      <c r="CI179" s="114"/>
      <c r="CJ179" s="115"/>
      <c r="CK179" s="115"/>
      <c r="CL179" s="116"/>
      <c r="CN179" s="11">
        <v>46198</v>
      </c>
      <c r="CO179" s="33" t="s">
        <v>4</v>
      </c>
      <c r="CP179" s="114"/>
      <c r="CQ179" s="115"/>
      <c r="CR179" s="115"/>
      <c r="CS179" s="116"/>
      <c r="CU179" s="11">
        <v>46198</v>
      </c>
      <c r="CV179" s="33" t="s">
        <v>4</v>
      </c>
      <c r="CW179" s="114"/>
      <c r="CX179" s="115"/>
      <c r="CY179" s="115"/>
      <c r="CZ179" s="116"/>
      <c r="DB179" s="11">
        <v>46196</v>
      </c>
      <c r="DC179" s="33" t="s">
        <v>9</v>
      </c>
      <c r="DD179" s="114"/>
      <c r="DE179" s="115"/>
      <c r="DF179" s="115"/>
      <c r="DG179" s="116"/>
      <c r="DI179" s="11">
        <v>46198</v>
      </c>
      <c r="DJ179" s="33" t="s">
        <v>4</v>
      </c>
      <c r="DK179" s="114"/>
      <c r="DL179" s="115"/>
      <c r="DM179" s="115"/>
      <c r="DN179" s="116"/>
      <c r="DP179" s="11">
        <v>46196</v>
      </c>
      <c r="DQ179" s="33" t="s">
        <v>9</v>
      </c>
      <c r="DR179" s="114"/>
      <c r="DS179" s="115"/>
      <c r="DT179" s="115"/>
      <c r="DU179" s="116"/>
      <c r="DW179" s="11">
        <v>46198</v>
      </c>
      <c r="DX179" s="33" t="s">
        <v>4</v>
      </c>
      <c r="DY179" s="114"/>
      <c r="DZ179" s="115"/>
      <c r="EA179" s="115"/>
      <c r="EB179" s="116"/>
    </row>
    <row r="180" spans="1:132" x14ac:dyDescent="0.25">
      <c r="A180" s="11">
        <v>46199</v>
      </c>
      <c r="B180" s="33" t="s">
        <v>5</v>
      </c>
      <c r="C180" s="114"/>
      <c r="D180" s="115"/>
      <c r="E180" s="115"/>
      <c r="F180" s="116"/>
      <c r="H180" s="11">
        <v>46199</v>
      </c>
      <c r="I180" s="33" t="s">
        <v>5</v>
      </c>
      <c r="J180" s="114"/>
      <c r="K180" s="115"/>
      <c r="L180" s="115"/>
      <c r="M180" s="116"/>
      <c r="O180" s="11">
        <v>46199</v>
      </c>
      <c r="P180" s="33" t="s">
        <v>5</v>
      </c>
      <c r="Q180" s="114"/>
      <c r="R180" s="115"/>
      <c r="S180" s="115"/>
      <c r="T180" s="116"/>
      <c r="V180" s="11">
        <v>46198</v>
      </c>
      <c r="W180" s="33" t="s">
        <v>4</v>
      </c>
      <c r="X180" s="114"/>
      <c r="Y180" s="115"/>
      <c r="Z180" s="115"/>
      <c r="AA180" s="116"/>
      <c r="AC180" s="11">
        <v>46199</v>
      </c>
      <c r="AD180" s="33" t="s">
        <v>5</v>
      </c>
      <c r="AE180" s="114"/>
      <c r="AF180" s="115"/>
      <c r="AG180" s="115"/>
      <c r="AH180" s="116"/>
      <c r="AJ180" s="11">
        <v>46199</v>
      </c>
      <c r="AK180" s="33" t="s">
        <v>5</v>
      </c>
      <c r="AL180" s="114"/>
      <c r="AM180" s="115"/>
      <c r="AN180" s="115"/>
      <c r="AO180" s="116"/>
      <c r="AQ180" s="11">
        <v>46199</v>
      </c>
      <c r="AR180" s="33" t="s">
        <v>5</v>
      </c>
      <c r="AS180" s="114"/>
      <c r="AT180" s="115"/>
      <c r="AU180" s="115"/>
      <c r="AV180" s="116"/>
      <c r="AX180" s="11">
        <v>46198</v>
      </c>
      <c r="AY180" s="33" t="s">
        <v>4</v>
      </c>
      <c r="AZ180" s="114"/>
      <c r="BA180" s="115"/>
      <c r="BB180" s="115"/>
      <c r="BC180" s="116"/>
      <c r="BE180" s="11">
        <v>46199</v>
      </c>
      <c r="BF180" s="33" t="s">
        <v>5</v>
      </c>
      <c r="BG180" s="33"/>
      <c r="BH180" s="19"/>
      <c r="BI180" s="19"/>
      <c r="BJ180" s="20"/>
      <c r="BL180" s="11">
        <v>46199</v>
      </c>
      <c r="BM180" s="33" t="s">
        <v>5</v>
      </c>
      <c r="BN180" s="114"/>
      <c r="BO180" s="115"/>
      <c r="BP180" s="115"/>
      <c r="BQ180" s="116"/>
      <c r="BS180" s="11">
        <v>46199</v>
      </c>
      <c r="BT180" s="33" t="s">
        <v>5</v>
      </c>
      <c r="BU180" s="114"/>
      <c r="BV180" s="115"/>
      <c r="BW180" s="115"/>
      <c r="BX180" s="116"/>
      <c r="BZ180" s="11">
        <v>46198</v>
      </c>
      <c r="CA180" s="33" t="s">
        <v>4</v>
      </c>
      <c r="CB180" s="114"/>
      <c r="CC180" s="115"/>
      <c r="CD180" s="115"/>
      <c r="CE180" s="116"/>
      <c r="CG180" s="11">
        <v>46199</v>
      </c>
      <c r="CH180" s="33" t="s">
        <v>5</v>
      </c>
      <c r="CI180" s="114"/>
      <c r="CJ180" s="115"/>
      <c r="CK180" s="115"/>
      <c r="CL180" s="116"/>
      <c r="CN180" s="11">
        <v>46199</v>
      </c>
      <c r="CO180" s="33" t="s">
        <v>5</v>
      </c>
      <c r="CP180" s="114"/>
      <c r="CQ180" s="115"/>
      <c r="CR180" s="115"/>
      <c r="CS180" s="116"/>
      <c r="CU180" s="11">
        <v>46199</v>
      </c>
      <c r="CV180" s="33" t="s">
        <v>5</v>
      </c>
      <c r="CW180" s="114"/>
      <c r="CX180" s="115"/>
      <c r="CY180" s="115"/>
      <c r="CZ180" s="116"/>
      <c r="DB180" s="11">
        <v>46197</v>
      </c>
      <c r="DC180" s="33" t="s">
        <v>3</v>
      </c>
      <c r="DD180" s="114"/>
      <c r="DE180" s="115"/>
      <c r="DF180" s="115"/>
      <c r="DG180" s="116"/>
      <c r="DI180" s="11">
        <v>46199</v>
      </c>
      <c r="DJ180" s="33" t="s">
        <v>5</v>
      </c>
      <c r="DK180" s="114"/>
      <c r="DL180" s="115"/>
      <c r="DM180" s="115"/>
      <c r="DN180" s="116"/>
      <c r="DP180" s="11">
        <v>46197</v>
      </c>
      <c r="DQ180" s="33" t="s">
        <v>3</v>
      </c>
      <c r="DR180" s="114"/>
      <c r="DS180" s="115"/>
      <c r="DT180" s="115"/>
      <c r="DU180" s="116"/>
      <c r="DW180" s="11">
        <v>46199</v>
      </c>
      <c r="DX180" s="33" t="s">
        <v>5</v>
      </c>
      <c r="DY180" s="114"/>
      <c r="DZ180" s="115"/>
      <c r="EA180" s="115"/>
      <c r="EB180" s="116"/>
    </row>
    <row r="181" spans="1:132" x14ac:dyDescent="0.25">
      <c r="A181" s="11">
        <v>46200</v>
      </c>
      <c r="B181" s="33" t="s">
        <v>6</v>
      </c>
      <c r="C181" s="114"/>
      <c r="D181" s="115"/>
      <c r="E181" s="115"/>
      <c r="F181" s="116"/>
      <c r="H181" s="11">
        <v>46200</v>
      </c>
      <c r="I181" s="33" t="s">
        <v>6</v>
      </c>
      <c r="J181" s="114"/>
      <c r="K181" s="115"/>
      <c r="L181" s="115"/>
      <c r="M181" s="116"/>
      <c r="O181" s="11">
        <v>46200</v>
      </c>
      <c r="P181" s="33" t="s">
        <v>6</v>
      </c>
      <c r="Q181" s="114"/>
      <c r="R181" s="115"/>
      <c r="S181" s="115"/>
      <c r="T181" s="116"/>
      <c r="V181" s="11">
        <v>46199</v>
      </c>
      <c r="W181" s="33" t="s">
        <v>5</v>
      </c>
      <c r="X181" s="114"/>
      <c r="Y181" s="115"/>
      <c r="Z181" s="115"/>
      <c r="AA181" s="116"/>
      <c r="AC181" s="11">
        <v>46200</v>
      </c>
      <c r="AD181" s="33" t="s">
        <v>6</v>
      </c>
      <c r="AE181" s="114"/>
      <c r="AF181" s="115"/>
      <c r="AG181" s="115"/>
      <c r="AH181" s="116"/>
      <c r="AJ181" s="11">
        <v>46200</v>
      </c>
      <c r="AK181" s="33" t="s">
        <v>6</v>
      </c>
      <c r="AL181" s="114"/>
      <c r="AM181" s="115"/>
      <c r="AN181" s="115"/>
      <c r="AO181" s="116"/>
      <c r="AQ181" s="11">
        <v>46200</v>
      </c>
      <c r="AR181" s="33" t="s">
        <v>6</v>
      </c>
      <c r="AS181" s="114"/>
      <c r="AT181" s="115"/>
      <c r="AU181" s="115"/>
      <c r="AV181" s="116"/>
      <c r="AX181" s="11">
        <v>46199</v>
      </c>
      <c r="AY181" s="33" t="s">
        <v>5</v>
      </c>
      <c r="AZ181" s="114"/>
      <c r="BA181" s="115"/>
      <c r="BB181" s="115"/>
      <c r="BC181" s="116"/>
      <c r="BE181" s="11">
        <v>46200</v>
      </c>
      <c r="BF181" s="33" t="s">
        <v>6</v>
      </c>
      <c r="BG181" s="33"/>
      <c r="BH181" s="19"/>
      <c r="BI181" s="19"/>
      <c r="BJ181" s="20"/>
      <c r="BL181" s="11">
        <v>46200</v>
      </c>
      <c r="BM181" s="33" t="s">
        <v>6</v>
      </c>
      <c r="BN181" s="114"/>
      <c r="BO181" s="115"/>
      <c r="BP181" s="115"/>
      <c r="BQ181" s="116"/>
      <c r="BS181" s="11">
        <v>46200</v>
      </c>
      <c r="BT181" s="33" t="s">
        <v>6</v>
      </c>
      <c r="BU181" s="114"/>
      <c r="BV181" s="115"/>
      <c r="BW181" s="115"/>
      <c r="BX181" s="116"/>
      <c r="BZ181" s="11">
        <v>46199</v>
      </c>
      <c r="CA181" s="33" t="s">
        <v>5</v>
      </c>
      <c r="CB181" s="114"/>
      <c r="CC181" s="115"/>
      <c r="CD181" s="115"/>
      <c r="CE181" s="116"/>
      <c r="CG181" s="11">
        <v>46200</v>
      </c>
      <c r="CH181" s="33" t="s">
        <v>6</v>
      </c>
      <c r="CI181" s="114"/>
      <c r="CJ181" s="115"/>
      <c r="CK181" s="115"/>
      <c r="CL181" s="116"/>
      <c r="CN181" s="11">
        <v>46200</v>
      </c>
      <c r="CO181" s="33" t="s">
        <v>6</v>
      </c>
      <c r="CP181" s="114"/>
      <c r="CQ181" s="115"/>
      <c r="CR181" s="115"/>
      <c r="CS181" s="116"/>
      <c r="CU181" s="11">
        <v>46200</v>
      </c>
      <c r="CV181" s="33" t="s">
        <v>6</v>
      </c>
      <c r="CW181" s="114"/>
      <c r="CX181" s="115"/>
      <c r="CY181" s="115"/>
      <c r="CZ181" s="116"/>
      <c r="DB181" s="11">
        <v>46198</v>
      </c>
      <c r="DC181" s="33" t="s">
        <v>4</v>
      </c>
      <c r="DD181" s="114"/>
      <c r="DE181" s="115"/>
      <c r="DF181" s="115"/>
      <c r="DG181" s="116"/>
      <c r="DI181" s="11">
        <v>46200</v>
      </c>
      <c r="DJ181" s="33" t="s">
        <v>6</v>
      </c>
      <c r="DK181" s="114"/>
      <c r="DL181" s="115"/>
      <c r="DM181" s="115"/>
      <c r="DN181" s="116"/>
      <c r="DP181" s="11">
        <v>46198</v>
      </c>
      <c r="DQ181" s="33" t="s">
        <v>4</v>
      </c>
      <c r="DR181" s="114"/>
      <c r="DS181" s="115"/>
      <c r="DT181" s="115"/>
      <c r="DU181" s="116"/>
      <c r="DW181" s="11">
        <v>46200</v>
      </c>
      <c r="DX181" s="33" t="s">
        <v>6</v>
      </c>
      <c r="DY181" s="114"/>
      <c r="DZ181" s="115"/>
      <c r="EA181" s="115"/>
      <c r="EB181" s="116"/>
    </row>
    <row r="182" spans="1:132" x14ac:dyDescent="0.25">
      <c r="A182" s="11">
        <v>46201</v>
      </c>
      <c r="B182" s="33" t="s">
        <v>7</v>
      </c>
      <c r="C182" s="114"/>
      <c r="D182" s="115"/>
      <c r="E182" s="115"/>
      <c r="F182" s="116"/>
      <c r="H182" s="11">
        <v>46201</v>
      </c>
      <c r="I182" s="33" t="s">
        <v>7</v>
      </c>
      <c r="J182" s="114"/>
      <c r="K182" s="115"/>
      <c r="L182" s="115"/>
      <c r="M182" s="116"/>
      <c r="O182" s="11">
        <v>46201</v>
      </c>
      <c r="P182" s="33" t="s">
        <v>7</v>
      </c>
      <c r="Q182" s="114"/>
      <c r="R182" s="115"/>
      <c r="S182" s="115"/>
      <c r="T182" s="116"/>
      <c r="V182" s="11">
        <v>46200</v>
      </c>
      <c r="W182" s="33" t="s">
        <v>6</v>
      </c>
      <c r="X182" s="114"/>
      <c r="Y182" s="115"/>
      <c r="Z182" s="115"/>
      <c r="AA182" s="116"/>
      <c r="AC182" s="11">
        <v>46201</v>
      </c>
      <c r="AD182" s="33" t="s">
        <v>7</v>
      </c>
      <c r="AE182" s="114"/>
      <c r="AF182" s="115"/>
      <c r="AG182" s="115"/>
      <c r="AH182" s="116"/>
      <c r="AJ182" s="11">
        <v>46201</v>
      </c>
      <c r="AK182" s="33" t="s">
        <v>7</v>
      </c>
      <c r="AL182" s="114"/>
      <c r="AM182" s="115"/>
      <c r="AN182" s="115"/>
      <c r="AO182" s="116"/>
      <c r="AQ182" s="11">
        <v>46201</v>
      </c>
      <c r="AR182" s="33" t="s">
        <v>7</v>
      </c>
      <c r="AS182" s="114"/>
      <c r="AT182" s="115"/>
      <c r="AU182" s="115"/>
      <c r="AV182" s="116"/>
      <c r="AX182" s="11">
        <v>46200</v>
      </c>
      <c r="AY182" s="33" t="s">
        <v>6</v>
      </c>
      <c r="AZ182" s="114"/>
      <c r="BA182" s="115"/>
      <c r="BB182" s="115"/>
      <c r="BC182" s="116"/>
      <c r="BE182" s="11">
        <v>46201</v>
      </c>
      <c r="BF182" s="33" t="s">
        <v>7</v>
      </c>
      <c r="BG182" s="33"/>
      <c r="BH182" s="19"/>
      <c r="BI182" s="19"/>
      <c r="BJ182" s="20"/>
      <c r="BL182" s="11">
        <v>46201</v>
      </c>
      <c r="BM182" s="33" t="s">
        <v>7</v>
      </c>
      <c r="BN182" s="114"/>
      <c r="BO182" s="115"/>
      <c r="BP182" s="115"/>
      <c r="BQ182" s="116"/>
      <c r="BS182" s="11">
        <v>46201</v>
      </c>
      <c r="BT182" s="33" t="s">
        <v>7</v>
      </c>
      <c r="BU182" s="114"/>
      <c r="BV182" s="115"/>
      <c r="BW182" s="115"/>
      <c r="BX182" s="116"/>
      <c r="BZ182" s="11">
        <v>46200</v>
      </c>
      <c r="CA182" s="33" t="s">
        <v>6</v>
      </c>
      <c r="CB182" s="114"/>
      <c r="CC182" s="115"/>
      <c r="CD182" s="115"/>
      <c r="CE182" s="116"/>
      <c r="CG182" s="11">
        <v>46201</v>
      </c>
      <c r="CH182" s="33" t="s">
        <v>7</v>
      </c>
      <c r="CI182" s="114"/>
      <c r="CJ182" s="115"/>
      <c r="CK182" s="115"/>
      <c r="CL182" s="116"/>
      <c r="CN182" s="11">
        <v>46201</v>
      </c>
      <c r="CO182" s="33" t="s">
        <v>7</v>
      </c>
      <c r="CP182" s="114"/>
      <c r="CQ182" s="115"/>
      <c r="CR182" s="115"/>
      <c r="CS182" s="116"/>
      <c r="CU182" s="11">
        <v>46201</v>
      </c>
      <c r="CV182" s="33" t="s">
        <v>7</v>
      </c>
      <c r="CW182" s="114"/>
      <c r="CX182" s="115"/>
      <c r="CY182" s="115"/>
      <c r="CZ182" s="116"/>
      <c r="DB182" s="11">
        <v>46199</v>
      </c>
      <c r="DC182" s="33" t="s">
        <v>5</v>
      </c>
      <c r="DD182" s="114"/>
      <c r="DE182" s="115"/>
      <c r="DF182" s="115"/>
      <c r="DG182" s="116"/>
      <c r="DI182" s="11">
        <v>46201</v>
      </c>
      <c r="DJ182" s="33" t="s">
        <v>7</v>
      </c>
      <c r="DK182" s="114"/>
      <c r="DL182" s="115"/>
      <c r="DM182" s="115"/>
      <c r="DN182" s="116"/>
      <c r="DP182" s="11">
        <v>46199</v>
      </c>
      <c r="DQ182" s="33" t="s">
        <v>5</v>
      </c>
      <c r="DR182" s="114"/>
      <c r="DS182" s="115"/>
      <c r="DT182" s="115"/>
      <c r="DU182" s="116"/>
      <c r="DW182" s="11">
        <v>46201</v>
      </c>
      <c r="DX182" s="33" t="s">
        <v>7</v>
      </c>
      <c r="DY182" s="114"/>
      <c r="DZ182" s="115"/>
      <c r="EA182" s="115"/>
      <c r="EB182" s="116"/>
    </row>
    <row r="183" spans="1:132" x14ac:dyDescent="0.25">
      <c r="A183" s="11">
        <v>46202</v>
      </c>
      <c r="B183" s="33" t="s">
        <v>8</v>
      </c>
      <c r="C183" s="114"/>
      <c r="D183" s="115"/>
      <c r="E183" s="115"/>
      <c r="F183" s="116"/>
      <c r="H183" s="11">
        <v>46202</v>
      </c>
      <c r="I183" s="33" t="s">
        <v>8</v>
      </c>
      <c r="J183" s="114"/>
      <c r="K183" s="115"/>
      <c r="L183" s="115"/>
      <c r="M183" s="116"/>
      <c r="O183" s="11">
        <v>46202</v>
      </c>
      <c r="P183" s="33" t="s">
        <v>8</v>
      </c>
      <c r="Q183" s="114"/>
      <c r="R183" s="115"/>
      <c r="S183" s="115"/>
      <c r="T183" s="116"/>
      <c r="V183" s="11">
        <v>46201</v>
      </c>
      <c r="W183" s="33" t="s">
        <v>7</v>
      </c>
      <c r="X183" s="114"/>
      <c r="Y183" s="115"/>
      <c r="Z183" s="115"/>
      <c r="AA183" s="116"/>
      <c r="AC183" s="11">
        <v>46202</v>
      </c>
      <c r="AD183" s="33" t="s">
        <v>8</v>
      </c>
      <c r="AE183" s="114"/>
      <c r="AF183" s="115"/>
      <c r="AG183" s="115"/>
      <c r="AH183" s="116"/>
      <c r="AJ183" s="11">
        <v>46202</v>
      </c>
      <c r="AK183" s="33" t="s">
        <v>8</v>
      </c>
      <c r="AL183" s="114"/>
      <c r="AM183" s="115"/>
      <c r="AN183" s="115"/>
      <c r="AO183" s="116"/>
      <c r="AQ183" s="11">
        <v>46202</v>
      </c>
      <c r="AR183" s="33" t="s">
        <v>8</v>
      </c>
      <c r="AS183" s="114"/>
      <c r="AT183" s="115"/>
      <c r="AU183" s="115"/>
      <c r="AV183" s="116"/>
      <c r="AX183" s="11">
        <v>46201</v>
      </c>
      <c r="AY183" s="33" t="s">
        <v>7</v>
      </c>
      <c r="AZ183" s="114"/>
      <c r="BA183" s="115"/>
      <c r="BB183" s="115"/>
      <c r="BC183" s="116"/>
      <c r="BE183" s="11">
        <v>46202</v>
      </c>
      <c r="BF183" s="33" t="s">
        <v>8</v>
      </c>
      <c r="BG183" s="33"/>
      <c r="BH183" s="19"/>
      <c r="BI183" s="19"/>
      <c r="BJ183" s="20"/>
      <c r="BL183" s="11">
        <v>46202</v>
      </c>
      <c r="BM183" s="33" t="s">
        <v>8</v>
      </c>
      <c r="BN183" s="114"/>
      <c r="BO183" s="115"/>
      <c r="BP183" s="115"/>
      <c r="BQ183" s="116"/>
      <c r="BS183" s="11">
        <v>46202</v>
      </c>
      <c r="BT183" s="33" t="s">
        <v>8</v>
      </c>
      <c r="BU183" s="114"/>
      <c r="BV183" s="115"/>
      <c r="BW183" s="115"/>
      <c r="BX183" s="116"/>
      <c r="BZ183" s="11">
        <v>46201</v>
      </c>
      <c r="CA183" s="33" t="s">
        <v>7</v>
      </c>
      <c r="CB183" s="114"/>
      <c r="CC183" s="115"/>
      <c r="CD183" s="115"/>
      <c r="CE183" s="116"/>
      <c r="CG183" s="11">
        <v>46202</v>
      </c>
      <c r="CH183" s="33" t="s">
        <v>8</v>
      </c>
      <c r="CI183" s="114"/>
      <c r="CJ183" s="115"/>
      <c r="CK183" s="115"/>
      <c r="CL183" s="116"/>
      <c r="CN183" s="11">
        <v>46202</v>
      </c>
      <c r="CO183" s="33" t="s">
        <v>8</v>
      </c>
      <c r="CP183" s="114"/>
      <c r="CQ183" s="115"/>
      <c r="CR183" s="115"/>
      <c r="CS183" s="116"/>
      <c r="CU183" s="11">
        <v>46202</v>
      </c>
      <c r="CV183" s="33" t="s">
        <v>8</v>
      </c>
      <c r="CW183" s="114"/>
      <c r="CX183" s="115"/>
      <c r="CY183" s="115"/>
      <c r="CZ183" s="116"/>
      <c r="DB183" s="11">
        <v>46200</v>
      </c>
      <c r="DC183" s="33" t="s">
        <v>6</v>
      </c>
      <c r="DD183" s="114"/>
      <c r="DE183" s="115"/>
      <c r="DF183" s="115"/>
      <c r="DG183" s="116"/>
      <c r="DI183" s="11">
        <v>46202</v>
      </c>
      <c r="DJ183" s="33" t="s">
        <v>8</v>
      </c>
      <c r="DK183" s="114"/>
      <c r="DL183" s="115"/>
      <c r="DM183" s="115"/>
      <c r="DN183" s="116"/>
      <c r="DP183" s="11">
        <v>46200</v>
      </c>
      <c r="DQ183" s="33" t="s">
        <v>6</v>
      </c>
      <c r="DR183" s="114"/>
      <c r="DS183" s="115"/>
      <c r="DT183" s="115"/>
      <c r="DU183" s="116"/>
      <c r="DW183" s="11">
        <v>46202</v>
      </c>
      <c r="DX183" s="33" t="s">
        <v>8</v>
      </c>
      <c r="DY183" s="114"/>
      <c r="DZ183" s="115"/>
      <c r="EA183" s="115"/>
      <c r="EB183" s="116"/>
    </row>
    <row r="184" spans="1:132" x14ac:dyDescent="0.25">
      <c r="A184" s="11">
        <v>46203</v>
      </c>
      <c r="B184" s="33" t="s">
        <v>9</v>
      </c>
      <c r="C184" s="114"/>
      <c r="D184" s="115"/>
      <c r="E184" s="115"/>
      <c r="F184" s="116"/>
      <c r="H184" s="11">
        <v>46203</v>
      </c>
      <c r="I184" s="33" t="s">
        <v>9</v>
      </c>
      <c r="J184" s="114"/>
      <c r="K184" s="115"/>
      <c r="L184" s="115"/>
      <c r="M184" s="116"/>
      <c r="O184" s="11">
        <v>46203</v>
      </c>
      <c r="P184" s="33" t="s">
        <v>9</v>
      </c>
      <c r="Q184" s="114"/>
      <c r="R184" s="115"/>
      <c r="S184" s="115"/>
      <c r="T184" s="116"/>
      <c r="V184" s="11">
        <v>46202</v>
      </c>
      <c r="W184" s="33" t="s">
        <v>8</v>
      </c>
      <c r="X184" s="114"/>
      <c r="Y184" s="115"/>
      <c r="Z184" s="115"/>
      <c r="AA184" s="116"/>
      <c r="AC184" s="11">
        <v>46203</v>
      </c>
      <c r="AD184" s="33" t="s">
        <v>9</v>
      </c>
      <c r="AE184" s="114"/>
      <c r="AF184" s="115"/>
      <c r="AG184" s="115"/>
      <c r="AH184" s="116"/>
      <c r="AJ184" s="11">
        <v>46203</v>
      </c>
      <c r="AK184" s="33" t="s">
        <v>9</v>
      </c>
      <c r="AL184" s="114"/>
      <c r="AM184" s="115"/>
      <c r="AN184" s="115"/>
      <c r="AO184" s="116"/>
      <c r="AQ184" s="11">
        <v>46203</v>
      </c>
      <c r="AR184" s="33" t="s">
        <v>9</v>
      </c>
      <c r="AS184" s="114"/>
      <c r="AT184" s="115"/>
      <c r="AU184" s="115"/>
      <c r="AV184" s="116"/>
      <c r="AX184" s="11">
        <v>46202</v>
      </c>
      <c r="AY184" s="33" t="s">
        <v>8</v>
      </c>
      <c r="AZ184" s="114"/>
      <c r="BA184" s="115"/>
      <c r="BB184" s="115"/>
      <c r="BC184" s="116"/>
      <c r="BE184" s="11">
        <v>46203</v>
      </c>
      <c r="BF184" s="33" t="s">
        <v>9</v>
      </c>
      <c r="BG184" s="33"/>
      <c r="BH184" s="19"/>
      <c r="BI184" s="19"/>
      <c r="BJ184" s="20"/>
      <c r="BL184" s="11">
        <v>46203</v>
      </c>
      <c r="BM184" s="33" t="s">
        <v>9</v>
      </c>
      <c r="BN184" s="114"/>
      <c r="BO184" s="115"/>
      <c r="BP184" s="115"/>
      <c r="BQ184" s="116"/>
      <c r="BS184" s="11">
        <v>46203</v>
      </c>
      <c r="BT184" s="33" t="s">
        <v>9</v>
      </c>
      <c r="BU184" s="114"/>
      <c r="BV184" s="115"/>
      <c r="BW184" s="115"/>
      <c r="BX184" s="116"/>
      <c r="BZ184" s="11">
        <v>46202</v>
      </c>
      <c r="CA184" s="33" t="s">
        <v>8</v>
      </c>
      <c r="CB184" s="114"/>
      <c r="CC184" s="115"/>
      <c r="CD184" s="115"/>
      <c r="CE184" s="116"/>
      <c r="CG184" s="11">
        <v>46203</v>
      </c>
      <c r="CH184" s="33" t="s">
        <v>9</v>
      </c>
      <c r="CI184" s="114"/>
      <c r="CJ184" s="115"/>
      <c r="CK184" s="115"/>
      <c r="CL184" s="116"/>
      <c r="CN184" s="11">
        <v>46203</v>
      </c>
      <c r="CO184" s="33" t="s">
        <v>9</v>
      </c>
      <c r="CP184" s="114"/>
      <c r="CQ184" s="115"/>
      <c r="CR184" s="115"/>
      <c r="CS184" s="116"/>
      <c r="CU184" s="11">
        <v>46203</v>
      </c>
      <c r="CV184" s="33" t="s">
        <v>9</v>
      </c>
      <c r="CW184" s="114"/>
      <c r="CX184" s="115"/>
      <c r="CY184" s="115"/>
      <c r="CZ184" s="116"/>
      <c r="DB184" s="11">
        <v>46201</v>
      </c>
      <c r="DC184" s="33" t="s">
        <v>7</v>
      </c>
      <c r="DD184" s="114"/>
      <c r="DE184" s="115"/>
      <c r="DF184" s="115"/>
      <c r="DG184" s="116"/>
      <c r="DI184" s="11">
        <v>46203</v>
      </c>
      <c r="DJ184" s="33" t="s">
        <v>9</v>
      </c>
      <c r="DK184" s="114"/>
      <c r="DL184" s="115"/>
      <c r="DM184" s="115"/>
      <c r="DN184" s="116"/>
      <c r="DP184" s="11">
        <v>46201</v>
      </c>
      <c r="DQ184" s="33" t="s">
        <v>7</v>
      </c>
      <c r="DR184" s="114"/>
      <c r="DS184" s="115"/>
      <c r="DT184" s="115"/>
      <c r="DU184" s="116"/>
      <c r="DW184" s="11">
        <v>46203</v>
      </c>
      <c r="DX184" s="33" t="s">
        <v>9</v>
      </c>
      <c r="DY184" s="114"/>
      <c r="DZ184" s="115"/>
      <c r="EA184" s="115"/>
      <c r="EB184" s="116"/>
    </row>
    <row r="185" spans="1:132" x14ac:dyDescent="0.25">
      <c r="A185" s="11">
        <v>46204</v>
      </c>
      <c r="B185" s="33" t="s">
        <v>3</v>
      </c>
      <c r="C185" s="114"/>
      <c r="D185" s="115"/>
      <c r="E185" s="115"/>
      <c r="F185" s="116"/>
      <c r="H185" s="11">
        <v>46204</v>
      </c>
      <c r="I185" s="33" t="s">
        <v>3</v>
      </c>
      <c r="J185" s="114"/>
      <c r="K185" s="115"/>
      <c r="L185" s="115"/>
      <c r="M185" s="116"/>
      <c r="O185" s="11">
        <v>46204</v>
      </c>
      <c r="P185" s="33" t="s">
        <v>3</v>
      </c>
      <c r="Q185" s="114"/>
      <c r="R185" s="115"/>
      <c r="S185" s="115"/>
      <c r="T185" s="116"/>
      <c r="V185" s="11">
        <v>46203</v>
      </c>
      <c r="W185" s="33" t="s">
        <v>9</v>
      </c>
      <c r="X185" s="114"/>
      <c r="Y185" s="115"/>
      <c r="Z185" s="115"/>
      <c r="AA185" s="116"/>
      <c r="AC185" s="11">
        <v>46204</v>
      </c>
      <c r="AD185" s="33" t="s">
        <v>3</v>
      </c>
      <c r="AE185" s="114"/>
      <c r="AF185" s="115"/>
      <c r="AG185" s="115"/>
      <c r="AH185" s="116"/>
      <c r="AJ185" s="11">
        <v>46204</v>
      </c>
      <c r="AK185" s="33" t="s">
        <v>3</v>
      </c>
      <c r="AL185" s="114"/>
      <c r="AM185" s="115"/>
      <c r="AN185" s="115"/>
      <c r="AO185" s="116"/>
      <c r="AQ185" s="11">
        <v>46204</v>
      </c>
      <c r="AR185" s="33" t="s">
        <v>3</v>
      </c>
      <c r="AS185" s="114"/>
      <c r="AT185" s="115"/>
      <c r="AU185" s="115"/>
      <c r="AV185" s="116"/>
      <c r="AX185" s="11">
        <v>46203</v>
      </c>
      <c r="AY185" s="33" t="s">
        <v>9</v>
      </c>
      <c r="AZ185" s="114"/>
      <c r="BA185" s="115"/>
      <c r="BB185" s="115"/>
      <c r="BC185" s="116"/>
      <c r="BE185" s="11">
        <v>46204</v>
      </c>
      <c r="BF185" s="33" t="s">
        <v>3</v>
      </c>
      <c r="BG185" s="33"/>
      <c r="BH185" s="19"/>
      <c r="BI185" s="19"/>
      <c r="BJ185" s="20"/>
      <c r="BL185" s="11">
        <v>46204</v>
      </c>
      <c r="BM185" s="33" t="s">
        <v>3</v>
      </c>
      <c r="BN185" s="114"/>
      <c r="BO185" s="115"/>
      <c r="BP185" s="115"/>
      <c r="BQ185" s="116"/>
      <c r="BS185" s="11">
        <v>46204</v>
      </c>
      <c r="BT185" s="33" t="s">
        <v>3</v>
      </c>
      <c r="BU185" s="114"/>
      <c r="BV185" s="115"/>
      <c r="BW185" s="115"/>
      <c r="BX185" s="116"/>
      <c r="BZ185" s="11">
        <v>46203</v>
      </c>
      <c r="CA185" s="33" t="s">
        <v>9</v>
      </c>
      <c r="CB185" s="114"/>
      <c r="CC185" s="115"/>
      <c r="CD185" s="115"/>
      <c r="CE185" s="116"/>
      <c r="CG185" s="11">
        <v>46204</v>
      </c>
      <c r="CH185" s="33" t="s">
        <v>3</v>
      </c>
      <c r="CI185" s="114"/>
      <c r="CJ185" s="115"/>
      <c r="CK185" s="115"/>
      <c r="CL185" s="116"/>
      <c r="CN185" s="11">
        <v>46204</v>
      </c>
      <c r="CO185" s="33" t="s">
        <v>3</v>
      </c>
      <c r="CP185" s="114"/>
      <c r="CQ185" s="115"/>
      <c r="CR185" s="115"/>
      <c r="CS185" s="116"/>
      <c r="CU185" s="11">
        <v>46204</v>
      </c>
      <c r="CV185" s="33" t="s">
        <v>3</v>
      </c>
      <c r="CW185" s="114"/>
      <c r="CX185" s="115"/>
      <c r="CY185" s="115"/>
      <c r="CZ185" s="116"/>
      <c r="DB185" s="11">
        <v>46202</v>
      </c>
      <c r="DC185" s="33" t="s">
        <v>8</v>
      </c>
      <c r="DD185" s="114"/>
      <c r="DE185" s="115"/>
      <c r="DF185" s="115"/>
      <c r="DG185" s="116"/>
      <c r="DI185" s="11">
        <v>46204</v>
      </c>
      <c r="DJ185" s="33" t="s">
        <v>3</v>
      </c>
      <c r="DK185" s="114"/>
      <c r="DL185" s="115"/>
      <c r="DM185" s="115"/>
      <c r="DN185" s="116"/>
      <c r="DP185" s="11">
        <v>46202</v>
      </c>
      <c r="DQ185" s="33" t="s">
        <v>8</v>
      </c>
      <c r="DR185" s="114"/>
      <c r="DS185" s="115"/>
      <c r="DT185" s="115"/>
      <c r="DU185" s="116"/>
      <c r="DW185" s="11">
        <v>46204</v>
      </c>
      <c r="DX185" s="33" t="s">
        <v>3</v>
      </c>
      <c r="DY185" s="114"/>
      <c r="DZ185" s="115"/>
      <c r="EA185" s="115"/>
      <c r="EB185" s="116"/>
    </row>
    <row r="186" spans="1:132" x14ac:dyDescent="0.25">
      <c r="A186" s="11">
        <v>46205</v>
      </c>
      <c r="B186" s="33" t="s">
        <v>4</v>
      </c>
      <c r="C186" s="114"/>
      <c r="D186" s="115"/>
      <c r="E186" s="115"/>
      <c r="F186" s="116"/>
      <c r="H186" s="11">
        <v>46205</v>
      </c>
      <c r="I186" s="33" t="s">
        <v>4</v>
      </c>
      <c r="J186" s="114"/>
      <c r="K186" s="115"/>
      <c r="L186" s="115"/>
      <c r="M186" s="116"/>
      <c r="O186" s="11">
        <v>46205</v>
      </c>
      <c r="P186" s="33" t="s">
        <v>4</v>
      </c>
      <c r="Q186" s="114"/>
      <c r="R186" s="115"/>
      <c r="S186" s="115"/>
      <c r="T186" s="116"/>
      <c r="V186" s="11">
        <v>46204</v>
      </c>
      <c r="W186" s="33" t="s">
        <v>3</v>
      </c>
      <c r="X186" s="114"/>
      <c r="Y186" s="115"/>
      <c r="Z186" s="115"/>
      <c r="AA186" s="116"/>
      <c r="AC186" s="11">
        <v>46205</v>
      </c>
      <c r="AD186" s="33" t="s">
        <v>4</v>
      </c>
      <c r="AE186" s="114"/>
      <c r="AF186" s="115"/>
      <c r="AG186" s="115"/>
      <c r="AH186" s="116"/>
      <c r="AJ186" s="11">
        <v>46205</v>
      </c>
      <c r="AK186" s="33" t="s">
        <v>4</v>
      </c>
      <c r="AL186" s="114"/>
      <c r="AM186" s="115"/>
      <c r="AN186" s="115"/>
      <c r="AO186" s="116"/>
      <c r="AQ186" s="11">
        <v>46205</v>
      </c>
      <c r="AR186" s="33" t="s">
        <v>4</v>
      </c>
      <c r="AS186" s="114"/>
      <c r="AT186" s="115"/>
      <c r="AU186" s="115"/>
      <c r="AV186" s="116"/>
      <c r="AX186" s="11">
        <v>46204</v>
      </c>
      <c r="AY186" s="33" t="s">
        <v>3</v>
      </c>
      <c r="AZ186" s="114"/>
      <c r="BA186" s="115"/>
      <c r="BB186" s="115"/>
      <c r="BC186" s="116"/>
      <c r="BE186" s="11">
        <v>46205</v>
      </c>
      <c r="BF186" s="33" t="s">
        <v>4</v>
      </c>
      <c r="BG186" s="33"/>
      <c r="BH186" s="19"/>
      <c r="BI186" s="19"/>
      <c r="BJ186" s="20"/>
      <c r="BL186" s="11">
        <v>46205</v>
      </c>
      <c r="BM186" s="33" t="s">
        <v>4</v>
      </c>
      <c r="BN186" s="114"/>
      <c r="BO186" s="115"/>
      <c r="BP186" s="115"/>
      <c r="BQ186" s="116"/>
      <c r="BS186" s="11">
        <v>46205</v>
      </c>
      <c r="BT186" s="33" t="s">
        <v>4</v>
      </c>
      <c r="BU186" s="114"/>
      <c r="BV186" s="115"/>
      <c r="BW186" s="115"/>
      <c r="BX186" s="116"/>
      <c r="BZ186" s="11">
        <v>46204</v>
      </c>
      <c r="CA186" s="33" t="s">
        <v>3</v>
      </c>
      <c r="CB186" s="114"/>
      <c r="CC186" s="115"/>
      <c r="CD186" s="115"/>
      <c r="CE186" s="116"/>
      <c r="CG186" s="11">
        <v>46205</v>
      </c>
      <c r="CH186" s="33" t="s">
        <v>4</v>
      </c>
      <c r="CI186" s="114"/>
      <c r="CJ186" s="115"/>
      <c r="CK186" s="115"/>
      <c r="CL186" s="116"/>
      <c r="CN186" s="11">
        <v>46205</v>
      </c>
      <c r="CO186" s="33" t="s">
        <v>4</v>
      </c>
      <c r="CP186" s="114"/>
      <c r="CQ186" s="115"/>
      <c r="CR186" s="115"/>
      <c r="CS186" s="116"/>
      <c r="CU186" s="11">
        <v>46205</v>
      </c>
      <c r="CV186" s="33" t="s">
        <v>4</v>
      </c>
      <c r="CW186" s="114"/>
      <c r="CX186" s="115"/>
      <c r="CY186" s="115"/>
      <c r="CZ186" s="116"/>
      <c r="DB186" s="11">
        <v>46203</v>
      </c>
      <c r="DC186" s="33" t="s">
        <v>9</v>
      </c>
      <c r="DD186" s="114"/>
      <c r="DE186" s="115"/>
      <c r="DF186" s="115"/>
      <c r="DG186" s="116"/>
      <c r="DI186" s="11">
        <v>46205</v>
      </c>
      <c r="DJ186" s="33" t="s">
        <v>4</v>
      </c>
      <c r="DK186" s="114"/>
      <c r="DL186" s="115"/>
      <c r="DM186" s="115"/>
      <c r="DN186" s="116"/>
      <c r="DP186" s="11">
        <v>46203</v>
      </c>
      <c r="DQ186" s="33" t="s">
        <v>9</v>
      </c>
      <c r="DR186" s="114"/>
      <c r="DS186" s="115"/>
      <c r="DT186" s="115"/>
      <c r="DU186" s="116"/>
      <c r="DW186" s="11">
        <v>46205</v>
      </c>
      <c r="DX186" s="33" t="s">
        <v>4</v>
      </c>
      <c r="DY186" s="114"/>
      <c r="DZ186" s="115"/>
      <c r="EA186" s="115"/>
      <c r="EB186" s="116"/>
    </row>
    <row r="187" spans="1:132" x14ac:dyDescent="0.25">
      <c r="A187" s="11">
        <v>46206</v>
      </c>
      <c r="B187" s="33" t="s">
        <v>5</v>
      </c>
      <c r="C187" s="114"/>
      <c r="D187" s="115"/>
      <c r="E187" s="115"/>
      <c r="F187" s="116"/>
      <c r="H187" s="11">
        <v>46206</v>
      </c>
      <c r="I187" s="33" t="s">
        <v>5</v>
      </c>
      <c r="J187" s="114"/>
      <c r="K187" s="115"/>
      <c r="L187" s="115"/>
      <c r="M187" s="116"/>
      <c r="O187" s="11">
        <v>46206</v>
      </c>
      <c r="P187" s="33" t="s">
        <v>5</v>
      </c>
      <c r="Q187" s="114"/>
      <c r="R187" s="115"/>
      <c r="S187" s="115"/>
      <c r="T187" s="116"/>
      <c r="V187" s="11">
        <v>46205</v>
      </c>
      <c r="W187" s="33" t="s">
        <v>4</v>
      </c>
      <c r="X187" s="114"/>
      <c r="Y187" s="115"/>
      <c r="Z187" s="115"/>
      <c r="AA187" s="116"/>
      <c r="AC187" s="11">
        <v>46206</v>
      </c>
      <c r="AD187" s="33" t="s">
        <v>5</v>
      </c>
      <c r="AE187" s="114"/>
      <c r="AF187" s="115"/>
      <c r="AG187" s="115"/>
      <c r="AH187" s="116"/>
      <c r="AJ187" s="11">
        <v>46206</v>
      </c>
      <c r="AK187" s="33" t="s">
        <v>5</v>
      </c>
      <c r="AL187" s="114"/>
      <c r="AM187" s="115"/>
      <c r="AN187" s="115"/>
      <c r="AO187" s="116"/>
      <c r="AQ187" s="11">
        <v>46206</v>
      </c>
      <c r="AR187" s="33" t="s">
        <v>5</v>
      </c>
      <c r="AS187" s="114"/>
      <c r="AT187" s="115"/>
      <c r="AU187" s="115"/>
      <c r="AV187" s="116"/>
      <c r="AX187" s="11">
        <v>46205</v>
      </c>
      <c r="AY187" s="33" t="s">
        <v>4</v>
      </c>
      <c r="AZ187" s="114"/>
      <c r="BA187" s="115"/>
      <c r="BB187" s="115"/>
      <c r="BC187" s="116"/>
      <c r="BE187" s="11">
        <v>46206</v>
      </c>
      <c r="BF187" s="33" t="s">
        <v>5</v>
      </c>
      <c r="BG187" s="33"/>
      <c r="BH187" s="19"/>
      <c r="BI187" s="19"/>
      <c r="BJ187" s="20"/>
      <c r="BL187" s="11">
        <v>46206</v>
      </c>
      <c r="BM187" s="33" t="s">
        <v>5</v>
      </c>
      <c r="BN187" s="114"/>
      <c r="BO187" s="115"/>
      <c r="BP187" s="115"/>
      <c r="BQ187" s="116"/>
      <c r="BS187" s="11">
        <v>46206</v>
      </c>
      <c r="BT187" s="33" t="s">
        <v>5</v>
      </c>
      <c r="BU187" s="114"/>
      <c r="BV187" s="115"/>
      <c r="BW187" s="115"/>
      <c r="BX187" s="116"/>
      <c r="BZ187" s="11">
        <v>46205</v>
      </c>
      <c r="CA187" s="33" t="s">
        <v>4</v>
      </c>
      <c r="CB187" s="114"/>
      <c r="CC187" s="115"/>
      <c r="CD187" s="115"/>
      <c r="CE187" s="116"/>
      <c r="CG187" s="11">
        <v>46206</v>
      </c>
      <c r="CH187" s="33" t="s">
        <v>5</v>
      </c>
      <c r="CI187" s="114"/>
      <c r="CJ187" s="115"/>
      <c r="CK187" s="115"/>
      <c r="CL187" s="116"/>
      <c r="CN187" s="11">
        <v>46206</v>
      </c>
      <c r="CO187" s="33" t="s">
        <v>5</v>
      </c>
      <c r="CP187" s="114"/>
      <c r="CQ187" s="115"/>
      <c r="CR187" s="115"/>
      <c r="CS187" s="116"/>
      <c r="CU187" s="11">
        <v>46206</v>
      </c>
      <c r="CV187" s="33" t="s">
        <v>5</v>
      </c>
      <c r="CW187" s="114"/>
      <c r="CX187" s="115"/>
      <c r="CY187" s="115"/>
      <c r="CZ187" s="116"/>
      <c r="DB187" s="11">
        <v>46204</v>
      </c>
      <c r="DC187" s="33" t="s">
        <v>3</v>
      </c>
      <c r="DD187" s="114"/>
      <c r="DE187" s="115"/>
      <c r="DF187" s="115"/>
      <c r="DG187" s="116"/>
      <c r="DI187" s="11">
        <v>46206</v>
      </c>
      <c r="DJ187" s="33" t="s">
        <v>5</v>
      </c>
      <c r="DK187" s="114"/>
      <c r="DL187" s="115"/>
      <c r="DM187" s="115"/>
      <c r="DN187" s="116"/>
      <c r="DP187" s="11">
        <v>46204</v>
      </c>
      <c r="DQ187" s="33" t="s">
        <v>3</v>
      </c>
      <c r="DR187" s="114"/>
      <c r="DS187" s="115"/>
      <c r="DT187" s="115"/>
      <c r="DU187" s="116"/>
      <c r="DW187" s="11">
        <v>46206</v>
      </c>
      <c r="DX187" s="33" t="s">
        <v>5</v>
      </c>
      <c r="DY187" s="114"/>
      <c r="DZ187" s="115"/>
      <c r="EA187" s="115"/>
      <c r="EB187" s="116"/>
    </row>
    <row r="188" spans="1:132" x14ac:dyDescent="0.25">
      <c r="A188" s="11">
        <v>46207</v>
      </c>
      <c r="B188" s="33" t="s">
        <v>6</v>
      </c>
      <c r="C188" s="114"/>
      <c r="D188" s="115"/>
      <c r="E188" s="115"/>
      <c r="F188" s="116"/>
      <c r="H188" s="11">
        <v>46207</v>
      </c>
      <c r="I188" s="33" t="s">
        <v>6</v>
      </c>
      <c r="J188" s="114"/>
      <c r="K188" s="115"/>
      <c r="L188" s="115"/>
      <c r="M188" s="116"/>
      <c r="O188" s="11">
        <v>46207</v>
      </c>
      <c r="P188" s="33" t="s">
        <v>6</v>
      </c>
      <c r="Q188" s="114"/>
      <c r="R188" s="115"/>
      <c r="S188" s="115"/>
      <c r="T188" s="116"/>
      <c r="V188" s="11">
        <v>46206</v>
      </c>
      <c r="W188" s="33" t="s">
        <v>5</v>
      </c>
      <c r="X188" s="114"/>
      <c r="Y188" s="115"/>
      <c r="Z188" s="115"/>
      <c r="AA188" s="116"/>
      <c r="AC188" s="11">
        <v>46207</v>
      </c>
      <c r="AD188" s="33" t="s">
        <v>6</v>
      </c>
      <c r="AE188" s="114"/>
      <c r="AF188" s="115"/>
      <c r="AG188" s="115"/>
      <c r="AH188" s="116"/>
      <c r="AJ188" s="11">
        <v>46207</v>
      </c>
      <c r="AK188" s="33" t="s">
        <v>6</v>
      </c>
      <c r="AL188" s="114"/>
      <c r="AM188" s="115"/>
      <c r="AN188" s="115"/>
      <c r="AO188" s="116"/>
      <c r="AQ188" s="11">
        <v>46207</v>
      </c>
      <c r="AR188" s="33" t="s">
        <v>6</v>
      </c>
      <c r="AS188" s="114"/>
      <c r="AT188" s="115"/>
      <c r="AU188" s="115"/>
      <c r="AV188" s="116"/>
      <c r="AX188" s="11">
        <v>46206</v>
      </c>
      <c r="AY188" s="33" t="s">
        <v>5</v>
      </c>
      <c r="AZ188" s="114"/>
      <c r="BA188" s="115"/>
      <c r="BB188" s="115"/>
      <c r="BC188" s="116"/>
      <c r="BE188" s="11">
        <v>46207</v>
      </c>
      <c r="BF188" s="33" t="s">
        <v>6</v>
      </c>
      <c r="BG188" s="33"/>
      <c r="BH188" s="19"/>
      <c r="BI188" s="19"/>
      <c r="BJ188" s="20"/>
      <c r="BL188" s="11">
        <v>46207</v>
      </c>
      <c r="BM188" s="33" t="s">
        <v>6</v>
      </c>
      <c r="BN188" s="114"/>
      <c r="BO188" s="115"/>
      <c r="BP188" s="115"/>
      <c r="BQ188" s="116"/>
      <c r="BS188" s="11">
        <v>46207</v>
      </c>
      <c r="BT188" s="33" t="s">
        <v>6</v>
      </c>
      <c r="BU188" s="114"/>
      <c r="BV188" s="115"/>
      <c r="BW188" s="115"/>
      <c r="BX188" s="116"/>
      <c r="BZ188" s="11">
        <v>46206</v>
      </c>
      <c r="CA188" s="33" t="s">
        <v>5</v>
      </c>
      <c r="CB188" s="114"/>
      <c r="CC188" s="115"/>
      <c r="CD188" s="115"/>
      <c r="CE188" s="116"/>
      <c r="CG188" s="11">
        <v>46207</v>
      </c>
      <c r="CH188" s="33" t="s">
        <v>6</v>
      </c>
      <c r="CI188" s="114"/>
      <c r="CJ188" s="115"/>
      <c r="CK188" s="115"/>
      <c r="CL188" s="116"/>
      <c r="CN188" s="11">
        <v>46207</v>
      </c>
      <c r="CO188" s="33" t="s">
        <v>6</v>
      </c>
      <c r="CP188" s="114"/>
      <c r="CQ188" s="115"/>
      <c r="CR188" s="115"/>
      <c r="CS188" s="116"/>
      <c r="CU188" s="11">
        <v>46207</v>
      </c>
      <c r="CV188" s="33" t="s">
        <v>6</v>
      </c>
      <c r="CW188" s="114"/>
      <c r="CX188" s="115"/>
      <c r="CY188" s="115"/>
      <c r="CZ188" s="116"/>
      <c r="DB188" s="11">
        <v>46205</v>
      </c>
      <c r="DC188" s="33" t="s">
        <v>4</v>
      </c>
      <c r="DD188" s="114"/>
      <c r="DE188" s="115"/>
      <c r="DF188" s="115"/>
      <c r="DG188" s="116"/>
      <c r="DI188" s="11">
        <v>46207</v>
      </c>
      <c r="DJ188" s="33" t="s">
        <v>6</v>
      </c>
      <c r="DK188" s="114"/>
      <c r="DL188" s="115"/>
      <c r="DM188" s="115"/>
      <c r="DN188" s="116"/>
      <c r="DP188" s="11">
        <v>46205</v>
      </c>
      <c r="DQ188" s="33" t="s">
        <v>4</v>
      </c>
      <c r="DR188" s="114"/>
      <c r="DS188" s="115"/>
      <c r="DT188" s="115"/>
      <c r="DU188" s="116"/>
      <c r="DW188" s="11">
        <v>46207</v>
      </c>
      <c r="DX188" s="33" t="s">
        <v>6</v>
      </c>
      <c r="DY188" s="114"/>
      <c r="DZ188" s="115"/>
      <c r="EA188" s="115"/>
      <c r="EB188" s="116"/>
    </row>
    <row r="189" spans="1:132" x14ac:dyDescent="0.25">
      <c r="A189" s="11">
        <v>46208</v>
      </c>
      <c r="B189" s="33" t="s">
        <v>7</v>
      </c>
      <c r="C189" s="114"/>
      <c r="D189" s="115"/>
      <c r="E189" s="115"/>
      <c r="F189" s="116"/>
      <c r="H189" s="11">
        <v>46208</v>
      </c>
      <c r="I189" s="33" t="s">
        <v>7</v>
      </c>
      <c r="J189" s="114"/>
      <c r="K189" s="115"/>
      <c r="L189" s="115"/>
      <c r="M189" s="116"/>
      <c r="O189" s="11">
        <v>46208</v>
      </c>
      <c r="P189" s="33" t="s">
        <v>7</v>
      </c>
      <c r="Q189" s="114"/>
      <c r="R189" s="115"/>
      <c r="S189" s="115"/>
      <c r="T189" s="116"/>
      <c r="V189" s="11">
        <v>46207</v>
      </c>
      <c r="W189" s="33" t="s">
        <v>6</v>
      </c>
      <c r="X189" s="114"/>
      <c r="Y189" s="115"/>
      <c r="Z189" s="115"/>
      <c r="AA189" s="116"/>
      <c r="AC189" s="11">
        <v>46208</v>
      </c>
      <c r="AD189" s="33" t="s">
        <v>7</v>
      </c>
      <c r="AE189" s="114"/>
      <c r="AF189" s="115"/>
      <c r="AG189" s="115"/>
      <c r="AH189" s="116"/>
      <c r="AJ189" s="11">
        <v>46208</v>
      </c>
      <c r="AK189" s="33" t="s">
        <v>7</v>
      </c>
      <c r="AL189" s="114"/>
      <c r="AM189" s="115"/>
      <c r="AN189" s="115"/>
      <c r="AO189" s="116"/>
      <c r="AQ189" s="11">
        <v>46208</v>
      </c>
      <c r="AR189" s="33" t="s">
        <v>7</v>
      </c>
      <c r="AS189" s="114"/>
      <c r="AT189" s="115"/>
      <c r="AU189" s="115"/>
      <c r="AV189" s="116"/>
      <c r="AX189" s="11">
        <v>46207</v>
      </c>
      <c r="AY189" s="33" t="s">
        <v>6</v>
      </c>
      <c r="AZ189" s="114"/>
      <c r="BA189" s="115"/>
      <c r="BB189" s="115"/>
      <c r="BC189" s="116"/>
      <c r="BE189" s="11">
        <v>46208</v>
      </c>
      <c r="BF189" s="33" t="s">
        <v>7</v>
      </c>
      <c r="BG189" s="33"/>
      <c r="BH189" s="19"/>
      <c r="BI189" s="19"/>
      <c r="BJ189" s="20"/>
      <c r="BL189" s="11">
        <v>46208</v>
      </c>
      <c r="BM189" s="33" t="s">
        <v>7</v>
      </c>
      <c r="BN189" s="114"/>
      <c r="BO189" s="115"/>
      <c r="BP189" s="115"/>
      <c r="BQ189" s="116"/>
      <c r="BS189" s="11">
        <v>46208</v>
      </c>
      <c r="BT189" s="33" t="s">
        <v>7</v>
      </c>
      <c r="BU189" s="114"/>
      <c r="BV189" s="115"/>
      <c r="BW189" s="115"/>
      <c r="BX189" s="116"/>
      <c r="BZ189" s="11">
        <v>46207</v>
      </c>
      <c r="CA189" s="33" t="s">
        <v>6</v>
      </c>
      <c r="CB189" s="114"/>
      <c r="CC189" s="115"/>
      <c r="CD189" s="115"/>
      <c r="CE189" s="116"/>
      <c r="CG189" s="11">
        <v>46208</v>
      </c>
      <c r="CH189" s="33" t="s">
        <v>7</v>
      </c>
      <c r="CI189" s="114"/>
      <c r="CJ189" s="115"/>
      <c r="CK189" s="115"/>
      <c r="CL189" s="116"/>
      <c r="CN189" s="11">
        <v>46208</v>
      </c>
      <c r="CO189" s="33" t="s">
        <v>7</v>
      </c>
      <c r="CP189" s="114"/>
      <c r="CQ189" s="115"/>
      <c r="CR189" s="115"/>
      <c r="CS189" s="116"/>
      <c r="CU189" s="11">
        <v>46208</v>
      </c>
      <c r="CV189" s="33" t="s">
        <v>7</v>
      </c>
      <c r="CW189" s="114"/>
      <c r="CX189" s="115"/>
      <c r="CY189" s="115"/>
      <c r="CZ189" s="116"/>
      <c r="DB189" s="11">
        <v>46206</v>
      </c>
      <c r="DC189" s="33" t="s">
        <v>5</v>
      </c>
      <c r="DD189" s="114"/>
      <c r="DE189" s="115"/>
      <c r="DF189" s="115"/>
      <c r="DG189" s="116"/>
      <c r="DI189" s="11">
        <v>46208</v>
      </c>
      <c r="DJ189" s="33" t="s">
        <v>7</v>
      </c>
      <c r="DK189" s="114"/>
      <c r="DL189" s="115"/>
      <c r="DM189" s="115"/>
      <c r="DN189" s="116"/>
      <c r="DP189" s="11">
        <v>46206</v>
      </c>
      <c r="DQ189" s="33" t="s">
        <v>5</v>
      </c>
      <c r="DR189" s="114"/>
      <c r="DS189" s="115"/>
      <c r="DT189" s="115"/>
      <c r="DU189" s="116"/>
      <c r="DW189" s="11">
        <v>46208</v>
      </c>
      <c r="DX189" s="33" t="s">
        <v>7</v>
      </c>
      <c r="DY189" s="114"/>
      <c r="DZ189" s="115"/>
      <c r="EA189" s="115"/>
      <c r="EB189" s="116"/>
    </row>
    <row r="190" spans="1:132" x14ac:dyDescent="0.25">
      <c r="A190" s="11">
        <v>46209</v>
      </c>
      <c r="B190" s="33" t="s">
        <v>8</v>
      </c>
      <c r="C190" s="114"/>
      <c r="D190" s="115"/>
      <c r="E190" s="115"/>
      <c r="F190" s="116"/>
      <c r="H190" s="11">
        <v>46209</v>
      </c>
      <c r="I190" s="33" t="s">
        <v>8</v>
      </c>
      <c r="J190" s="114"/>
      <c r="K190" s="115"/>
      <c r="L190" s="115"/>
      <c r="M190" s="116"/>
      <c r="O190" s="11">
        <v>46209</v>
      </c>
      <c r="P190" s="33" t="s">
        <v>8</v>
      </c>
      <c r="Q190" s="114"/>
      <c r="R190" s="115"/>
      <c r="S190" s="115"/>
      <c r="T190" s="116"/>
      <c r="V190" s="11">
        <v>46208</v>
      </c>
      <c r="W190" s="33" t="s">
        <v>7</v>
      </c>
      <c r="X190" s="114"/>
      <c r="Y190" s="115"/>
      <c r="Z190" s="115"/>
      <c r="AA190" s="116"/>
      <c r="AC190" s="11">
        <v>46209</v>
      </c>
      <c r="AD190" s="33" t="s">
        <v>8</v>
      </c>
      <c r="AE190" s="114"/>
      <c r="AF190" s="115"/>
      <c r="AG190" s="115"/>
      <c r="AH190" s="116"/>
      <c r="AJ190" s="11">
        <v>46209</v>
      </c>
      <c r="AK190" s="33" t="s">
        <v>8</v>
      </c>
      <c r="AL190" s="114"/>
      <c r="AM190" s="115"/>
      <c r="AN190" s="115"/>
      <c r="AO190" s="116"/>
      <c r="AQ190" s="11">
        <v>46209</v>
      </c>
      <c r="AR190" s="33" t="s">
        <v>8</v>
      </c>
      <c r="AS190" s="114"/>
      <c r="AT190" s="115"/>
      <c r="AU190" s="115"/>
      <c r="AV190" s="116"/>
      <c r="AX190" s="11">
        <v>46208</v>
      </c>
      <c r="AY190" s="33" t="s">
        <v>7</v>
      </c>
      <c r="AZ190" s="114"/>
      <c r="BA190" s="115"/>
      <c r="BB190" s="115"/>
      <c r="BC190" s="116"/>
      <c r="BE190" s="11">
        <v>46209</v>
      </c>
      <c r="BF190" s="33" t="s">
        <v>8</v>
      </c>
      <c r="BG190" s="33"/>
      <c r="BH190" s="19"/>
      <c r="BI190" s="19"/>
      <c r="BJ190" s="20"/>
      <c r="BL190" s="11">
        <v>46209</v>
      </c>
      <c r="BM190" s="33" t="s">
        <v>8</v>
      </c>
      <c r="BN190" s="114"/>
      <c r="BO190" s="115"/>
      <c r="BP190" s="115"/>
      <c r="BQ190" s="116"/>
      <c r="BS190" s="11">
        <v>46209</v>
      </c>
      <c r="BT190" s="33" t="s">
        <v>8</v>
      </c>
      <c r="BU190" s="114"/>
      <c r="BV190" s="115"/>
      <c r="BW190" s="115"/>
      <c r="BX190" s="116"/>
      <c r="BZ190" s="11">
        <v>46208</v>
      </c>
      <c r="CA190" s="33" t="s">
        <v>7</v>
      </c>
      <c r="CB190" s="114"/>
      <c r="CC190" s="115"/>
      <c r="CD190" s="115"/>
      <c r="CE190" s="116"/>
      <c r="CG190" s="11">
        <v>46209</v>
      </c>
      <c r="CH190" s="33" t="s">
        <v>8</v>
      </c>
      <c r="CI190" s="114"/>
      <c r="CJ190" s="115"/>
      <c r="CK190" s="115"/>
      <c r="CL190" s="116"/>
      <c r="CN190" s="11">
        <v>46209</v>
      </c>
      <c r="CO190" s="33" t="s">
        <v>8</v>
      </c>
      <c r="CP190" s="114"/>
      <c r="CQ190" s="115"/>
      <c r="CR190" s="115"/>
      <c r="CS190" s="116"/>
      <c r="CU190" s="11">
        <v>46209</v>
      </c>
      <c r="CV190" s="33" t="s">
        <v>8</v>
      </c>
      <c r="CW190" s="114"/>
      <c r="CX190" s="115"/>
      <c r="CY190" s="115"/>
      <c r="CZ190" s="116"/>
      <c r="DB190" s="11">
        <v>46207</v>
      </c>
      <c r="DC190" s="33" t="s">
        <v>6</v>
      </c>
      <c r="DD190" s="114"/>
      <c r="DE190" s="115"/>
      <c r="DF190" s="115"/>
      <c r="DG190" s="116"/>
      <c r="DI190" s="11">
        <v>46209</v>
      </c>
      <c r="DJ190" s="33" t="s">
        <v>8</v>
      </c>
      <c r="DK190" s="114"/>
      <c r="DL190" s="115"/>
      <c r="DM190" s="115"/>
      <c r="DN190" s="116"/>
      <c r="DP190" s="11">
        <v>46207</v>
      </c>
      <c r="DQ190" s="33" t="s">
        <v>6</v>
      </c>
      <c r="DR190" s="114"/>
      <c r="DS190" s="115"/>
      <c r="DT190" s="115"/>
      <c r="DU190" s="116"/>
      <c r="DW190" s="11">
        <v>46209</v>
      </c>
      <c r="DX190" s="33" t="s">
        <v>8</v>
      </c>
      <c r="DY190" s="114"/>
      <c r="DZ190" s="115"/>
      <c r="EA190" s="115"/>
      <c r="EB190" s="116"/>
    </row>
    <row r="191" spans="1:132" x14ac:dyDescent="0.25">
      <c r="A191" s="11">
        <v>46210</v>
      </c>
      <c r="B191" s="33" t="s">
        <v>9</v>
      </c>
      <c r="C191" s="114"/>
      <c r="D191" s="115"/>
      <c r="E191" s="115"/>
      <c r="F191" s="116"/>
      <c r="H191" s="11">
        <v>46210</v>
      </c>
      <c r="I191" s="33" t="s">
        <v>9</v>
      </c>
      <c r="J191" s="114"/>
      <c r="K191" s="115"/>
      <c r="L191" s="115"/>
      <c r="M191" s="116"/>
      <c r="O191" s="11">
        <v>46210</v>
      </c>
      <c r="P191" s="33" t="s">
        <v>9</v>
      </c>
      <c r="Q191" s="114"/>
      <c r="R191" s="115"/>
      <c r="S191" s="115"/>
      <c r="T191" s="116"/>
      <c r="V191" s="11">
        <v>46209</v>
      </c>
      <c r="W191" s="33" t="s">
        <v>8</v>
      </c>
      <c r="X191" s="114"/>
      <c r="Y191" s="115"/>
      <c r="Z191" s="115"/>
      <c r="AA191" s="116"/>
      <c r="AC191" s="11">
        <v>46210</v>
      </c>
      <c r="AD191" s="33" t="s">
        <v>9</v>
      </c>
      <c r="AE191" s="114"/>
      <c r="AF191" s="115"/>
      <c r="AG191" s="115"/>
      <c r="AH191" s="116"/>
      <c r="AJ191" s="11">
        <v>46210</v>
      </c>
      <c r="AK191" s="33" t="s">
        <v>9</v>
      </c>
      <c r="AL191" s="114"/>
      <c r="AM191" s="115"/>
      <c r="AN191" s="115"/>
      <c r="AO191" s="116"/>
      <c r="AQ191" s="11">
        <v>46210</v>
      </c>
      <c r="AR191" s="33" t="s">
        <v>9</v>
      </c>
      <c r="AS191" s="114"/>
      <c r="AT191" s="115"/>
      <c r="AU191" s="115"/>
      <c r="AV191" s="116"/>
      <c r="AX191" s="11">
        <v>46209</v>
      </c>
      <c r="AY191" s="33" t="s">
        <v>8</v>
      </c>
      <c r="AZ191" s="114"/>
      <c r="BA191" s="115"/>
      <c r="BB191" s="115"/>
      <c r="BC191" s="116"/>
      <c r="BE191" s="11">
        <v>46210</v>
      </c>
      <c r="BF191" s="33" t="s">
        <v>9</v>
      </c>
      <c r="BG191" s="33"/>
      <c r="BH191" s="19"/>
      <c r="BI191" s="19"/>
      <c r="BJ191" s="20"/>
      <c r="BL191" s="11">
        <v>46210</v>
      </c>
      <c r="BM191" s="33" t="s">
        <v>9</v>
      </c>
      <c r="BN191" s="114"/>
      <c r="BO191" s="115"/>
      <c r="BP191" s="115"/>
      <c r="BQ191" s="116"/>
      <c r="BS191" s="11">
        <v>46210</v>
      </c>
      <c r="BT191" s="33" t="s">
        <v>9</v>
      </c>
      <c r="BU191" s="114"/>
      <c r="BV191" s="115"/>
      <c r="BW191" s="115"/>
      <c r="BX191" s="116"/>
      <c r="BZ191" s="11">
        <v>46209</v>
      </c>
      <c r="CA191" s="33" t="s">
        <v>8</v>
      </c>
      <c r="CB191" s="114"/>
      <c r="CC191" s="115"/>
      <c r="CD191" s="115"/>
      <c r="CE191" s="116"/>
      <c r="CG191" s="11">
        <v>46210</v>
      </c>
      <c r="CH191" s="33" t="s">
        <v>9</v>
      </c>
      <c r="CI191" s="114"/>
      <c r="CJ191" s="115"/>
      <c r="CK191" s="115"/>
      <c r="CL191" s="116"/>
      <c r="CN191" s="11">
        <v>46210</v>
      </c>
      <c r="CO191" s="33" t="s">
        <v>9</v>
      </c>
      <c r="CP191" s="114"/>
      <c r="CQ191" s="115"/>
      <c r="CR191" s="115"/>
      <c r="CS191" s="116"/>
      <c r="CU191" s="11">
        <v>46210</v>
      </c>
      <c r="CV191" s="33" t="s">
        <v>9</v>
      </c>
      <c r="CW191" s="114"/>
      <c r="CX191" s="115"/>
      <c r="CY191" s="115"/>
      <c r="CZ191" s="116"/>
      <c r="DB191" s="11">
        <v>46208</v>
      </c>
      <c r="DC191" s="33" t="s">
        <v>7</v>
      </c>
      <c r="DD191" s="114"/>
      <c r="DE191" s="115"/>
      <c r="DF191" s="115"/>
      <c r="DG191" s="116"/>
      <c r="DI191" s="11">
        <v>46210</v>
      </c>
      <c r="DJ191" s="33" t="s">
        <v>9</v>
      </c>
      <c r="DK191" s="114"/>
      <c r="DL191" s="115"/>
      <c r="DM191" s="115"/>
      <c r="DN191" s="116"/>
      <c r="DP191" s="11">
        <v>46208</v>
      </c>
      <c r="DQ191" s="33" t="s">
        <v>7</v>
      </c>
      <c r="DR191" s="114"/>
      <c r="DS191" s="115"/>
      <c r="DT191" s="115"/>
      <c r="DU191" s="116"/>
      <c r="DW191" s="11">
        <v>46210</v>
      </c>
      <c r="DX191" s="33" t="s">
        <v>9</v>
      </c>
      <c r="DY191" s="114"/>
      <c r="DZ191" s="115"/>
      <c r="EA191" s="115"/>
      <c r="EB191" s="116"/>
    </row>
    <row r="192" spans="1:132" x14ac:dyDescent="0.25">
      <c r="A192" s="11">
        <v>46211</v>
      </c>
      <c r="B192" s="33" t="s">
        <v>3</v>
      </c>
      <c r="C192" s="114"/>
      <c r="D192" s="115"/>
      <c r="E192" s="115"/>
      <c r="F192" s="116"/>
      <c r="H192" s="11">
        <v>46211</v>
      </c>
      <c r="I192" s="33" t="s">
        <v>3</v>
      </c>
      <c r="J192" s="114"/>
      <c r="K192" s="115"/>
      <c r="L192" s="115"/>
      <c r="M192" s="116"/>
      <c r="O192" s="11">
        <v>46211</v>
      </c>
      <c r="P192" s="33" t="s">
        <v>3</v>
      </c>
      <c r="Q192" s="114"/>
      <c r="R192" s="115"/>
      <c r="S192" s="115"/>
      <c r="T192" s="116"/>
      <c r="V192" s="11">
        <v>46210</v>
      </c>
      <c r="W192" s="33" t="s">
        <v>9</v>
      </c>
      <c r="X192" s="114"/>
      <c r="Y192" s="115"/>
      <c r="Z192" s="115"/>
      <c r="AA192" s="116"/>
      <c r="AC192" s="11">
        <v>46211</v>
      </c>
      <c r="AD192" s="33" t="s">
        <v>3</v>
      </c>
      <c r="AE192" s="114"/>
      <c r="AF192" s="115"/>
      <c r="AG192" s="115"/>
      <c r="AH192" s="116"/>
      <c r="AJ192" s="11">
        <v>46211</v>
      </c>
      <c r="AK192" s="33" t="s">
        <v>3</v>
      </c>
      <c r="AL192" s="114"/>
      <c r="AM192" s="115"/>
      <c r="AN192" s="115"/>
      <c r="AO192" s="116"/>
      <c r="AQ192" s="11">
        <v>46211</v>
      </c>
      <c r="AR192" s="33" t="s">
        <v>3</v>
      </c>
      <c r="AS192" s="114"/>
      <c r="AT192" s="115"/>
      <c r="AU192" s="115"/>
      <c r="AV192" s="116"/>
      <c r="AX192" s="11">
        <v>46210</v>
      </c>
      <c r="AY192" s="33" t="s">
        <v>9</v>
      </c>
      <c r="AZ192" s="114"/>
      <c r="BA192" s="115"/>
      <c r="BB192" s="115"/>
      <c r="BC192" s="116"/>
      <c r="BE192" s="11">
        <v>46211</v>
      </c>
      <c r="BF192" s="33" t="s">
        <v>3</v>
      </c>
      <c r="BG192" s="33"/>
      <c r="BH192" s="19"/>
      <c r="BI192" s="19"/>
      <c r="BJ192" s="20"/>
      <c r="BL192" s="11">
        <v>46211</v>
      </c>
      <c r="BM192" s="33" t="s">
        <v>3</v>
      </c>
      <c r="BN192" s="114"/>
      <c r="BO192" s="115"/>
      <c r="BP192" s="115"/>
      <c r="BQ192" s="116"/>
      <c r="BS192" s="11">
        <v>46211</v>
      </c>
      <c r="BT192" s="33" t="s">
        <v>3</v>
      </c>
      <c r="BU192" s="114"/>
      <c r="BV192" s="115"/>
      <c r="BW192" s="115"/>
      <c r="BX192" s="116"/>
      <c r="BZ192" s="11">
        <v>46210</v>
      </c>
      <c r="CA192" s="33" t="s">
        <v>9</v>
      </c>
      <c r="CB192" s="114"/>
      <c r="CC192" s="115"/>
      <c r="CD192" s="115"/>
      <c r="CE192" s="116"/>
      <c r="CG192" s="11">
        <v>46211</v>
      </c>
      <c r="CH192" s="33" t="s">
        <v>3</v>
      </c>
      <c r="CI192" s="114"/>
      <c r="CJ192" s="115"/>
      <c r="CK192" s="115"/>
      <c r="CL192" s="116"/>
      <c r="CN192" s="11">
        <v>46211</v>
      </c>
      <c r="CO192" s="33" t="s">
        <v>3</v>
      </c>
      <c r="CP192" s="114"/>
      <c r="CQ192" s="115"/>
      <c r="CR192" s="115"/>
      <c r="CS192" s="116"/>
      <c r="CU192" s="11">
        <v>46211</v>
      </c>
      <c r="CV192" s="33" t="s">
        <v>3</v>
      </c>
      <c r="CW192" s="114"/>
      <c r="CX192" s="115"/>
      <c r="CY192" s="115"/>
      <c r="CZ192" s="116"/>
      <c r="DB192" s="11">
        <v>46209</v>
      </c>
      <c r="DC192" s="33" t="s">
        <v>8</v>
      </c>
      <c r="DD192" s="114"/>
      <c r="DE192" s="115"/>
      <c r="DF192" s="115"/>
      <c r="DG192" s="116"/>
      <c r="DI192" s="11">
        <v>46211</v>
      </c>
      <c r="DJ192" s="33" t="s">
        <v>3</v>
      </c>
      <c r="DK192" s="114"/>
      <c r="DL192" s="115"/>
      <c r="DM192" s="115"/>
      <c r="DN192" s="116"/>
      <c r="DP192" s="11">
        <v>46209</v>
      </c>
      <c r="DQ192" s="33" t="s">
        <v>8</v>
      </c>
      <c r="DR192" s="114"/>
      <c r="DS192" s="115"/>
      <c r="DT192" s="115"/>
      <c r="DU192" s="116"/>
      <c r="DW192" s="11">
        <v>46211</v>
      </c>
      <c r="DX192" s="33" t="s">
        <v>3</v>
      </c>
      <c r="DY192" s="114"/>
      <c r="DZ192" s="115"/>
      <c r="EA192" s="115"/>
      <c r="EB192" s="116"/>
    </row>
    <row r="193" spans="1:132" x14ac:dyDescent="0.25">
      <c r="A193" s="11">
        <v>46212</v>
      </c>
      <c r="B193" s="33" t="s">
        <v>4</v>
      </c>
      <c r="C193" s="114"/>
      <c r="D193" s="115"/>
      <c r="E193" s="115"/>
      <c r="F193" s="116"/>
      <c r="H193" s="11">
        <v>46212</v>
      </c>
      <c r="I193" s="33" t="s">
        <v>4</v>
      </c>
      <c r="J193" s="114"/>
      <c r="K193" s="115"/>
      <c r="L193" s="115"/>
      <c r="M193" s="116"/>
      <c r="O193" s="11">
        <v>46212</v>
      </c>
      <c r="P193" s="33" t="s">
        <v>4</v>
      </c>
      <c r="Q193" s="114"/>
      <c r="R193" s="115"/>
      <c r="S193" s="115"/>
      <c r="T193" s="116"/>
      <c r="V193" s="11">
        <v>46211</v>
      </c>
      <c r="W193" s="33" t="s">
        <v>3</v>
      </c>
      <c r="X193" s="114"/>
      <c r="Y193" s="115"/>
      <c r="Z193" s="115"/>
      <c r="AA193" s="116"/>
      <c r="AC193" s="11">
        <v>46212</v>
      </c>
      <c r="AD193" s="33" t="s">
        <v>4</v>
      </c>
      <c r="AE193" s="114"/>
      <c r="AF193" s="115"/>
      <c r="AG193" s="115"/>
      <c r="AH193" s="116"/>
      <c r="AJ193" s="11">
        <v>46212</v>
      </c>
      <c r="AK193" s="33" t="s">
        <v>4</v>
      </c>
      <c r="AL193" s="114"/>
      <c r="AM193" s="115"/>
      <c r="AN193" s="115"/>
      <c r="AO193" s="116"/>
      <c r="AQ193" s="11">
        <v>46212</v>
      </c>
      <c r="AR193" s="33" t="s">
        <v>4</v>
      </c>
      <c r="AS193" s="114"/>
      <c r="AT193" s="115"/>
      <c r="AU193" s="115"/>
      <c r="AV193" s="116"/>
      <c r="AX193" s="11">
        <v>46211</v>
      </c>
      <c r="AY193" s="33" t="s">
        <v>3</v>
      </c>
      <c r="AZ193" s="114"/>
      <c r="BA193" s="115"/>
      <c r="BB193" s="115"/>
      <c r="BC193" s="116"/>
      <c r="BE193" s="11">
        <v>46212</v>
      </c>
      <c r="BF193" s="33" t="s">
        <v>4</v>
      </c>
      <c r="BG193" s="33"/>
      <c r="BH193" s="19"/>
      <c r="BI193" s="19"/>
      <c r="BJ193" s="20"/>
      <c r="BL193" s="11">
        <v>46212</v>
      </c>
      <c r="BM193" s="33" t="s">
        <v>4</v>
      </c>
      <c r="BN193" s="114"/>
      <c r="BO193" s="115"/>
      <c r="BP193" s="115"/>
      <c r="BQ193" s="116"/>
      <c r="BS193" s="11">
        <v>46212</v>
      </c>
      <c r="BT193" s="33" t="s">
        <v>4</v>
      </c>
      <c r="BU193" s="114"/>
      <c r="BV193" s="115"/>
      <c r="BW193" s="115"/>
      <c r="BX193" s="116"/>
      <c r="BZ193" s="11">
        <v>46211</v>
      </c>
      <c r="CA193" s="33" t="s">
        <v>3</v>
      </c>
      <c r="CB193" s="114"/>
      <c r="CC193" s="115"/>
      <c r="CD193" s="115"/>
      <c r="CE193" s="116"/>
      <c r="CG193" s="11">
        <v>46212</v>
      </c>
      <c r="CH193" s="33" t="s">
        <v>4</v>
      </c>
      <c r="CI193" s="114"/>
      <c r="CJ193" s="115"/>
      <c r="CK193" s="115"/>
      <c r="CL193" s="116"/>
      <c r="CN193" s="11">
        <v>46212</v>
      </c>
      <c r="CO193" s="33" t="s">
        <v>4</v>
      </c>
      <c r="CP193" s="114"/>
      <c r="CQ193" s="115"/>
      <c r="CR193" s="115"/>
      <c r="CS193" s="116"/>
      <c r="CU193" s="11">
        <v>46212</v>
      </c>
      <c r="CV193" s="33" t="s">
        <v>4</v>
      </c>
      <c r="CW193" s="114"/>
      <c r="CX193" s="115"/>
      <c r="CY193" s="115"/>
      <c r="CZ193" s="116"/>
      <c r="DB193" s="11">
        <v>46210</v>
      </c>
      <c r="DC193" s="33" t="s">
        <v>9</v>
      </c>
      <c r="DD193" s="114"/>
      <c r="DE193" s="115"/>
      <c r="DF193" s="115"/>
      <c r="DG193" s="116"/>
      <c r="DI193" s="11">
        <v>46212</v>
      </c>
      <c r="DJ193" s="33" t="s">
        <v>4</v>
      </c>
      <c r="DK193" s="114"/>
      <c r="DL193" s="115"/>
      <c r="DM193" s="115"/>
      <c r="DN193" s="116"/>
      <c r="DP193" s="11">
        <v>46210</v>
      </c>
      <c r="DQ193" s="33" t="s">
        <v>9</v>
      </c>
      <c r="DR193" s="114"/>
      <c r="DS193" s="115"/>
      <c r="DT193" s="115"/>
      <c r="DU193" s="116"/>
      <c r="DW193" s="11">
        <v>46212</v>
      </c>
      <c r="DX193" s="33" t="s">
        <v>4</v>
      </c>
      <c r="DY193" s="114"/>
      <c r="DZ193" s="115"/>
      <c r="EA193" s="115"/>
      <c r="EB193" s="116"/>
    </row>
    <row r="194" spans="1:132" x14ac:dyDescent="0.25">
      <c r="A194" s="11">
        <v>46213</v>
      </c>
      <c r="B194" s="33" t="s">
        <v>5</v>
      </c>
      <c r="C194" s="114"/>
      <c r="D194" s="115"/>
      <c r="E194" s="115"/>
      <c r="F194" s="116"/>
      <c r="H194" s="11">
        <v>46213</v>
      </c>
      <c r="I194" s="33" t="s">
        <v>5</v>
      </c>
      <c r="J194" s="114"/>
      <c r="K194" s="115"/>
      <c r="L194" s="115"/>
      <c r="M194" s="116"/>
      <c r="O194" s="11">
        <v>46213</v>
      </c>
      <c r="P194" s="33" t="s">
        <v>5</v>
      </c>
      <c r="Q194" s="114"/>
      <c r="R194" s="115"/>
      <c r="S194" s="115"/>
      <c r="T194" s="116"/>
      <c r="V194" s="11">
        <v>46212</v>
      </c>
      <c r="W194" s="33" t="s">
        <v>4</v>
      </c>
      <c r="X194" s="114"/>
      <c r="Y194" s="115"/>
      <c r="Z194" s="115"/>
      <c r="AA194" s="116"/>
      <c r="AC194" s="11">
        <v>46213</v>
      </c>
      <c r="AD194" s="33" t="s">
        <v>5</v>
      </c>
      <c r="AE194" s="114"/>
      <c r="AF194" s="115"/>
      <c r="AG194" s="115"/>
      <c r="AH194" s="116"/>
      <c r="AJ194" s="11">
        <v>46213</v>
      </c>
      <c r="AK194" s="33" t="s">
        <v>5</v>
      </c>
      <c r="AL194" s="114"/>
      <c r="AM194" s="115"/>
      <c r="AN194" s="115"/>
      <c r="AO194" s="116"/>
      <c r="AQ194" s="11">
        <v>46213</v>
      </c>
      <c r="AR194" s="33" t="s">
        <v>5</v>
      </c>
      <c r="AS194" s="114"/>
      <c r="AT194" s="115"/>
      <c r="AU194" s="115"/>
      <c r="AV194" s="116"/>
      <c r="AX194" s="11">
        <v>46212</v>
      </c>
      <c r="AY194" s="33" t="s">
        <v>4</v>
      </c>
      <c r="AZ194" s="114"/>
      <c r="BA194" s="115"/>
      <c r="BB194" s="115"/>
      <c r="BC194" s="116"/>
      <c r="BE194" s="11">
        <v>46213</v>
      </c>
      <c r="BF194" s="33" t="s">
        <v>5</v>
      </c>
      <c r="BG194" s="33"/>
      <c r="BH194" s="19"/>
      <c r="BI194" s="19"/>
      <c r="BJ194" s="20"/>
      <c r="BL194" s="11">
        <v>46213</v>
      </c>
      <c r="BM194" s="33" t="s">
        <v>5</v>
      </c>
      <c r="BN194" s="114"/>
      <c r="BO194" s="115"/>
      <c r="BP194" s="115"/>
      <c r="BQ194" s="116"/>
      <c r="BS194" s="11">
        <v>46213</v>
      </c>
      <c r="BT194" s="33" t="s">
        <v>5</v>
      </c>
      <c r="BU194" s="114"/>
      <c r="BV194" s="115"/>
      <c r="BW194" s="115"/>
      <c r="BX194" s="116"/>
      <c r="BZ194" s="11">
        <v>46212</v>
      </c>
      <c r="CA194" s="33" t="s">
        <v>4</v>
      </c>
      <c r="CB194" s="114"/>
      <c r="CC194" s="115"/>
      <c r="CD194" s="115"/>
      <c r="CE194" s="116"/>
      <c r="CG194" s="11">
        <v>46213</v>
      </c>
      <c r="CH194" s="33" t="s">
        <v>5</v>
      </c>
      <c r="CI194" s="114"/>
      <c r="CJ194" s="115"/>
      <c r="CK194" s="115"/>
      <c r="CL194" s="116"/>
      <c r="CN194" s="11">
        <v>46213</v>
      </c>
      <c r="CO194" s="33" t="s">
        <v>5</v>
      </c>
      <c r="CP194" s="114"/>
      <c r="CQ194" s="115"/>
      <c r="CR194" s="115"/>
      <c r="CS194" s="116"/>
      <c r="CU194" s="11">
        <v>46213</v>
      </c>
      <c r="CV194" s="33" t="s">
        <v>5</v>
      </c>
      <c r="CW194" s="114"/>
      <c r="CX194" s="115"/>
      <c r="CY194" s="115"/>
      <c r="CZ194" s="116"/>
      <c r="DB194" s="11">
        <v>46211</v>
      </c>
      <c r="DC194" s="33" t="s">
        <v>3</v>
      </c>
      <c r="DD194" s="114"/>
      <c r="DE194" s="115"/>
      <c r="DF194" s="115"/>
      <c r="DG194" s="116"/>
      <c r="DI194" s="11">
        <v>46213</v>
      </c>
      <c r="DJ194" s="33" t="s">
        <v>5</v>
      </c>
      <c r="DK194" s="114"/>
      <c r="DL194" s="115"/>
      <c r="DM194" s="115"/>
      <c r="DN194" s="116"/>
      <c r="DP194" s="11">
        <v>46211</v>
      </c>
      <c r="DQ194" s="33" t="s">
        <v>3</v>
      </c>
      <c r="DR194" s="114"/>
      <c r="DS194" s="115"/>
      <c r="DT194" s="115"/>
      <c r="DU194" s="116"/>
      <c r="DW194" s="11">
        <v>46213</v>
      </c>
      <c r="DX194" s="33" t="s">
        <v>5</v>
      </c>
      <c r="DY194" s="114"/>
      <c r="DZ194" s="115"/>
      <c r="EA194" s="115"/>
      <c r="EB194" s="116"/>
    </row>
    <row r="195" spans="1:132" x14ac:dyDescent="0.25">
      <c r="A195" s="11">
        <v>46214</v>
      </c>
      <c r="B195" s="33" t="s">
        <v>6</v>
      </c>
      <c r="C195" s="114"/>
      <c r="D195" s="115"/>
      <c r="E195" s="115"/>
      <c r="F195" s="116"/>
      <c r="H195" s="11">
        <v>46214</v>
      </c>
      <c r="I195" s="33" t="s">
        <v>6</v>
      </c>
      <c r="J195" s="114"/>
      <c r="K195" s="115"/>
      <c r="L195" s="115"/>
      <c r="M195" s="116"/>
      <c r="O195" s="11">
        <v>46214</v>
      </c>
      <c r="P195" s="33" t="s">
        <v>6</v>
      </c>
      <c r="Q195" s="114"/>
      <c r="R195" s="115"/>
      <c r="S195" s="115"/>
      <c r="T195" s="116"/>
      <c r="V195" s="11">
        <v>46213</v>
      </c>
      <c r="W195" s="33" t="s">
        <v>5</v>
      </c>
      <c r="X195" s="114"/>
      <c r="Y195" s="115"/>
      <c r="Z195" s="115"/>
      <c r="AA195" s="116"/>
      <c r="AC195" s="11">
        <v>46214</v>
      </c>
      <c r="AD195" s="33" t="s">
        <v>6</v>
      </c>
      <c r="AE195" s="114"/>
      <c r="AF195" s="115"/>
      <c r="AG195" s="115"/>
      <c r="AH195" s="116"/>
      <c r="AJ195" s="11">
        <v>46214</v>
      </c>
      <c r="AK195" s="33" t="s">
        <v>6</v>
      </c>
      <c r="AL195" s="114"/>
      <c r="AM195" s="115"/>
      <c r="AN195" s="115"/>
      <c r="AO195" s="116"/>
      <c r="AQ195" s="11">
        <v>46214</v>
      </c>
      <c r="AR195" s="33" t="s">
        <v>6</v>
      </c>
      <c r="AS195" s="114"/>
      <c r="AT195" s="115"/>
      <c r="AU195" s="115"/>
      <c r="AV195" s="116"/>
      <c r="AX195" s="11">
        <v>46213</v>
      </c>
      <c r="AY195" s="33" t="s">
        <v>5</v>
      </c>
      <c r="AZ195" s="114"/>
      <c r="BA195" s="115"/>
      <c r="BB195" s="115"/>
      <c r="BC195" s="116"/>
      <c r="BE195" s="11">
        <v>46214</v>
      </c>
      <c r="BF195" s="33" t="s">
        <v>6</v>
      </c>
      <c r="BG195" s="33"/>
      <c r="BH195" s="19"/>
      <c r="BI195" s="19"/>
      <c r="BJ195" s="20"/>
      <c r="BL195" s="11">
        <v>46214</v>
      </c>
      <c r="BM195" s="33" t="s">
        <v>6</v>
      </c>
      <c r="BN195" s="114"/>
      <c r="BO195" s="115"/>
      <c r="BP195" s="115"/>
      <c r="BQ195" s="116"/>
      <c r="BS195" s="11">
        <v>46214</v>
      </c>
      <c r="BT195" s="33" t="s">
        <v>6</v>
      </c>
      <c r="BU195" s="114"/>
      <c r="BV195" s="115"/>
      <c r="BW195" s="115"/>
      <c r="BX195" s="116"/>
      <c r="BZ195" s="11">
        <v>46213</v>
      </c>
      <c r="CA195" s="33" t="s">
        <v>5</v>
      </c>
      <c r="CB195" s="114"/>
      <c r="CC195" s="115"/>
      <c r="CD195" s="115"/>
      <c r="CE195" s="116"/>
      <c r="CG195" s="11">
        <v>46214</v>
      </c>
      <c r="CH195" s="33" t="s">
        <v>6</v>
      </c>
      <c r="CI195" s="114"/>
      <c r="CJ195" s="115"/>
      <c r="CK195" s="115"/>
      <c r="CL195" s="116"/>
      <c r="CN195" s="11">
        <v>46214</v>
      </c>
      <c r="CO195" s="33" t="s">
        <v>6</v>
      </c>
      <c r="CP195" s="114"/>
      <c r="CQ195" s="115"/>
      <c r="CR195" s="115"/>
      <c r="CS195" s="116"/>
      <c r="CU195" s="11">
        <v>46214</v>
      </c>
      <c r="CV195" s="33" t="s">
        <v>6</v>
      </c>
      <c r="CW195" s="114"/>
      <c r="CX195" s="115"/>
      <c r="CY195" s="115"/>
      <c r="CZ195" s="116"/>
      <c r="DB195" s="11">
        <v>46212</v>
      </c>
      <c r="DC195" s="33" t="s">
        <v>4</v>
      </c>
      <c r="DD195" s="114"/>
      <c r="DE195" s="115"/>
      <c r="DF195" s="115"/>
      <c r="DG195" s="116"/>
      <c r="DI195" s="11">
        <v>46214</v>
      </c>
      <c r="DJ195" s="33" t="s">
        <v>6</v>
      </c>
      <c r="DK195" s="114"/>
      <c r="DL195" s="115"/>
      <c r="DM195" s="115"/>
      <c r="DN195" s="116"/>
      <c r="DP195" s="11">
        <v>46212</v>
      </c>
      <c r="DQ195" s="33" t="s">
        <v>4</v>
      </c>
      <c r="DR195" s="114"/>
      <c r="DS195" s="115"/>
      <c r="DT195" s="115"/>
      <c r="DU195" s="116"/>
      <c r="DW195" s="11">
        <v>46214</v>
      </c>
      <c r="DX195" s="33" t="s">
        <v>6</v>
      </c>
      <c r="DY195" s="114"/>
      <c r="DZ195" s="115"/>
      <c r="EA195" s="115"/>
      <c r="EB195" s="116"/>
    </row>
    <row r="196" spans="1:132" x14ac:dyDescent="0.25">
      <c r="A196" s="11">
        <v>46215</v>
      </c>
      <c r="B196" s="33" t="s">
        <v>7</v>
      </c>
      <c r="C196" s="114"/>
      <c r="D196" s="115"/>
      <c r="E196" s="115"/>
      <c r="F196" s="116"/>
      <c r="H196" s="11">
        <v>46215</v>
      </c>
      <c r="I196" s="33" t="s">
        <v>7</v>
      </c>
      <c r="J196" s="114"/>
      <c r="K196" s="115"/>
      <c r="L196" s="115"/>
      <c r="M196" s="116"/>
      <c r="O196" s="11">
        <v>46215</v>
      </c>
      <c r="P196" s="33" t="s">
        <v>7</v>
      </c>
      <c r="Q196" s="114"/>
      <c r="R196" s="115"/>
      <c r="S196" s="115"/>
      <c r="T196" s="116"/>
      <c r="V196" s="11">
        <v>46214</v>
      </c>
      <c r="W196" s="33" t="s">
        <v>6</v>
      </c>
      <c r="X196" s="114"/>
      <c r="Y196" s="115"/>
      <c r="Z196" s="115"/>
      <c r="AA196" s="116"/>
      <c r="AC196" s="11">
        <v>46215</v>
      </c>
      <c r="AD196" s="33" t="s">
        <v>7</v>
      </c>
      <c r="AE196" s="114"/>
      <c r="AF196" s="115"/>
      <c r="AG196" s="115"/>
      <c r="AH196" s="116"/>
      <c r="AJ196" s="11">
        <v>46215</v>
      </c>
      <c r="AK196" s="33" t="s">
        <v>7</v>
      </c>
      <c r="AL196" s="114"/>
      <c r="AM196" s="115"/>
      <c r="AN196" s="115"/>
      <c r="AO196" s="116"/>
      <c r="AQ196" s="11">
        <v>46215</v>
      </c>
      <c r="AR196" s="33" t="s">
        <v>7</v>
      </c>
      <c r="AS196" s="114"/>
      <c r="AT196" s="115"/>
      <c r="AU196" s="115"/>
      <c r="AV196" s="116"/>
      <c r="AX196" s="11">
        <v>46214</v>
      </c>
      <c r="AY196" s="33" t="s">
        <v>6</v>
      </c>
      <c r="AZ196" s="114"/>
      <c r="BA196" s="115"/>
      <c r="BB196" s="115"/>
      <c r="BC196" s="116"/>
      <c r="BE196" s="11">
        <v>46215</v>
      </c>
      <c r="BF196" s="33" t="s">
        <v>7</v>
      </c>
      <c r="BG196" s="33"/>
      <c r="BH196" s="19"/>
      <c r="BI196" s="19"/>
      <c r="BJ196" s="20"/>
      <c r="BL196" s="11">
        <v>46215</v>
      </c>
      <c r="BM196" s="33" t="s">
        <v>7</v>
      </c>
      <c r="BN196" s="114"/>
      <c r="BO196" s="115"/>
      <c r="BP196" s="115"/>
      <c r="BQ196" s="116"/>
      <c r="BS196" s="11">
        <v>46215</v>
      </c>
      <c r="BT196" s="33" t="s">
        <v>7</v>
      </c>
      <c r="BU196" s="114"/>
      <c r="BV196" s="115"/>
      <c r="BW196" s="115"/>
      <c r="BX196" s="116"/>
      <c r="BZ196" s="11">
        <v>46214</v>
      </c>
      <c r="CA196" s="33" t="s">
        <v>6</v>
      </c>
      <c r="CB196" s="114"/>
      <c r="CC196" s="115"/>
      <c r="CD196" s="115"/>
      <c r="CE196" s="116"/>
      <c r="CG196" s="11">
        <v>46215</v>
      </c>
      <c r="CH196" s="33" t="s">
        <v>7</v>
      </c>
      <c r="CI196" s="114"/>
      <c r="CJ196" s="115"/>
      <c r="CK196" s="115"/>
      <c r="CL196" s="116"/>
      <c r="CN196" s="11">
        <v>46215</v>
      </c>
      <c r="CO196" s="33" t="s">
        <v>7</v>
      </c>
      <c r="CP196" s="114"/>
      <c r="CQ196" s="115"/>
      <c r="CR196" s="115"/>
      <c r="CS196" s="116"/>
      <c r="CU196" s="11">
        <v>46215</v>
      </c>
      <c r="CV196" s="33" t="s">
        <v>7</v>
      </c>
      <c r="CW196" s="114"/>
      <c r="CX196" s="115"/>
      <c r="CY196" s="115"/>
      <c r="CZ196" s="116"/>
      <c r="DB196" s="11">
        <v>46213</v>
      </c>
      <c r="DC196" s="33" t="s">
        <v>5</v>
      </c>
      <c r="DD196" s="114"/>
      <c r="DE196" s="115"/>
      <c r="DF196" s="115"/>
      <c r="DG196" s="116"/>
      <c r="DI196" s="11">
        <v>46215</v>
      </c>
      <c r="DJ196" s="33" t="s">
        <v>7</v>
      </c>
      <c r="DK196" s="114"/>
      <c r="DL196" s="115"/>
      <c r="DM196" s="115"/>
      <c r="DN196" s="116"/>
      <c r="DP196" s="11">
        <v>46213</v>
      </c>
      <c r="DQ196" s="33" t="s">
        <v>5</v>
      </c>
      <c r="DR196" s="114"/>
      <c r="DS196" s="115"/>
      <c r="DT196" s="115"/>
      <c r="DU196" s="116"/>
      <c r="DW196" s="11">
        <v>46215</v>
      </c>
      <c r="DX196" s="33" t="s">
        <v>7</v>
      </c>
      <c r="DY196" s="114"/>
      <c r="DZ196" s="115"/>
      <c r="EA196" s="115"/>
      <c r="EB196" s="116"/>
    </row>
    <row r="197" spans="1:132" x14ac:dyDescent="0.25">
      <c r="A197" s="11">
        <v>46216</v>
      </c>
      <c r="B197" s="33" t="s">
        <v>8</v>
      </c>
      <c r="C197" s="114"/>
      <c r="D197" s="115"/>
      <c r="E197" s="115"/>
      <c r="F197" s="116"/>
      <c r="H197" s="11">
        <v>46216</v>
      </c>
      <c r="I197" s="33" t="s">
        <v>8</v>
      </c>
      <c r="J197" s="114"/>
      <c r="K197" s="115"/>
      <c r="L197" s="115"/>
      <c r="M197" s="116"/>
      <c r="O197" s="11">
        <v>46216</v>
      </c>
      <c r="P197" s="33" t="s">
        <v>8</v>
      </c>
      <c r="Q197" s="114"/>
      <c r="R197" s="115"/>
      <c r="S197" s="115"/>
      <c r="T197" s="116"/>
      <c r="V197" s="11">
        <v>46215</v>
      </c>
      <c r="W197" s="33" t="s">
        <v>7</v>
      </c>
      <c r="X197" s="114"/>
      <c r="Y197" s="115"/>
      <c r="Z197" s="115"/>
      <c r="AA197" s="116"/>
      <c r="AC197" s="11">
        <v>46216</v>
      </c>
      <c r="AD197" s="33" t="s">
        <v>8</v>
      </c>
      <c r="AE197" s="114"/>
      <c r="AF197" s="115"/>
      <c r="AG197" s="115"/>
      <c r="AH197" s="116"/>
      <c r="AJ197" s="11">
        <v>46216</v>
      </c>
      <c r="AK197" s="33" t="s">
        <v>8</v>
      </c>
      <c r="AL197" s="114"/>
      <c r="AM197" s="115"/>
      <c r="AN197" s="115"/>
      <c r="AO197" s="116"/>
      <c r="AQ197" s="11">
        <v>46216</v>
      </c>
      <c r="AR197" s="33" t="s">
        <v>8</v>
      </c>
      <c r="AS197" s="114"/>
      <c r="AT197" s="115"/>
      <c r="AU197" s="115"/>
      <c r="AV197" s="116"/>
      <c r="AX197" s="11">
        <v>46215</v>
      </c>
      <c r="AY197" s="33" t="s">
        <v>7</v>
      </c>
      <c r="AZ197" s="114"/>
      <c r="BA197" s="115"/>
      <c r="BB197" s="115"/>
      <c r="BC197" s="116"/>
      <c r="BE197" s="11">
        <v>46216</v>
      </c>
      <c r="BF197" s="33" t="s">
        <v>8</v>
      </c>
      <c r="BG197" s="33"/>
      <c r="BH197" s="19"/>
      <c r="BI197" s="19"/>
      <c r="BJ197" s="20"/>
      <c r="BL197" s="11">
        <v>46216</v>
      </c>
      <c r="BM197" s="33" t="s">
        <v>8</v>
      </c>
      <c r="BN197" s="114"/>
      <c r="BO197" s="115"/>
      <c r="BP197" s="115"/>
      <c r="BQ197" s="116"/>
      <c r="BS197" s="11">
        <v>46216</v>
      </c>
      <c r="BT197" s="33" t="s">
        <v>8</v>
      </c>
      <c r="BU197" s="114"/>
      <c r="BV197" s="115"/>
      <c r="BW197" s="115"/>
      <c r="BX197" s="116"/>
      <c r="BZ197" s="11">
        <v>46215</v>
      </c>
      <c r="CA197" s="33" t="s">
        <v>7</v>
      </c>
      <c r="CB197" s="114"/>
      <c r="CC197" s="115"/>
      <c r="CD197" s="115"/>
      <c r="CE197" s="116"/>
      <c r="CG197" s="11">
        <v>46216</v>
      </c>
      <c r="CH197" s="33" t="s">
        <v>8</v>
      </c>
      <c r="CI197" s="114"/>
      <c r="CJ197" s="115"/>
      <c r="CK197" s="115"/>
      <c r="CL197" s="116"/>
      <c r="CN197" s="11">
        <v>46216</v>
      </c>
      <c r="CO197" s="33" t="s">
        <v>8</v>
      </c>
      <c r="CP197" s="114"/>
      <c r="CQ197" s="115"/>
      <c r="CR197" s="115"/>
      <c r="CS197" s="116"/>
      <c r="CU197" s="11">
        <v>46216</v>
      </c>
      <c r="CV197" s="33" t="s">
        <v>8</v>
      </c>
      <c r="CW197" s="114"/>
      <c r="CX197" s="115"/>
      <c r="CY197" s="115"/>
      <c r="CZ197" s="116"/>
      <c r="DB197" s="11">
        <v>46214</v>
      </c>
      <c r="DC197" s="33" t="s">
        <v>6</v>
      </c>
      <c r="DD197" s="114"/>
      <c r="DE197" s="115"/>
      <c r="DF197" s="115"/>
      <c r="DG197" s="116"/>
      <c r="DI197" s="11">
        <v>46216</v>
      </c>
      <c r="DJ197" s="33" t="s">
        <v>8</v>
      </c>
      <c r="DK197" s="114"/>
      <c r="DL197" s="115"/>
      <c r="DM197" s="115"/>
      <c r="DN197" s="116"/>
      <c r="DP197" s="11">
        <v>46214</v>
      </c>
      <c r="DQ197" s="33" t="s">
        <v>6</v>
      </c>
      <c r="DR197" s="114"/>
      <c r="DS197" s="115"/>
      <c r="DT197" s="115"/>
      <c r="DU197" s="116"/>
      <c r="DW197" s="11">
        <v>46216</v>
      </c>
      <c r="DX197" s="33" t="s">
        <v>8</v>
      </c>
      <c r="DY197" s="114"/>
      <c r="DZ197" s="115"/>
      <c r="EA197" s="115"/>
      <c r="EB197" s="116"/>
    </row>
    <row r="198" spans="1:132" x14ac:dyDescent="0.25">
      <c r="A198" s="11">
        <v>46217</v>
      </c>
      <c r="B198" s="33" t="s">
        <v>9</v>
      </c>
      <c r="C198" s="114"/>
      <c r="D198" s="115"/>
      <c r="E198" s="115"/>
      <c r="F198" s="116"/>
      <c r="H198" s="11">
        <v>46217</v>
      </c>
      <c r="I198" s="33" t="s">
        <v>9</v>
      </c>
      <c r="J198" s="114"/>
      <c r="K198" s="115"/>
      <c r="L198" s="115"/>
      <c r="M198" s="116"/>
      <c r="O198" s="11">
        <v>46217</v>
      </c>
      <c r="P198" s="33" t="s">
        <v>9</v>
      </c>
      <c r="Q198" s="114"/>
      <c r="R198" s="115"/>
      <c r="S198" s="115"/>
      <c r="T198" s="116"/>
      <c r="V198" s="11">
        <v>46216</v>
      </c>
      <c r="W198" s="33" t="s">
        <v>8</v>
      </c>
      <c r="X198" s="114"/>
      <c r="Y198" s="115"/>
      <c r="Z198" s="115"/>
      <c r="AA198" s="116"/>
      <c r="AC198" s="11">
        <v>46217</v>
      </c>
      <c r="AD198" s="33" t="s">
        <v>9</v>
      </c>
      <c r="AE198" s="114"/>
      <c r="AF198" s="115"/>
      <c r="AG198" s="115"/>
      <c r="AH198" s="116"/>
      <c r="AJ198" s="11">
        <v>46217</v>
      </c>
      <c r="AK198" s="33" t="s">
        <v>9</v>
      </c>
      <c r="AL198" s="114"/>
      <c r="AM198" s="115"/>
      <c r="AN198" s="115"/>
      <c r="AO198" s="116"/>
      <c r="AQ198" s="11">
        <v>46217</v>
      </c>
      <c r="AR198" s="33" t="s">
        <v>9</v>
      </c>
      <c r="AS198" s="114"/>
      <c r="AT198" s="115"/>
      <c r="AU198" s="115"/>
      <c r="AV198" s="116"/>
      <c r="AX198" s="11">
        <v>46216</v>
      </c>
      <c r="AY198" s="33" t="s">
        <v>8</v>
      </c>
      <c r="AZ198" s="114"/>
      <c r="BA198" s="115"/>
      <c r="BB198" s="115"/>
      <c r="BC198" s="116"/>
      <c r="BE198" s="11">
        <v>46217</v>
      </c>
      <c r="BF198" s="33" t="s">
        <v>9</v>
      </c>
      <c r="BG198" s="33"/>
      <c r="BH198" s="19"/>
      <c r="BI198" s="19"/>
      <c r="BJ198" s="20"/>
      <c r="BL198" s="11">
        <v>46217</v>
      </c>
      <c r="BM198" s="33" t="s">
        <v>9</v>
      </c>
      <c r="BN198" s="114"/>
      <c r="BO198" s="115"/>
      <c r="BP198" s="115"/>
      <c r="BQ198" s="116"/>
      <c r="BS198" s="11">
        <v>46217</v>
      </c>
      <c r="BT198" s="33" t="s">
        <v>9</v>
      </c>
      <c r="BU198" s="114"/>
      <c r="BV198" s="115"/>
      <c r="BW198" s="115"/>
      <c r="BX198" s="116"/>
      <c r="BZ198" s="11">
        <v>46216</v>
      </c>
      <c r="CA198" s="33" t="s">
        <v>8</v>
      </c>
      <c r="CB198" s="114"/>
      <c r="CC198" s="115"/>
      <c r="CD198" s="115"/>
      <c r="CE198" s="116"/>
      <c r="CG198" s="11">
        <v>46217</v>
      </c>
      <c r="CH198" s="33" t="s">
        <v>9</v>
      </c>
      <c r="CI198" s="114"/>
      <c r="CJ198" s="115"/>
      <c r="CK198" s="115"/>
      <c r="CL198" s="116"/>
      <c r="CN198" s="11">
        <v>46217</v>
      </c>
      <c r="CO198" s="33" t="s">
        <v>9</v>
      </c>
      <c r="CP198" s="114"/>
      <c r="CQ198" s="115"/>
      <c r="CR198" s="115"/>
      <c r="CS198" s="116"/>
      <c r="CU198" s="11">
        <v>46217</v>
      </c>
      <c r="CV198" s="33" t="s">
        <v>9</v>
      </c>
      <c r="CW198" s="114"/>
      <c r="CX198" s="115"/>
      <c r="CY198" s="115"/>
      <c r="CZ198" s="116"/>
      <c r="DB198" s="11">
        <v>46215</v>
      </c>
      <c r="DC198" s="33" t="s">
        <v>7</v>
      </c>
      <c r="DD198" s="114"/>
      <c r="DE198" s="115"/>
      <c r="DF198" s="115"/>
      <c r="DG198" s="116"/>
      <c r="DI198" s="11">
        <v>46217</v>
      </c>
      <c r="DJ198" s="33" t="s">
        <v>9</v>
      </c>
      <c r="DK198" s="114"/>
      <c r="DL198" s="115"/>
      <c r="DM198" s="115"/>
      <c r="DN198" s="116"/>
      <c r="DP198" s="11">
        <v>46215</v>
      </c>
      <c r="DQ198" s="33" t="s">
        <v>7</v>
      </c>
      <c r="DR198" s="114"/>
      <c r="DS198" s="115"/>
      <c r="DT198" s="115"/>
      <c r="DU198" s="116"/>
      <c r="DW198" s="11">
        <v>46217</v>
      </c>
      <c r="DX198" s="33" t="s">
        <v>9</v>
      </c>
      <c r="DY198" s="114"/>
      <c r="DZ198" s="115"/>
      <c r="EA198" s="115"/>
      <c r="EB198" s="116"/>
    </row>
    <row r="199" spans="1:132" x14ac:dyDescent="0.25">
      <c r="A199" s="11">
        <v>46218</v>
      </c>
      <c r="B199" s="33" t="s">
        <v>3</v>
      </c>
      <c r="C199" s="114"/>
      <c r="D199" s="115"/>
      <c r="E199" s="115"/>
      <c r="F199" s="116"/>
      <c r="H199" s="11">
        <v>46218</v>
      </c>
      <c r="I199" s="33" t="s">
        <v>3</v>
      </c>
      <c r="J199" s="114"/>
      <c r="K199" s="115"/>
      <c r="L199" s="115"/>
      <c r="M199" s="116"/>
      <c r="O199" s="11">
        <v>46218</v>
      </c>
      <c r="P199" s="33" t="s">
        <v>3</v>
      </c>
      <c r="Q199" s="114"/>
      <c r="R199" s="115"/>
      <c r="S199" s="115"/>
      <c r="T199" s="116"/>
      <c r="V199" s="11">
        <v>46217</v>
      </c>
      <c r="W199" s="33" t="s">
        <v>9</v>
      </c>
      <c r="X199" s="114"/>
      <c r="Y199" s="115"/>
      <c r="Z199" s="115"/>
      <c r="AA199" s="116"/>
      <c r="AC199" s="11">
        <v>46218</v>
      </c>
      <c r="AD199" s="33" t="s">
        <v>3</v>
      </c>
      <c r="AE199" s="114"/>
      <c r="AF199" s="115"/>
      <c r="AG199" s="115"/>
      <c r="AH199" s="116"/>
      <c r="AJ199" s="11">
        <v>46218</v>
      </c>
      <c r="AK199" s="33" t="s">
        <v>3</v>
      </c>
      <c r="AL199" s="114"/>
      <c r="AM199" s="115"/>
      <c r="AN199" s="115"/>
      <c r="AO199" s="116"/>
      <c r="AQ199" s="11">
        <v>46218</v>
      </c>
      <c r="AR199" s="33" t="s">
        <v>3</v>
      </c>
      <c r="AS199" s="114"/>
      <c r="AT199" s="115"/>
      <c r="AU199" s="115"/>
      <c r="AV199" s="116"/>
      <c r="AX199" s="11">
        <v>46217</v>
      </c>
      <c r="AY199" s="33" t="s">
        <v>9</v>
      </c>
      <c r="AZ199" s="114"/>
      <c r="BA199" s="115"/>
      <c r="BB199" s="115"/>
      <c r="BC199" s="116"/>
      <c r="BE199" s="11">
        <v>46218</v>
      </c>
      <c r="BF199" s="33" t="s">
        <v>3</v>
      </c>
      <c r="BG199" s="33"/>
      <c r="BH199" s="19"/>
      <c r="BI199" s="19"/>
      <c r="BJ199" s="20"/>
      <c r="BL199" s="11">
        <v>46218</v>
      </c>
      <c r="BM199" s="33" t="s">
        <v>3</v>
      </c>
      <c r="BN199" s="114"/>
      <c r="BO199" s="115"/>
      <c r="BP199" s="115"/>
      <c r="BQ199" s="116"/>
      <c r="BS199" s="11">
        <v>46218</v>
      </c>
      <c r="BT199" s="33" t="s">
        <v>3</v>
      </c>
      <c r="BU199" s="114"/>
      <c r="BV199" s="115"/>
      <c r="BW199" s="115"/>
      <c r="BX199" s="116"/>
      <c r="BZ199" s="11">
        <v>46217</v>
      </c>
      <c r="CA199" s="33" t="s">
        <v>9</v>
      </c>
      <c r="CB199" s="114"/>
      <c r="CC199" s="115"/>
      <c r="CD199" s="115"/>
      <c r="CE199" s="116"/>
      <c r="CG199" s="11">
        <v>46218</v>
      </c>
      <c r="CH199" s="33" t="s">
        <v>3</v>
      </c>
      <c r="CI199" s="114"/>
      <c r="CJ199" s="115"/>
      <c r="CK199" s="115"/>
      <c r="CL199" s="116"/>
      <c r="CN199" s="11">
        <v>46218</v>
      </c>
      <c r="CO199" s="33" t="s">
        <v>3</v>
      </c>
      <c r="CP199" s="114"/>
      <c r="CQ199" s="115"/>
      <c r="CR199" s="115"/>
      <c r="CS199" s="116"/>
      <c r="CU199" s="11">
        <v>46218</v>
      </c>
      <c r="CV199" s="33" t="s">
        <v>3</v>
      </c>
      <c r="CW199" s="114"/>
      <c r="CX199" s="115"/>
      <c r="CY199" s="115"/>
      <c r="CZ199" s="116"/>
      <c r="DB199" s="11">
        <v>46216</v>
      </c>
      <c r="DC199" s="33" t="s">
        <v>8</v>
      </c>
      <c r="DD199" s="114"/>
      <c r="DE199" s="115"/>
      <c r="DF199" s="115"/>
      <c r="DG199" s="116"/>
      <c r="DI199" s="11">
        <v>46218</v>
      </c>
      <c r="DJ199" s="33" t="s">
        <v>3</v>
      </c>
      <c r="DK199" s="114"/>
      <c r="DL199" s="115"/>
      <c r="DM199" s="115"/>
      <c r="DN199" s="116"/>
      <c r="DP199" s="11">
        <v>46216</v>
      </c>
      <c r="DQ199" s="33" t="s">
        <v>8</v>
      </c>
      <c r="DR199" s="114"/>
      <c r="DS199" s="115"/>
      <c r="DT199" s="115"/>
      <c r="DU199" s="116"/>
      <c r="DW199" s="11">
        <v>46218</v>
      </c>
      <c r="DX199" s="33" t="s">
        <v>3</v>
      </c>
      <c r="DY199" s="114"/>
      <c r="DZ199" s="115"/>
      <c r="EA199" s="115"/>
      <c r="EB199" s="116"/>
    </row>
    <row r="200" spans="1:132" x14ac:dyDescent="0.25">
      <c r="A200" s="11">
        <v>46219</v>
      </c>
      <c r="B200" s="33" t="s">
        <v>4</v>
      </c>
      <c r="C200" s="114"/>
      <c r="D200" s="115"/>
      <c r="E200" s="115"/>
      <c r="F200" s="116"/>
      <c r="H200" s="11">
        <v>46219</v>
      </c>
      <c r="I200" s="33" t="s">
        <v>4</v>
      </c>
      <c r="J200" s="114"/>
      <c r="K200" s="115"/>
      <c r="L200" s="115"/>
      <c r="M200" s="116"/>
      <c r="O200" s="11">
        <v>46219</v>
      </c>
      <c r="P200" s="33" t="s">
        <v>4</v>
      </c>
      <c r="Q200" s="114"/>
      <c r="R200" s="115"/>
      <c r="S200" s="115"/>
      <c r="T200" s="116"/>
      <c r="V200" s="11">
        <v>46218</v>
      </c>
      <c r="W200" s="33" t="s">
        <v>3</v>
      </c>
      <c r="X200" s="114"/>
      <c r="Y200" s="115"/>
      <c r="Z200" s="115"/>
      <c r="AA200" s="116"/>
      <c r="AC200" s="11">
        <v>46219</v>
      </c>
      <c r="AD200" s="33" t="s">
        <v>4</v>
      </c>
      <c r="AE200" s="114"/>
      <c r="AF200" s="115"/>
      <c r="AG200" s="115"/>
      <c r="AH200" s="116"/>
      <c r="AJ200" s="11">
        <v>46219</v>
      </c>
      <c r="AK200" s="33" t="s">
        <v>4</v>
      </c>
      <c r="AL200" s="114"/>
      <c r="AM200" s="115"/>
      <c r="AN200" s="115"/>
      <c r="AO200" s="116"/>
      <c r="AQ200" s="11">
        <v>46219</v>
      </c>
      <c r="AR200" s="33" t="s">
        <v>4</v>
      </c>
      <c r="AS200" s="114"/>
      <c r="AT200" s="115"/>
      <c r="AU200" s="115"/>
      <c r="AV200" s="116"/>
      <c r="AX200" s="11">
        <v>46218</v>
      </c>
      <c r="AY200" s="33" t="s">
        <v>3</v>
      </c>
      <c r="AZ200" s="114"/>
      <c r="BA200" s="115"/>
      <c r="BB200" s="115"/>
      <c r="BC200" s="116"/>
      <c r="BE200" s="11">
        <v>46219</v>
      </c>
      <c r="BF200" s="33" t="s">
        <v>4</v>
      </c>
      <c r="BG200" s="33"/>
      <c r="BH200" s="19"/>
      <c r="BI200" s="19"/>
      <c r="BJ200" s="20"/>
      <c r="BL200" s="11">
        <v>46219</v>
      </c>
      <c r="BM200" s="33" t="s">
        <v>4</v>
      </c>
      <c r="BN200" s="114"/>
      <c r="BO200" s="115"/>
      <c r="BP200" s="115"/>
      <c r="BQ200" s="116"/>
      <c r="BS200" s="11">
        <v>46219</v>
      </c>
      <c r="BT200" s="33" t="s">
        <v>4</v>
      </c>
      <c r="BU200" s="114"/>
      <c r="BV200" s="115"/>
      <c r="BW200" s="115"/>
      <c r="BX200" s="116"/>
      <c r="BZ200" s="11">
        <v>46218</v>
      </c>
      <c r="CA200" s="33" t="s">
        <v>3</v>
      </c>
      <c r="CB200" s="114"/>
      <c r="CC200" s="115"/>
      <c r="CD200" s="115"/>
      <c r="CE200" s="116"/>
      <c r="CG200" s="11">
        <v>46219</v>
      </c>
      <c r="CH200" s="33" t="s">
        <v>4</v>
      </c>
      <c r="CI200" s="114"/>
      <c r="CJ200" s="115"/>
      <c r="CK200" s="115"/>
      <c r="CL200" s="116"/>
      <c r="CN200" s="11">
        <v>46219</v>
      </c>
      <c r="CO200" s="33" t="s">
        <v>4</v>
      </c>
      <c r="CP200" s="114"/>
      <c r="CQ200" s="115"/>
      <c r="CR200" s="115"/>
      <c r="CS200" s="116"/>
      <c r="CU200" s="11">
        <v>46219</v>
      </c>
      <c r="CV200" s="33" t="s">
        <v>4</v>
      </c>
      <c r="CW200" s="114"/>
      <c r="CX200" s="115"/>
      <c r="CY200" s="115"/>
      <c r="CZ200" s="116"/>
      <c r="DB200" s="11">
        <v>46217</v>
      </c>
      <c r="DC200" s="33" t="s">
        <v>9</v>
      </c>
      <c r="DD200" s="114"/>
      <c r="DE200" s="115"/>
      <c r="DF200" s="115"/>
      <c r="DG200" s="116"/>
      <c r="DI200" s="11">
        <v>46219</v>
      </c>
      <c r="DJ200" s="33" t="s">
        <v>4</v>
      </c>
      <c r="DK200" s="114"/>
      <c r="DL200" s="115"/>
      <c r="DM200" s="115"/>
      <c r="DN200" s="116"/>
      <c r="DP200" s="11">
        <v>46217</v>
      </c>
      <c r="DQ200" s="33" t="s">
        <v>9</v>
      </c>
      <c r="DR200" s="114"/>
      <c r="DS200" s="115"/>
      <c r="DT200" s="115"/>
      <c r="DU200" s="116"/>
      <c r="DW200" s="11">
        <v>46219</v>
      </c>
      <c r="DX200" s="33" t="s">
        <v>4</v>
      </c>
      <c r="DY200" s="114"/>
      <c r="DZ200" s="115"/>
      <c r="EA200" s="115"/>
      <c r="EB200" s="116"/>
    </row>
    <row r="201" spans="1:132" x14ac:dyDescent="0.25">
      <c r="A201" s="11">
        <v>46220</v>
      </c>
      <c r="B201" s="33" t="s">
        <v>5</v>
      </c>
      <c r="C201" s="114"/>
      <c r="D201" s="115"/>
      <c r="E201" s="115"/>
      <c r="F201" s="116"/>
      <c r="H201" s="11">
        <v>46220</v>
      </c>
      <c r="I201" s="33" t="s">
        <v>5</v>
      </c>
      <c r="J201" s="114"/>
      <c r="K201" s="115"/>
      <c r="L201" s="115"/>
      <c r="M201" s="116"/>
      <c r="O201" s="11">
        <v>46220</v>
      </c>
      <c r="P201" s="33" t="s">
        <v>5</v>
      </c>
      <c r="Q201" s="114"/>
      <c r="R201" s="115"/>
      <c r="S201" s="115"/>
      <c r="T201" s="116"/>
      <c r="V201" s="11">
        <v>46219</v>
      </c>
      <c r="W201" s="33" t="s">
        <v>4</v>
      </c>
      <c r="X201" s="114"/>
      <c r="Y201" s="115"/>
      <c r="Z201" s="115"/>
      <c r="AA201" s="116"/>
      <c r="AC201" s="11">
        <v>46220</v>
      </c>
      <c r="AD201" s="33" t="s">
        <v>5</v>
      </c>
      <c r="AE201" s="114"/>
      <c r="AF201" s="115"/>
      <c r="AG201" s="115"/>
      <c r="AH201" s="116"/>
      <c r="AJ201" s="11">
        <v>46220</v>
      </c>
      <c r="AK201" s="33" t="s">
        <v>5</v>
      </c>
      <c r="AL201" s="114"/>
      <c r="AM201" s="115"/>
      <c r="AN201" s="115"/>
      <c r="AO201" s="116"/>
      <c r="AQ201" s="11">
        <v>46220</v>
      </c>
      <c r="AR201" s="33" t="s">
        <v>5</v>
      </c>
      <c r="AS201" s="114"/>
      <c r="AT201" s="115"/>
      <c r="AU201" s="115"/>
      <c r="AV201" s="116"/>
      <c r="AX201" s="11">
        <v>46219</v>
      </c>
      <c r="AY201" s="33" t="s">
        <v>4</v>
      </c>
      <c r="AZ201" s="114"/>
      <c r="BA201" s="115"/>
      <c r="BB201" s="115"/>
      <c r="BC201" s="116"/>
      <c r="BE201" s="11">
        <v>46220</v>
      </c>
      <c r="BF201" s="33" t="s">
        <v>5</v>
      </c>
      <c r="BG201" s="33"/>
      <c r="BH201" s="19"/>
      <c r="BI201" s="19"/>
      <c r="BJ201" s="20"/>
      <c r="BL201" s="11">
        <v>46220</v>
      </c>
      <c r="BM201" s="33" t="s">
        <v>5</v>
      </c>
      <c r="BN201" s="114"/>
      <c r="BO201" s="115"/>
      <c r="BP201" s="115"/>
      <c r="BQ201" s="116"/>
      <c r="BS201" s="11">
        <v>46220</v>
      </c>
      <c r="BT201" s="33" t="s">
        <v>5</v>
      </c>
      <c r="BU201" s="114"/>
      <c r="BV201" s="115"/>
      <c r="BW201" s="115"/>
      <c r="BX201" s="116"/>
      <c r="BZ201" s="11">
        <v>46219</v>
      </c>
      <c r="CA201" s="33" t="s">
        <v>4</v>
      </c>
      <c r="CB201" s="114"/>
      <c r="CC201" s="115"/>
      <c r="CD201" s="115"/>
      <c r="CE201" s="116"/>
      <c r="CG201" s="11">
        <v>46220</v>
      </c>
      <c r="CH201" s="33" t="s">
        <v>5</v>
      </c>
      <c r="CI201" s="114"/>
      <c r="CJ201" s="115"/>
      <c r="CK201" s="115"/>
      <c r="CL201" s="116"/>
      <c r="CN201" s="11">
        <v>46220</v>
      </c>
      <c r="CO201" s="33" t="s">
        <v>5</v>
      </c>
      <c r="CP201" s="114"/>
      <c r="CQ201" s="115"/>
      <c r="CR201" s="115"/>
      <c r="CS201" s="116"/>
      <c r="CU201" s="11">
        <v>46220</v>
      </c>
      <c r="CV201" s="33" t="s">
        <v>5</v>
      </c>
      <c r="CW201" s="114"/>
      <c r="CX201" s="115"/>
      <c r="CY201" s="115"/>
      <c r="CZ201" s="116"/>
      <c r="DB201" s="11">
        <v>46218</v>
      </c>
      <c r="DC201" s="33" t="s">
        <v>3</v>
      </c>
      <c r="DD201" s="114"/>
      <c r="DE201" s="115"/>
      <c r="DF201" s="115"/>
      <c r="DG201" s="116"/>
      <c r="DI201" s="11">
        <v>46220</v>
      </c>
      <c r="DJ201" s="33" t="s">
        <v>5</v>
      </c>
      <c r="DK201" s="114"/>
      <c r="DL201" s="115"/>
      <c r="DM201" s="115"/>
      <c r="DN201" s="116"/>
      <c r="DP201" s="11">
        <v>46218</v>
      </c>
      <c r="DQ201" s="33" t="s">
        <v>3</v>
      </c>
      <c r="DR201" s="114"/>
      <c r="DS201" s="115"/>
      <c r="DT201" s="115"/>
      <c r="DU201" s="116"/>
      <c r="DW201" s="11">
        <v>46220</v>
      </c>
      <c r="DX201" s="33" t="s">
        <v>5</v>
      </c>
      <c r="DY201" s="114"/>
      <c r="DZ201" s="115"/>
      <c r="EA201" s="115"/>
      <c r="EB201" s="116"/>
    </row>
    <row r="202" spans="1:132" x14ac:dyDescent="0.25">
      <c r="A202" s="11">
        <v>46221</v>
      </c>
      <c r="B202" s="33" t="s">
        <v>6</v>
      </c>
      <c r="C202" s="114"/>
      <c r="D202" s="115"/>
      <c r="E202" s="115"/>
      <c r="F202" s="116"/>
      <c r="H202" s="11">
        <v>46221</v>
      </c>
      <c r="I202" s="33" t="s">
        <v>6</v>
      </c>
      <c r="J202" s="114"/>
      <c r="K202" s="115"/>
      <c r="L202" s="115"/>
      <c r="M202" s="116"/>
      <c r="O202" s="11">
        <v>46221</v>
      </c>
      <c r="P202" s="33" t="s">
        <v>6</v>
      </c>
      <c r="Q202" s="114"/>
      <c r="R202" s="115"/>
      <c r="S202" s="115"/>
      <c r="T202" s="116"/>
      <c r="V202" s="11">
        <v>46220</v>
      </c>
      <c r="W202" s="33" t="s">
        <v>5</v>
      </c>
      <c r="X202" s="114"/>
      <c r="Y202" s="115"/>
      <c r="Z202" s="115"/>
      <c r="AA202" s="116"/>
      <c r="AC202" s="11">
        <v>46221</v>
      </c>
      <c r="AD202" s="33" t="s">
        <v>6</v>
      </c>
      <c r="AE202" s="114"/>
      <c r="AF202" s="115"/>
      <c r="AG202" s="115"/>
      <c r="AH202" s="116"/>
      <c r="AJ202" s="11">
        <v>46221</v>
      </c>
      <c r="AK202" s="33" t="s">
        <v>6</v>
      </c>
      <c r="AL202" s="114"/>
      <c r="AM202" s="115"/>
      <c r="AN202" s="115"/>
      <c r="AO202" s="116"/>
      <c r="AQ202" s="11">
        <v>46221</v>
      </c>
      <c r="AR202" s="33" t="s">
        <v>6</v>
      </c>
      <c r="AS202" s="114"/>
      <c r="AT202" s="115"/>
      <c r="AU202" s="115"/>
      <c r="AV202" s="116"/>
      <c r="AX202" s="11">
        <v>46220</v>
      </c>
      <c r="AY202" s="33" t="s">
        <v>5</v>
      </c>
      <c r="AZ202" s="114"/>
      <c r="BA202" s="115"/>
      <c r="BB202" s="115"/>
      <c r="BC202" s="116"/>
      <c r="BE202" s="11">
        <v>46221</v>
      </c>
      <c r="BF202" s="33" t="s">
        <v>6</v>
      </c>
      <c r="BG202" s="33"/>
      <c r="BH202" s="19"/>
      <c r="BI202" s="19"/>
      <c r="BJ202" s="20"/>
      <c r="BL202" s="11">
        <v>46221</v>
      </c>
      <c r="BM202" s="33" t="s">
        <v>6</v>
      </c>
      <c r="BN202" s="114"/>
      <c r="BO202" s="115"/>
      <c r="BP202" s="115"/>
      <c r="BQ202" s="116"/>
      <c r="BS202" s="11">
        <v>46221</v>
      </c>
      <c r="BT202" s="33" t="s">
        <v>6</v>
      </c>
      <c r="BU202" s="114"/>
      <c r="BV202" s="115"/>
      <c r="BW202" s="115"/>
      <c r="BX202" s="116"/>
      <c r="BZ202" s="11">
        <v>46220</v>
      </c>
      <c r="CA202" s="33" t="s">
        <v>5</v>
      </c>
      <c r="CB202" s="114"/>
      <c r="CC202" s="115"/>
      <c r="CD202" s="115"/>
      <c r="CE202" s="116"/>
      <c r="CG202" s="11">
        <v>46221</v>
      </c>
      <c r="CH202" s="33" t="s">
        <v>6</v>
      </c>
      <c r="CI202" s="114"/>
      <c r="CJ202" s="115"/>
      <c r="CK202" s="115"/>
      <c r="CL202" s="116"/>
      <c r="CN202" s="11">
        <v>46221</v>
      </c>
      <c r="CO202" s="33" t="s">
        <v>6</v>
      </c>
      <c r="CP202" s="114"/>
      <c r="CQ202" s="115"/>
      <c r="CR202" s="115"/>
      <c r="CS202" s="116"/>
      <c r="CU202" s="11">
        <v>46221</v>
      </c>
      <c r="CV202" s="33" t="s">
        <v>6</v>
      </c>
      <c r="CW202" s="114"/>
      <c r="CX202" s="115"/>
      <c r="CY202" s="115"/>
      <c r="CZ202" s="116"/>
      <c r="DB202" s="11">
        <v>46219</v>
      </c>
      <c r="DC202" s="33" t="s">
        <v>4</v>
      </c>
      <c r="DD202" s="114"/>
      <c r="DE202" s="115"/>
      <c r="DF202" s="115"/>
      <c r="DG202" s="116"/>
      <c r="DI202" s="11">
        <v>46221</v>
      </c>
      <c r="DJ202" s="33" t="s">
        <v>6</v>
      </c>
      <c r="DK202" s="114"/>
      <c r="DL202" s="115"/>
      <c r="DM202" s="115"/>
      <c r="DN202" s="116"/>
      <c r="DP202" s="11">
        <v>46219</v>
      </c>
      <c r="DQ202" s="33" t="s">
        <v>4</v>
      </c>
      <c r="DR202" s="114"/>
      <c r="DS202" s="115"/>
      <c r="DT202" s="115"/>
      <c r="DU202" s="116"/>
      <c r="DW202" s="11">
        <v>46221</v>
      </c>
      <c r="DX202" s="33" t="s">
        <v>6</v>
      </c>
      <c r="DY202" s="114"/>
      <c r="DZ202" s="115"/>
      <c r="EA202" s="115"/>
      <c r="EB202" s="116"/>
    </row>
    <row r="203" spans="1:132" x14ac:dyDescent="0.25">
      <c r="A203" s="11">
        <v>46222</v>
      </c>
      <c r="B203" s="33" t="s">
        <v>7</v>
      </c>
      <c r="C203" s="114"/>
      <c r="D203" s="115"/>
      <c r="E203" s="115"/>
      <c r="F203" s="116"/>
      <c r="H203" s="11">
        <v>46222</v>
      </c>
      <c r="I203" s="33" t="s">
        <v>7</v>
      </c>
      <c r="J203" s="114"/>
      <c r="K203" s="115"/>
      <c r="L203" s="115"/>
      <c r="M203" s="116"/>
      <c r="O203" s="11">
        <v>46222</v>
      </c>
      <c r="P203" s="33" t="s">
        <v>7</v>
      </c>
      <c r="Q203" s="114"/>
      <c r="R203" s="115"/>
      <c r="S203" s="115"/>
      <c r="T203" s="116"/>
      <c r="V203" s="11">
        <v>46221</v>
      </c>
      <c r="W203" s="33" t="s">
        <v>6</v>
      </c>
      <c r="X203" s="114"/>
      <c r="Y203" s="115"/>
      <c r="Z203" s="115"/>
      <c r="AA203" s="116"/>
      <c r="AC203" s="11">
        <v>46222</v>
      </c>
      <c r="AD203" s="33" t="s">
        <v>7</v>
      </c>
      <c r="AE203" s="114"/>
      <c r="AF203" s="115"/>
      <c r="AG203" s="115"/>
      <c r="AH203" s="116"/>
      <c r="AJ203" s="11">
        <v>46222</v>
      </c>
      <c r="AK203" s="33" t="s">
        <v>7</v>
      </c>
      <c r="AL203" s="114"/>
      <c r="AM203" s="115"/>
      <c r="AN203" s="115"/>
      <c r="AO203" s="116"/>
      <c r="AQ203" s="11">
        <v>46222</v>
      </c>
      <c r="AR203" s="33" t="s">
        <v>7</v>
      </c>
      <c r="AS203" s="114"/>
      <c r="AT203" s="115"/>
      <c r="AU203" s="115"/>
      <c r="AV203" s="116"/>
      <c r="AX203" s="11">
        <v>46221</v>
      </c>
      <c r="AY203" s="33" t="s">
        <v>6</v>
      </c>
      <c r="AZ203" s="114"/>
      <c r="BA203" s="115"/>
      <c r="BB203" s="115"/>
      <c r="BC203" s="116"/>
      <c r="BE203" s="11">
        <v>46222</v>
      </c>
      <c r="BF203" s="33" t="s">
        <v>7</v>
      </c>
      <c r="BG203" s="33"/>
      <c r="BH203" s="19"/>
      <c r="BI203" s="19"/>
      <c r="BJ203" s="20"/>
      <c r="BL203" s="11">
        <v>46222</v>
      </c>
      <c r="BM203" s="33" t="s">
        <v>7</v>
      </c>
      <c r="BN203" s="114"/>
      <c r="BO203" s="115"/>
      <c r="BP203" s="115"/>
      <c r="BQ203" s="116"/>
      <c r="BS203" s="11">
        <v>46222</v>
      </c>
      <c r="BT203" s="33" t="s">
        <v>7</v>
      </c>
      <c r="BU203" s="114"/>
      <c r="BV203" s="115"/>
      <c r="BW203" s="115"/>
      <c r="BX203" s="116"/>
      <c r="BZ203" s="11">
        <v>46221</v>
      </c>
      <c r="CA203" s="33" t="s">
        <v>6</v>
      </c>
      <c r="CB203" s="114"/>
      <c r="CC203" s="115"/>
      <c r="CD203" s="115"/>
      <c r="CE203" s="116"/>
      <c r="CG203" s="11">
        <v>46222</v>
      </c>
      <c r="CH203" s="33" t="s">
        <v>7</v>
      </c>
      <c r="CI203" s="114"/>
      <c r="CJ203" s="115"/>
      <c r="CK203" s="115"/>
      <c r="CL203" s="116"/>
      <c r="CN203" s="11">
        <v>46222</v>
      </c>
      <c r="CO203" s="33" t="s">
        <v>7</v>
      </c>
      <c r="CP203" s="114"/>
      <c r="CQ203" s="115"/>
      <c r="CR203" s="115"/>
      <c r="CS203" s="116"/>
      <c r="CU203" s="11">
        <v>46222</v>
      </c>
      <c r="CV203" s="33" t="s">
        <v>7</v>
      </c>
      <c r="CW203" s="114"/>
      <c r="CX203" s="115"/>
      <c r="CY203" s="115"/>
      <c r="CZ203" s="116"/>
      <c r="DB203" s="11">
        <v>46220</v>
      </c>
      <c r="DC203" s="33" t="s">
        <v>5</v>
      </c>
      <c r="DD203" s="114"/>
      <c r="DE203" s="115"/>
      <c r="DF203" s="115"/>
      <c r="DG203" s="116"/>
      <c r="DI203" s="11">
        <v>46222</v>
      </c>
      <c r="DJ203" s="33" t="s">
        <v>7</v>
      </c>
      <c r="DK203" s="114"/>
      <c r="DL203" s="115"/>
      <c r="DM203" s="115"/>
      <c r="DN203" s="116"/>
      <c r="DP203" s="11">
        <v>46220</v>
      </c>
      <c r="DQ203" s="33" t="s">
        <v>5</v>
      </c>
      <c r="DR203" s="114"/>
      <c r="DS203" s="115"/>
      <c r="DT203" s="115"/>
      <c r="DU203" s="116"/>
      <c r="DW203" s="11">
        <v>46222</v>
      </c>
      <c r="DX203" s="33" t="s">
        <v>7</v>
      </c>
      <c r="DY203" s="114"/>
      <c r="DZ203" s="115"/>
      <c r="EA203" s="115"/>
      <c r="EB203" s="116"/>
    </row>
    <row r="204" spans="1:132" x14ac:dyDescent="0.25">
      <c r="A204" s="11">
        <v>46223</v>
      </c>
      <c r="B204" s="33" t="s">
        <v>8</v>
      </c>
      <c r="C204" s="114"/>
      <c r="D204" s="115"/>
      <c r="E204" s="115"/>
      <c r="F204" s="116"/>
      <c r="H204" s="11">
        <v>46223</v>
      </c>
      <c r="I204" s="33" t="s">
        <v>8</v>
      </c>
      <c r="J204" s="114"/>
      <c r="K204" s="115"/>
      <c r="L204" s="115"/>
      <c r="M204" s="116"/>
      <c r="O204" s="11">
        <v>46223</v>
      </c>
      <c r="P204" s="33" t="s">
        <v>8</v>
      </c>
      <c r="Q204" s="114"/>
      <c r="R204" s="115"/>
      <c r="S204" s="115"/>
      <c r="T204" s="116"/>
      <c r="V204" s="11">
        <v>46222</v>
      </c>
      <c r="W204" s="33" t="s">
        <v>7</v>
      </c>
      <c r="X204" s="114"/>
      <c r="Y204" s="115"/>
      <c r="Z204" s="115"/>
      <c r="AA204" s="116"/>
      <c r="AC204" s="11">
        <v>46223</v>
      </c>
      <c r="AD204" s="33" t="s">
        <v>8</v>
      </c>
      <c r="AE204" s="114"/>
      <c r="AF204" s="115"/>
      <c r="AG204" s="115"/>
      <c r="AH204" s="116"/>
      <c r="AJ204" s="11">
        <v>46223</v>
      </c>
      <c r="AK204" s="33" t="s">
        <v>8</v>
      </c>
      <c r="AL204" s="114"/>
      <c r="AM204" s="115"/>
      <c r="AN204" s="115"/>
      <c r="AO204" s="116"/>
      <c r="AQ204" s="11">
        <v>46223</v>
      </c>
      <c r="AR204" s="33" t="s">
        <v>8</v>
      </c>
      <c r="AS204" s="114"/>
      <c r="AT204" s="115"/>
      <c r="AU204" s="115"/>
      <c r="AV204" s="116"/>
      <c r="AX204" s="11">
        <v>46222</v>
      </c>
      <c r="AY204" s="33" t="s">
        <v>7</v>
      </c>
      <c r="AZ204" s="114"/>
      <c r="BA204" s="115"/>
      <c r="BB204" s="115"/>
      <c r="BC204" s="116"/>
      <c r="BE204" s="11">
        <v>46223</v>
      </c>
      <c r="BF204" s="33" t="s">
        <v>8</v>
      </c>
      <c r="BG204" s="33"/>
      <c r="BH204" s="19"/>
      <c r="BI204" s="19"/>
      <c r="BJ204" s="20"/>
      <c r="BL204" s="11">
        <v>46223</v>
      </c>
      <c r="BM204" s="33" t="s">
        <v>8</v>
      </c>
      <c r="BN204" s="114"/>
      <c r="BO204" s="115"/>
      <c r="BP204" s="115"/>
      <c r="BQ204" s="116"/>
      <c r="BS204" s="11">
        <v>46223</v>
      </c>
      <c r="BT204" s="33" t="s">
        <v>8</v>
      </c>
      <c r="BU204" s="114"/>
      <c r="BV204" s="115"/>
      <c r="BW204" s="115"/>
      <c r="BX204" s="116"/>
      <c r="BZ204" s="11">
        <v>46222</v>
      </c>
      <c r="CA204" s="33" t="s">
        <v>7</v>
      </c>
      <c r="CB204" s="114"/>
      <c r="CC204" s="115"/>
      <c r="CD204" s="115"/>
      <c r="CE204" s="116"/>
      <c r="CG204" s="11">
        <v>46223</v>
      </c>
      <c r="CH204" s="33" t="s">
        <v>8</v>
      </c>
      <c r="CI204" s="114"/>
      <c r="CJ204" s="115"/>
      <c r="CK204" s="115"/>
      <c r="CL204" s="116"/>
      <c r="CN204" s="11">
        <v>46223</v>
      </c>
      <c r="CO204" s="33" t="s">
        <v>8</v>
      </c>
      <c r="CP204" s="114"/>
      <c r="CQ204" s="115"/>
      <c r="CR204" s="115"/>
      <c r="CS204" s="116"/>
      <c r="CU204" s="11">
        <v>46223</v>
      </c>
      <c r="CV204" s="33" t="s">
        <v>8</v>
      </c>
      <c r="CW204" s="114"/>
      <c r="CX204" s="115"/>
      <c r="CY204" s="115"/>
      <c r="CZ204" s="116"/>
      <c r="DB204" s="11">
        <v>46221</v>
      </c>
      <c r="DC204" s="33" t="s">
        <v>6</v>
      </c>
      <c r="DD204" s="114"/>
      <c r="DE204" s="115"/>
      <c r="DF204" s="115"/>
      <c r="DG204" s="116"/>
      <c r="DI204" s="11">
        <v>46223</v>
      </c>
      <c r="DJ204" s="33" t="s">
        <v>8</v>
      </c>
      <c r="DK204" s="114"/>
      <c r="DL204" s="115"/>
      <c r="DM204" s="115"/>
      <c r="DN204" s="116"/>
      <c r="DP204" s="11">
        <v>46221</v>
      </c>
      <c r="DQ204" s="33" t="s">
        <v>6</v>
      </c>
      <c r="DR204" s="114"/>
      <c r="DS204" s="115"/>
      <c r="DT204" s="115"/>
      <c r="DU204" s="116"/>
      <c r="DW204" s="11">
        <v>46223</v>
      </c>
      <c r="DX204" s="33" t="s">
        <v>8</v>
      </c>
      <c r="DY204" s="114"/>
      <c r="DZ204" s="115"/>
      <c r="EA204" s="115"/>
      <c r="EB204" s="116"/>
    </row>
    <row r="205" spans="1:132" x14ac:dyDescent="0.25">
      <c r="A205" s="11">
        <v>46224</v>
      </c>
      <c r="B205" s="33" t="s">
        <v>9</v>
      </c>
      <c r="C205" s="114"/>
      <c r="D205" s="115"/>
      <c r="E205" s="115"/>
      <c r="F205" s="116"/>
      <c r="H205" s="11">
        <v>46224</v>
      </c>
      <c r="I205" s="33" t="s">
        <v>9</v>
      </c>
      <c r="J205" s="114"/>
      <c r="K205" s="115"/>
      <c r="L205" s="115"/>
      <c r="M205" s="116"/>
      <c r="O205" s="11">
        <v>46224</v>
      </c>
      <c r="P205" s="33" t="s">
        <v>9</v>
      </c>
      <c r="Q205" s="114"/>
      <c r="R205" s="115"/>
      <c r="S205" s="115"/>
      <c r="T205" s="116"/>
      <c r="V205" s="11">
        <v>46223</v>
      </c>
      <c r="W205" s="33" t="s">
        <v>8</v>
      </c>
      <c r="X205" s="114"/>
      <c r="Y205" s="115"/>
      <c r="Z205" s="115"/>
      <c r="AA205" s="116"/>
      <c r="AC205" s="11">
        <v>46224</v>
      </c>
      <c r="AD205" s="33" t="s">
        <v>9</v>
      </c>
      <c r="AE205" s="114"/>
      <c r="AF205" s="115"/>
      <c r="AG205" s="115"/>
      <c r="AH205" s="116"/>
      <c r="AJ205" s="11">
        <v>46224</v>
      </c>
      <c r="AK205" s="33" t="s">
        <v>9</v>
      </c>
      <c r="AL205" s="114"/>
      <c r="AM205" s="115"/>
      <c r="AN205" s="115"/>
      <c r="AO205" s="116"/>
      <c r="AQ205" s="11">
        <v>46224</v>
      </c>
      <c r="AR205" s="33" t="s">
        <v>9</v>
      </c>
      <c r="AS205" s="114"/>
      <c r="AT205" s="115"/>
      <c r="AU205" s="115"/>
      <c r="AV205" s="116"/>
      <c r="AX205" s="11">
        <v>46223</v>
      </c>
      <c r="AY205" s="33" t="s">
        <v>8</v>
      </c>
      <c r="AZ205" s="114"/>
      <c r="BA205" s="115"/>
      <c r="BB205" s="115"/>
      <c r="BC205" s="116"/>
      <c r="BE205" s="11">
        <v>46224</v>
      </c>
      <c r="BF205" s="33" t="s">
        <v>9</v>
      </c>
      <c r="BG205" s="33"/>
      <c r="BH205" s="19"/>
      <c r="BI205" s="19"/>
      <c r="BJ205" s="20"/>
      <c r="BL205" s="11">
        <v>46224</v>
      </c>
      <c r="BM205" s="33" t="s">
        <v>9</v>
      </c>
      <c r="BN205" s="114"/>
      <c r="BO205" s="115"/>
      <c r="BP205" s="115"/>
      <c r="BQ205" s="116"/>
      <c r="BS205" s="11">
        <v>46224</v>
      </c>
      <c r="BT205" s="33" t="s">
        <v>9</v>
      </c>
      <c r="BU205" s="114"/>
      <c r="BV205" s="115"/>
      <c r="BW205" s="115"/>
      <c r="BX205" s="116"/>
      <c r="BZ205" s="11">
        <v>46223</v>
      </c>
      <c r="CA205" s="33" t="s">
        <v>8</v>
      </c>
      <c r="CB205" s="114"/>
      <c r="CC205" s="115"/>
      <c r="CD205" s="115"/>
      <c r="CE205" s="116"/>
      <c r="CG205" s="11">
        <v>46224</v>
      </c>
      <c r="CH205" s="33" t="s">
        <v>9</v>
      </c>
      <c r="CI205" s="114"/>
      <c r="CJ205" s="115"/>
      <c r="CK205" s="115"/>
      <c r="CL205" s="116"/>
      <c r="CN205" s="11">
        <v>46224</v>
      </c>
      <c r="CO205" s="33" t="s">
        <v>9</v>
      </c>
      <c r="CP205" s="114"/>
      <c r="CQ205" s="115"/>
      <c r="CR205" s="115"/>
      <c r="CS205" s="116"/>
      <c r="CU205" s="11">
        <v>46224</v>
      </c>
      <c r="CV205" s="33" t="s">
        <v>9</v>
      </c>
      <c r="CW205" s="114"/>
      <c r="CX205" s="115"/>
      <c r="CY205" s="115"/>
      <c r="CZ205" s="116"/>
      <c r="DB205" s="11">
        <v>46222</v>
      </c>
      <c r="DC205" s="33" t="s">
        <v>7</v>
      </c>
      <c r="DD205" s="114"/>
      <c r="DE205" s="115"/>
      <c r="DF205" s="115"/>
      <c r="DG205" s="116"/>
      <c r="DI205" s="11">
        <v>46224</v>
      </c>
      <c r="DJ205" s="33" t="s">
        <v>9</v>
      </c>
      <c r="DK205" s="114"/>
      <c r="DL205" s="115"/>
      <c r="DM205" s="115"/>
      <c r="DN205" s="116"/>
      <c r="DP205" s="11">
        <v>46222</v>
      </c>
      <c r="DQ205" s="33" t="s">
        <v>7</v>
      </c>
      <c r="DR205" s="114"/>
      <c r="DS205" s="115"/>
      <c r="DT205" s="115"/>
      <c r="DU205" s="116"/>
      <c r="DW205" s="11">
        <v>46224</v>
      </c>
      <c r="DX205" s="33" t="s">
        <v>9</v>
      </c>
      <c r="DY205" s="114"/>
      <c r="DZ205" s="115"/>
      <c r="EA205" s="115"/>
      <c r="EB205" s="116"/>
    </row>
    <row r="206" spans="1:132" x14ac:dyDescent="0.25">
      <c r="A206" s="11">
        <v>46225</v>
      </c>
      <c r="B206" s="33" t="s">
        <v>3</v>
      </c>
      <c r="C206" s="114"/>
      <c r="D206" s="115"/>
      <c r="E206" s="115"/>
      <c r="F206" s="116"/>
      <c r="H206" s="11">
        <v>46225</v>
      </c>
      <c r="I206" s="33" t="s">
        <v>3</v>
      </c>
      <c r="J206" s="114"/>
      <c r="K206" s="115"/>
      <c r="L206" s="115"/>
      <c r="M206" s="116"/>
      <c r="O206" s="11">
        <v>46225</v>
      </c>
      <c r="P206" s="33" t="s">
        <v>3</v>
      </c>
      <c r="Q206" s="114"/>
      <c r="R206" s="115"/>
      <c r="S206" s="115"/>
      <c r="T206" s="116"/>
      <c r="V206" s="11">
        <v>46224</v>
      </c>
      <c r="W206" s="33" t="s">
        <v>9</v>
      </c>
      <c r="X206" s="114"/>
      <c r="Y206" s="115"/>
      <c r="Z206" s="115"/>
      <c r="AA206" s="116"/>
      <c r="AC206" s="11">
        <v>46225</v>
      </c>
      <c r="AD206" s="33" t="s">
        <v>3</v>
      </c>
      <c r="AE206" s="114"/>
      <c r="AF206" s="115"/>
      <c r="AG206" s="115"/>
      <c r="AH206" s="116"/>
      <c r="AJ206" s="11">
        <v>46225</v>
      </c>
      <c r="AK206" s="33" t="s">
        <v>3</v>
      </c>
      <c r="AL206" s="114"/>
      <c r="AM206" s="115"/>
      <c r="AN206" s="115"/>
      <c r="AO206" s="116"/>
      <c r="AQ206" s="11">
        <v>46225</v>
      </c>
      <c r="AR206" s="33" t="s">
        <v>3</v>
      </c>
      <c r="AS206" s="114"/>
      <c r="AT206" s="115"/>
      <c r="AU206" s="115"/>
      <c r="AV206" s="116"/>
      <c r="AX206" s="11">
        <v>46224</v>
      </c>
      <c r="AY206" s="33" t="s">
        <v>9</v>
      </c>
      <c r="AZ206" s="114"/>
      <c r="BA206" s="115"/>
      <c r="BB206" s="115"/>
      <c r="BC206" s="116"/>
      <c r="BE206" s="11">
        <v>46225</v>
      </c>
      <c r="BF206" s="33" t="s">
        <v>3</v>
      </c>
      <c r="BG206" s="33"/>
      <c r="BH206" s="19"/>
      <c r="BI206" s="19"/>
      <c r="BJ206" s="20"/>
      <c r="BL206" s="11">
        <v>46225</v>
      </c>
      <c r="BM206" s="33" t="s">
        <v>3</v>
      </c>
      <c r="BN206" s="114"/>
      <c r="BO206" s="115"/>
      <c r="BP206" s="115"/>
      <c r="BQ206" s="116"/>
      <c r="BS206" s="11">
        <v>46225</v>
      </c>
      <c r="BT206" s="33" t="s">
        <v>3</v>
      </c>
      <c r="BU206" s="114"/>
      <c r="BV206" s="115"/>
      <c r="BW206" s="115"/>
      <c r="BX206" s="116"/>
      <c r="BZ206" s="11">
        <v>46224</v>
      </c>
      <c r="CA206" s="33" t="s">
        <v>9</v>
      </c>
      <c r="CB206" s="114"/>
      <c r="CC206" s="115"/>
      <c r="CD206" s="115"/>
      <c r="CE206" s="116"/>
      <c r="CG206" s="11">
        <v>46225</v>
      </c>
      <c r="CH206" s="33" t="s">
        <v>3</v>
      </c>
      <c r="CI206" s="114"/>
      <c r="CJ206" s="115"/>
      <c r="CK206" s="115"/>
      <c r="CL206" s="116"/>
      <c r="CN206" s="11">
        <v>46225</v>
      </c>
      <c r="CO206" s="33" t="s">
        <v>3</v>
      </c>
      <c r="CP206" s="114"/>
      <c r="CQ206" s="115"/>
      <c r="CR206" s="115"/>
      <c r="CS206" s="116"/>
      <c r="CU206" s="11">
        <v>46225</v>
      </c>
      <c r="CV206" s="33" t="s">
        <v>3</v>
      </c>
      <c r="CW206" s="114"/>
      <c r="CX206" s="115"/>
      <c r="CY206" s="115"/>
      <c r="CZ206" s="116"/>
      <c r="DB206" s="11">
        <v>46223</v>
      </c>
      <c r="DC206" s="33" t="s">
        <v>8</v>
      </c>
      <c r="DD206" s="114"/>
      <c r="DE206" s="115"/>
      <c r="DF206" s="115"/>
      <c r="DG206" s="116"/>
      <c r="DI206" s="11">
        <v>46225</v>
      </c>
      <c r="DJ206" s="33" t="s">
        <v>3</v>
      </c>
      <c r="DK206" s="114"/>
      <c r="DL206" s="115"/>
      <c r="DM206" s="115"/>
      <c r="DN206" s="116"/>
      <c r="DP206" s="11">
        <v>46223</v>
      </c>
      <c r="DQ206" s="33" t="s">
        <v>8</v>
      </c>
      <c r="DR206" s="114"/>
      <c r="DS206" s="115"/>
      <c r="DT206" s="115"/>
      <c r="DU206" s="116"/>
      <c r="DW206" s="11">
        <v>46225</v>
      </c>
      <c r="DX206" s="33" t="s">
        <v>3</v>
      </c>
      <c r="DY206" s="114"/>
      <c r="DZ206" s="115"/>
      <c r="EA206" s="115"/>
      <c r="EB206" s="116"/>
    </row>
    <row r="207" spans="1:132" x14ac:dyDescent="0.25">
      <c r="A207" s="11">
        <v>46226</v>
      </c>
      <c r="B207" s="33" t="s">
        <v>4</v>
      </c>
      <c r="C207" s="114"/>
      <c r="D207" s="115"/>
      <c r="E207" s="115"/>
      <c r="F207" s="116"/>
      <c r="H207" s="11">
        <v>46226</v>
      </c>
      <c r="I207" s="33" t="s">
        <v>4</v>
      </c>
      <c r="J207" s="114"/>
      <c r="K207" s="115"/>
      <c r="L207" s="115"/>
      <c r="M207" s="116"/>
      <c r="O207" s="11">
        <v>46226</v>
      </c>
      <c r="P207" s="33" t="s">
        <v>4</v>
      </c>
      <c r="Q207" s="114"/>
      <c r="R207" s="115"/>
      <c r="S207" s="115"/>
      <c r="T207" s="116"/>
      <c r="V207" s="11">
        <v>46225</v>
      </c>
      <c r="W207" s="33" t="s">
        <v>3</v>
      </c>
      <c r="X207" s="114"/>
      <c r="Y207" s="115"/>
      <c r="Z207" s="115"/>
      <c r="AA207" s="116"/>
      <c r="AC207" s="11">
        <v>46226</v>
      </c>
      <c r="AD207" s="33" t="s">
        <v>4</v>
      </c>
      <c r="AE207" s="114"/>
      <c r="AF207" s="115"/>
      <c r="AG207" s="115"/>
      <c r="AH207" s="116"/>
      <c r="AJ207" s="11">
        <v>46226</v>
      </c>
      <c r="AK207" s="33" t="s">
        <v>4</v>
      </c>
      <c r="AL207" s="114"/>
      <c r="AM207" s="115"/>
      <c r="AN207" s="115"/>
      <c r="AO207" s="116"/>
      <c r="AQ207" s="11">
        <v>46226</v>
      </c>
      <c r="AR207" s="33" t="s">
        <v>4</v>
      </c>
      <c r="AS207" s="114"/>
      <c r="AT207" s="115"/>
      <c r="AU207" s="115"/>
      <c r="AV207" s="116"/>
      <c r="AX207" s="11">
        <v>46225</v>
      </c>
      <c r="AY207" s="33" t="s">
        <v>3</v>
      </c>
      <c r="AZ207" s="114"/>
      <c r="BA207" s="115"/>
      <c r="BB207" s="115"/>
      <c r="BC207" s="116"/>
      <c r="BE207" s="11">
        <v>46226</v>
      </c>
      <c r="BF207" s="33" t="s">
        <v>4</v>
      </c>
      <c r="BG207" s="33"/>
      <c r="BH207" s="19"/>
      <c r="BI207" s="19"/>
      <c r="BJ207" s="20"/>
      <c r="BL207" s="11">
        <v>46226</v>
      </c>
      <c r="BM207" s="33" t="s">
        <v>4</v>
      </c>
      <c r="BN207" s="114"/>
      <c r="BO207" s="115"/>
      <c r="BP207" s="115"/>
      <c r="BQ207" s="116"/>
      <c r="BS207" s="11">
        <v>46226</v>
      </c>
      <c r="BT207" s="33" t="s">
        <v>4</v>
      </c>
      <c r="BU207" s="114"/>
      <c r="BV207" s="115"/>
      <c r="BW207" s="115"/>
      <c r="BX207" s="116"/>
      <c r="BZ207" s="11">
        <v>46225</v>
      </c>
      <c r="CA207" s="33" t="s">
        <v>3</v>
      </c>
      <c r="CB207" s="114"/>
      <c r="CC207" s="115"/>
      <c r="CD207" s="115"/>
      <c r="CE207" s="116"/>
      <c r="CG207" s="11">
        <v>46226</v>
      </c>
      <c r="CH207" s="33" t="s">
        <v>4</v>
      </c>
      <c r="CI207" s="114"/>
      <c r="CJ207" s="115"/>
      <c r="CK207" s="115"/>
      <c r="CL207" s="116"/>
      <c r="CN207" s="11">
        <v>46226</v>
      </c>
      <c r="CO207" s="33" t="s">
        <v>4</v>
      </c>
      <c r="CP207" s="114"/>
      <c r="CQ207" s="115"/>
      <c r="CR207" s="115"/>
      <c r="CS207" s="116"/>
      <c r="CU207" s="11">
        <v>46226</v>
      </c>
      <c r="CV207" s="33" t="s">
        <v>4</v>
      </c>
      <c r="CW207" s="114"/>
      <c r="CX207" s="115"/>
      <c r="CY207" s="115"/>
      <c r="CZ207" s="116"/>
      <c r="DB207" s="11">
        <v>46224</v>
      </c>
      <c r="DC207" s="33" t="s">
        <v>9</v>
      </c>
      <c r="DD207" s="114"/>
      <c r="DE207" s="115"/>
      <c r="DF207" s="115"/>
      <c r="DG207" s="116"/>
      <c r="DI207" s="11">
        <v>46226</v>
      </c>
      <c r="DJ207" s="33" t="s">
        <v>4</v>
      </c>
      <c r="DK207" s="114"/>
      <c r="DL207" s="115"/>
      <c r="DM207" s="115"/>
      <c r="DN207" s="116"/>
      <c r="DP207" s="11">
        <v>46224</v>
      </c>
      <c r="DQ207" s="33" t="s">
        <v>9</v>
      </c>
      <c r="DR207" s="114"/>
      <c r="DS207" s="115"/>
      <c r="DT207" s="115"/>
      <c r="DU207" s="116"/>
      <c r="DW207" s="11">
        <v>46226</v>
      </c>
      <c r="DX207" s="33" t="s">
        <v>4</v>
      </c>
      <c r="DY207" s="114"/>
      <c r="DZ207" s="115"/>
      <c r="EA207" s="115"/>
      <c r="EB207" s="116"/>
    </row>
    <row r="208" spans="1:132" x14ac:dyDescent="0.25">
      <c r="A208" s="11">
        <v>46227</v>
      </c>
      <c r="B208" s="33" t="s">
        <v>5</v>
      </c>
      <c r="C208" s="114"/>
      <c r="D208" s="115"/>
      <c r="E208" s="115"/>
      <c r="F208" s="116"/>
      <c r="H208" s="11">
        <v>46227</v>
      </c>
      <c r="I208" s="33" t="s">
        <v>5</v>
      </c>
      <c r="J208" s="114"/>
      <c r="K208" s="115"/>
      <c r="L208" s="115"/>
      <c r="M208" s="116"/>
      <c r="O208" s="11">
        <v>46227</v>
      </c>
      <c r="P208" s="33" t="s">
        <v>5</v>
      </c>
      <c r="Q208" s="114"/>
      <c r="R208" s="115"/>
      <c r="S208" s="115"/>
      <c r="T208" s="116"/>
      <c r="V208" s="11">
        <v>46226</v>
      </c>
      <c r="W208" s="33" t="s">
        <v>4</v>
      </c>
      <c r="X208" s="114"/>
      <c r="Y208" s="115"/>
      <c r="Z208" s="115"/>
      <c r="AA208" s="116"/>
      <c r="AC208" s="11">
        <v>46227</v>
      </c>
      <c r="AD208" s="33" t="s">
        <v>5</v>
      </c>
      <c r="AE208" s="114"/>
      <c r="AF208" s="115"/>
      <c r="AG208" s="115"/>
      <c r="AH208" s="116"/>
      <c r="AJ208" s="11">
        <v>46227</v>
      </c>
      <c r="AK208" s="33" t="s">
        <v>5</v>
      </c>
      <c r="AL208" s="114"/>
      <c r="AM208" s="115"/>
      <c r="AN208" s="115"/>
      <c r="AO208" s="116"/>
      <c r="AQ208" s="11">
        <v>46227</v>
      </c>
      <c r="AR208" s="33" t="s">
        <v>5</v>
      </c>
      <c r="AS208" s="114"/>
      <c r="AT208" s="115"/>
      <c r="AU208" s="115"/>
      <c r="AV208" s="116"/>
      <c r="AX208" s="11">
        <v>46226</v>
      </c>
      <c r="AY208" s="33" t="s">
        <v>4</v>
      </c>
      <c r="AZ208" s="114"/>
      <c r="BA208" s="115"/>
      <c r="BB208" s="115"/>
      <c r="BC208" s="116"/>
      <c r="BE208" s="11">
        <v>46227</v>
      </c>
      <c r="BF208" s="33" t="s">
        <v>5</v>
      </c>
      <c r="BG208" s="33"/>
      <c r="BH208" s="19"/>
      <c r="BI208" s="19"/>
      <c r="BJ208" s="20"/>
      <c r="BL208" s="11">
        <v>46227</v>
      </c>
      <c r="BM208" s="33" t="s">
        <v>5</v>
      </c>
      <c r="BN208" s="114"/>
      <c r="BO208" s="115"/>
      <c r="BP208" s="115"/>
      <c r="BQ208" s="116"/>
      <c r="BS208" s="11">
        <v>46227</v>
      </c>
      <c r="BT208" s="33" t="s">
        <v>5</v>
      </c>
      <c r="BU208" s="114"/>
      <c r="BV208" s="115"/>
      <c r="BW208" s="115"/>
      <c r="BX208" s="116"/>
      <c r="BZ208" s="11">
        <v>46226</v>
      </c>
      <c r="CA208" s="33" t="s">
        <v>4</v>
      </c>
      <c r="CB208" s="114"/>
      <c r="CC208" s="115"/>
      <c r="CD208" s="115"/>
      <c r="CE208" s="116"/>
      <c r="CG208" s="11">
        <v>46227</v>
      </c>
      <c r="CH208" s="33" t="s">
        <v>5</v>
      </c>
      <c r="CI208" s="114"/>
      <c r="CJ208" s="115"/>
      <c r="CK208" s="115"/>
      <c r="CL208" s="116"/>
      <c r="CN208" s="11">
        <v>46227</v>
      </c>
      <c r="CO208" s="33" t="s">
        <v>5</v>
      </c>
      <c r="CP208" s="114"/>
      <c r="CQ208" s="115"/>
      <c r="CR208" s="115"/>
      <c r="CS208" s="116"/>
      <c r="CU208" s="11">
        <v>46227</v>
      </c>
      <c r="CV208" s="33" t="s">
        <v>5</v>
      </c>
      <c r="CW208" s="114"/>
      <c r="CX208" s="115"/>
      <c r="CY208" s="115"/>
      <c r="CZ208" s="116"/>
      <c r="DB208" s="11">
        <v>46225</v>
      </c>
      <c r="DC208" s="33" t="s">
        <v>3</v>
      </c>
      <c r="DD208" s="114"/>
      <c r="DE208" s="115"/>
      <c r="DF208" s="115"/>
      <c r="DG208" s="116"/>
      <c r="DI208" s="11">
        <v>46227</v>
      </c>
      <c r="DJ208" s="33" t="s">
        <v>5</v>
      </c>
      <c r="DK208" s="114"/>
      <c r="DL208" s="115"/>
      <c r="DM208" s="115"/>
      <c r="DN208" s="116"/>
      <c r="DP208" s="11">
        <v>46225</v>
      </c>
      <c r="DQ208" s="33" t="s">
        <v>3</v>
      </c>
      <c r="DR208" s="114"/>
      <c r="DS208" s="115"/>
      <c r="DT208" s="115"/>
      <c r="DU208" s="116"/>
      <c r="DW208" s="11">
        <v>46227</v>
      </c>
      <c r="DX208" s="33" t="s">
        <v>5</v>
      </c>
      <c r="DY208" s="114"/>
      <c r="DZ208" s="115"/>
      <c r="EA208" s="115"/>
      <c r="EB208" s="116"/>
    </row>
    <row r="209" spans="1:132" x14ac:dyDescent="0.25">
      <c r="A209" s="11">
        <v>46228</v>
      </c>
      <c r="B209" s="33" t="s">
        <v>6</v>
      </c>
      <c r="C209" s="114"/>
      <c r="D209" s="115"/>
      <c r="E209" s="115"/>
      <c r="F209" s="116"/>
      <c r="H209" s="11">
        <v>46228</v>
      </c>
      <c r="I209" s="33" t="s">
        <v>6</v>
      </c>
      <c r="J209" s="114"/>
      <c r="K209" s="115"/>
      <c r="L209" s="115"/>
      <c r="M209" s="116"/>
      <c r="O209" s="11">
        <v>46228</v>
      </c>
      <c r="P209" s="33" t="s">
        <v>6</v>
      </c>
      <c r="Q209" s="114"/>
      <c r="R209" s="115"/>
      <c r="S209" s="115"/>
      <c r="T209" s="116"/>
      <c r="V209" s="11">
        <v>46227</v>
      </c>
      <c r="W209" s="33" t="s">
        <v>5</v>
      </c>
      <c r="X209" s="114"/>
      <c r="Y209" s="115"/>
      <c r="Z209" s="115"/>
      <c r="AA209" s="116"/>
      <c r="AC209" s="11">
        <v>46228</v>
      </c>
      <c r="AD209" s="33" t="s">
        <v>6</v>
      </c>
      <c r="AE209" s="114"/>
      <c r="AF209" s="115"/>
      <c r="AG209" s="115"/>
      <c r="AH209" s="116"/>
      <c r="AJ209" s="11">
        <v>46228</v>
      </c>
      <c r="AK209" s="33" t="s">
        <v>6</v>
      </c>
      <c r="AL209" s="114"/>
      <c r="AM209" s="115"/>
      <c r="AN209" s="115"/>
      <c r="AO209" s="116"/>
      <c r="AQ209" s="11">
        <v>46228</v>
      </c>
      <c r="AR209" s="33" t="s">
        <v>6</v>
      </c>
      <c r="AS209" s="114"/>
      <c r="AT209" s="115"/>
      <c r="AU209" s="115"/>
      <c r="AV209" s="116"/>
      <c r="AX209" s="11">
        <v>46227</v>
      </c>
      <c r="AY209" s="33" t="s">
        <v>5</v>
      </c>
      <c r="AZ209" s="114"/>
      <c r="BA209" s="115"/>
      <c r="BB209" s="115"/>
      <c r="BC209" s="116"/>
      <c r="BE209" s="11">
        <v>46228</v>
      </c>
      <c r="BF209" s="33" t="s">
        <v>6</v>
      </c>
      <c r="BG209" s="33"/>
      <c r="BH209" s="19"/>
      <c r="BI209" s="19"/>
      <c r="BJ209" s="20"/>
      <c r="BL209" s="11">
        <v>46228</v>
      </c>
      <c r="BM209" s="33" t="s">
        <v>6</v>
      </c>
      <c r="BN209" s="114"/>
      <c r="BO209" s="115"/>
      <c r="BP209" s="115"/>
      <c r="BQ209" s="116"/>
      <c r="BS209" s="11">
        <v>46228</v>
      </c>
      <c r="BT209" s="33" t="s">
        <v>6</v>
      </c>
      <c r="BU209" s="114"/>
      <c r="BV209" s="115"/>
      <c r="BW209" s="115"/>
      <c r="BX209" s="116"/>
      <c r="BZ209" s="11">
        <v>46227</v>
      </c>
      <c r="CA209" s="33" t="s">
        <v>5</v>
      </c>
      <c r="CB209" s="114"/>
      <c r="CC209" s="115"/>
      <c r="CD209" s="115"/>
      <c r="CE209" s="116"/>
      <c r="CG209" s="11">
        <v>46228</v>
      </c>
      <c r="CH209" s="33" t="s">
        <v>6</v>
      </c>
      <c r="CI209" s="114"/>
      <c r="CJ209" s="115"/>
      <c r="CK209" s="115"/>
      <c r="CL209" s="116"/>
      <c r="CN209" s="11">
        <v>46228</v>
      </c>
      <c r="CO209" s="33" t="s">
        <v>6</v>
      </c>
      <c r="CP209" s="114"/>
      <c r="CQ209" s="115"/>
      <c r="CR209" s="115"/>
      <c r="CS209" s="116"/>
      <c r="CU209" s="11">
        <v>46228</v>
      </c>
      <c r="CV209" s="33" t="s">
        <v>6</v>
      </c>
      <c r="CW209" s="114"/>
      <c r="CX209" s="115"/>
      <c r="CY209" s="115"/>
      <c r="CZ209" s="116"/>
      <c r="DB209" s="11">
        <v>46226</v>
      </c>
      <c r="DC209" s="33" t="s">
        <v>4</v>
      </c>
      <c r="DD209" s="114"/>
      <c r="DE209" s="115"/>
      <c r="DF209" s="115"/>
      <c r="DG209" s="116"/>
      <c r="DI209" s="11">
        <v>46228</v>
      </c>
      <c r="DJ209" s="33" t="s">
        <v>6</v>
      </c>
      <c r="DK209" s="114"/>
      <c r="DL209" s="115"/>
      <c r="DM209" s="115"/>
      <c r="DN209" s="116"/>
      <c r="DP209" s="11">
        <v>46226</v>
      </c>
      <c r="DQ209" s="33" t="s">
        <v>4</v>
      </c>
      <c r="DR209" s="114"/>
      <c r="DS209" s="115"/>
      <c r="DT209" s="115"/>
      <c r="DU209" s="116"/>
      <c r="DW209" s="11">
        <v>46228</v>
      </c>
      <c r="DX209" s="33" t="s">
        <v>6</v>
      </c>
      <c r="DY209" s="114"/>
      <c r="DZ209" s="115"/>
      <c r="EA209" s="115"/>
      <c r="EB209" s="116"/>
    </row>
    <row r="210" spans="1:132" x14ac:dyDescent="0.25">
      <c r="A210" s="11">
        <v>46229</v>
      </c>
      <c r="B210" s="33" t="s">
        <v>7</v>
      </c>
      <c r="C210" s="114"/>
      <c r="D210" s="115"/>
      <c r="E210" s="115"/>
      <c r="F210" s="116"/>
      <c r="H210" s="11">
        <v>46229</v>
      </c>
      <c r="I210" s="33" t="s">
        <v>7</v>
      </c>
      <c r="J210" s="114"/>
      <c r="K210" s="115"/>
      <c r="L210" s="115"/>
      <c r="M210" s="116"/>
      <c r="O210" s="11">
        <v>46229</v>
      </c>
      <c r="P210" s="33" t="s">
        <v>7</v>
      </c>
      <c r="Q210" s="114"/>
      <c r="R210" s="115"/>
      <c r="S210" s="115"/>
      <c r="T210" s="116"/>
      <c r="V210" s="11">
        <v>46228</v>
      </c>
      <c r="W210" s="33" t="s">
        <v>6</v>
      </c>
      <c r="X210" s="114"/>
      <c r="Y210" s="115"/>
      <c r="Z210" s="115"/>
      <c r="AA210" s="116"/>
      <c r="AC210" s="11">
        <v>46229</v>
      </c>
      <c r="AD210" s="33" t="s">
        <v>7</v>
      </c>
      <c r="AE210" s="114"/>
      <c r="AF210" s="115"/>
      <c r="AG210" s="115"/>
      <c r="AH210" s="116"/>
      <c r="AJ210" s="11">
        <v>46229</v>
      </c>
      <c r="AK210" s="33" t="s">
        <v>7</v>
      </c>
      <c r="AL210" s="114"/>
      <c r="AM210" s="115"/>
      <c r="AN210" s="115"/>
      <c r="AO210" s="116"/>
      <c r="AQ210" s="11">
        <v>46229</v>
      </c>
      <c r="AR210" s="33" t="s">
        <v>7</v>
      </c>
      <c r="AS210" s="114"/>
      <c r="AT210" s="115"/>
      <c r="AU210" s="115"/>
      <c r="AV210" s="116"/>
      <c r="AX210" s="11">
        <v>46228</v>
      </c>
      <c r="AY210" s="33" t="s">
        <v>6</v>
      </c>
      <c r="AZ210" s="114"/>
      <c r="BA210" s="115"/>
      <c r="BB210" s="115"/>
      <c r="BC210" s="116"/>
      <c r="BE210" s="11">
        <v>46229</v>
      </c>
      <c r="BF210" s="33" t="s">
        <v>7</v>
      </c>
      <c r="BG210" s="33"/>
      <c r="BH210" s="19"/>
      <c r="BI210" s="19"/>
      <c r="BJ210" s="20"/>
      <c r="BL210" s="11">
        <v>46229</v>
      </c>
      <c r="BM210" s="33" t="s">
        <v>7</v>
      </c>
      <c r="BN210" s="114"/>
      <c r="BO210" s="115"/>
      <c r="BP210" s="115"/>
      <c r="BQ210" s="116"/>
      <c r="BS210" s="11">
        <v>46229</v>
      </c>
      <c r="BT210" s="33" t="s">
        <v>7</v>
      </c>
      <c r="BU210" s="114"/>
      <c r="BV210" s="115"/>
      <c r="BW210" s="115"/>
      <c r="BX210" s="116"/>
      <c r="BZ210" s="11">
        <v>46228</v>
      </c>
      <c r="CA210" s="33" t="s">
        <v>6</v>
      </c>
      <c r="CB210" s="114"/>
      <c r="CC210" s="115"/>
      <c r="CD210" s="115"/>
      <c r="CE210" s="116"/>
      <c r="CG210" s="11">
        <v>46229</v>
      </c>
      <c r="CH210" s="33" t="s">
        <v>7</v>
      </c>
      <c r="CI210" s="114"/>
      <c r="CJ210" s="115"/>
      <c r="CK210" s="115"/>
      <c r="CL210" s="116"/>
      <c r="CN210" s="11">
        <v>46229</v>
      </c>
      <c r="CO210" s="33" t="s">
        <v>7</v>
      </c>
      <c r="CP210" s="114"/>
      <c r="CQ210" s="115"/>
      <c r="CR210" s="115"/>
      <c r="CS210" s="116"/>
      <c r="CU210" s="11">
        <v>46229</v>
      </c>
      <c r="CV210" s="33" t="s">
        <v>7</v>
      </c>
      <c r="CW210" s="114"/>
      <c r="CX210" s="115"/>
      <c r="CY210" s="115"/>
      <c r="CZ210" s="116"/>
      <c r="DB210" s="11">
        <v>46227</v>
      </c>
      <c r="DC210" s="33" t="s">
        <v>5</v>
      </c>
      <c r="DD210" s="114"/>
      <c r="DE210" s="115"/>
      <c r="DF210" s="115"/>
      <c r="DG210" s="116"/>
      <c r="DI210" s="11">
        <v>46229</v>
      </c>
      <c r="DJ210" s="33" t="s">
        <v>7</v>
      </c>
      <c r="DK210" s="114"/>
      <c r="DL210" s="115"/>
      <c r="DM210" s="115"/>
      <c r="DN210" s="116"/>
      <c r="DP210" s="11">
        <v>46227</v>
      </c>
      <c r="DQ210" s="33" t="s">
        <v>5</v>
      </c>
      <c r="DR210" s="114"/>
      <c r="DS210" s="115"/>
      <c r="DT210" s="115"/>
      <c r="DU210" s="116"/>
      <c r="DW210" s="11">
        <v>46229</v>
      </c>
      <c r="DX210" s="33" t="s">
        <v>7</v>
      </c>
      <c r="DY210" s="114"/>
      <c r="DZ210" s="115"/>
      <c r="EA210" s="115"/>
      <c r="EB210" s="116"/>
    </row>
    <row r="211" spans="1:132" x14ac:dyDescent="0.25">
      <c r="A211" s="11">
        <v>46230</v>
      </c>
      <c r="B211" s="33" t="s">
        <v>8</v>
      </c>
      <c r="C211" s="114" t="s">
        <v>60</v>
      </c>
      <c r="D211" s="115"/>
      <c r="E211" s="115"/>
      <c r="F211" s="116"/>
      <c r="H211" s="11">
        <v>46230</v>
      </c>
      <c r="I211" s="33" t="s">
        <v>8</v>
      </c>
      <c r="J211" s="114" t="s">
        <v>60</v>
      </c>
      <c r="K211" s="115"/>
      <c r="L211" s="115"/>
      <c r="M211" s="116"/>
      <c r="O211" s="11">
        <v>46230</v>
      </c>
      <c r="P211" s="33" t="s">
        <v>8</v>
      </c>
      <c r="Q211" s="114" t="s">
        <v>60</v>
      </c>
      <c r="R211" s="115"/>
      <c r="S211" s="115"/>
      <c r="T211" s="116"/>
      <c r="V211" s="11">
        <v>46229</v>
      </c>
      <c r="W211" s="33" t="s">
        <v>7</v>
      </c>
      <c r="X211" s="114"/>
      <c r="Y211" s="115"/>
      <c r="Z211" s="115"/>
      <c r="AA211" s="116"/>
      <c r="AC211" s="11">
        <v>46230</v>
      </c>
      <c r="AD211" s="33" t="s">
        <v>8</v>
      </c>
      <c r="AE211" s="114" t="s">
        <v>60</v>
      </c>
      <c r="AF211" s="115"/>
      <c r="AG211" s="115"/>
      <c r="AH211" s="116"/>
      <c r="AJ211" s="11">
        <v>46230</v>
      </c>
      <c r="AK211" s="33" t="s">
        <v>8</v>
      </c>
      <c r="AL211" s="114" t="s">
        <v>60</v>
      </c>
      <c r="AM211" s="115"/>
      <c r="AN211" s="115"/>
      <c r="AO211" s="116"/>
      <c r="AQ211" s="11">
        <v>46230</v>
      </c>
      <c r="AR211" s="33" t="s">
        <v>8</v>
      </c>
      <c r="AS211" s="114" t="s">
        <v>60</v>
      </c>
      <c r="AT211" s="115"/>
      <c r="AU211" s="115"/>
      <c r="AV211" s="116"/>
      <c r="AX211" s="11">
        <v>46229</v>
      </c>
      <c r="AY211" s="33" t="s">
        <v>7</v>
      </c>
      <c r="AZ211" s="114"/>
      <c r="BA211" s="115"/>
      <c r="BB211" s="115"/>
      <c r="BC211" s="116"/>
      <c r="BE211" s="11">
        <v>46230</v>
      </c>
      <c r="BF211" s="33" t="s">
        <v>8</v>
      </c>
      <c r="BG211" s="33" t="s">
        <v>60</v>
      </c>
      <c r="BH211" s="19"/>
      <c r="BI211" s="19"/>
      <c r="BJ211" s="20"/>
      <c r="BL211" s="11">
        <v>46230</v>
      </c>
      <c r="BM211" s="33" t="s">
        <v>8</v>
      </c>
      <c r="BN211" s="114" t="s">
        <v>60</v>
      </c>
      <c r="BO211" s="115"/>
      <c r="BP211" s="115"/>
      <c r="BQ211" s="116"/>
      <c r="BS211" s="11">
        <v>46230</v>
      </c>
      <c r="BT211" s="33" t="s">
        <v>8</v>
      </c>
      <c r="BU211" s="114" t="s">
        <v>60</v>
      </c>
      <c r="BV211" s="115"/>
      <c r="BW211" s="115"/>
      <c r="BX211" s="116"/>
      <c r="BZ211" s="11">
        <v>46229</v>
      </c>
      <c r="CA211" s="33" t="s">
        <v>7</v>
      </c>
      <c r="CB211" s="114"/>
      <c r="CC211" s="115"/>
      <c r="CD211" s="115"/>
      <c r="CE211" s="116"/>
      <c r="CG211" s="11">
        <v>46230</v>
      </c>
      <c r="CH211" s="33" t="s">
        <v>8</v>
      </c>
      <c r="CI211" s="114" t="s">
        <v>60</v>
      </c>
      <c r="CJ211" s="115"/>
      <c r="CK211" s="115"/>
      <c r="CL211" s="116"/>
      <c r="CN211" s="11">
        <v>46230</v>
      </c>
      <c r="CO211" s="33" t="s">
        <v>8</v>
      </c>
      <c r="CP211" s="114" t="s">
        <v>60</v>
      </c>
      <c r="CQ211" s="115"/>
      <c r="CR211" s="115"/>
      <c r="CS211" s="116"/>
      <c r="CU211" s="11">
        <v>46230</v>
      </c>
      <c r="CV211" s="33" t="s">
        <v>8</v>
      </c>
      <c r="CW211" s="114" t="s">
        <v>60</v>
      </c>
      <c r="CX211" s="115"/>
      <c r="CY211" s="115"/>
      <c r="CZ211" s="116"/>
      <c r="DB211" s="11">
        <v>46228</v>
      </c>
      <c r="DC211" s="33" t="s">
        <v>6</v>
      </c>
      <c r="DD211" s="114"/>
      <c r="DE211" s="115"/>
      <c r="DF211" s="115"/>
      <c r="DG211" s="116"/>
      <c r="DI211" s="11">
        <v>46230</v>
      </c>
      <c r="DJ211" s="33" t="s">
        <v>8</v>
      </c>
      <c r="DK211" s="114" t="s">
        <v>60</v>
      </c>
      <c r="DL211" s="115"/>
      <c r="DM211" s="115"/>
      <c r="DN211" s="116"/>
      <c r="DP211" s="11">
        <v>46228</v>
      </c>
      <c r="DQ211" s="33" t="s">
        <v>6</v>
      </c>
      <c r="DR211" s="114"/>
      <c r="DS211" s="115"/>
      <c r="DT211" s="115"/>
      <c r="DU211" s="116"/>
      <c r="DW211" s="11">
        <v>46230</v>
      </c>
      <c r="DX211" s="33" t="s">
        <v>8</v>
      </c>
      <c r="DY211" s="114" t="s">
        <v>60</v>
      </c>
      <c r="DZ211" s="115"/>
      <c r="EA211" s="115"/>
      <c r="EB211" s="116"/>
    </row>
    <row r="212" spans="1:132" x14ac:dyDescent="0.25">
      <c r="A212" s="11">
        <v>46231</v>
      </c>
      <c r="B212" s="33" t="s">
        <v>9</v>
      </c>
      <c r="C212" s="114"/>
      <c r="D212" s="115"/>
      <c r="E212" s="115"/>
      <c r="F212" s="116"/>
      <c r="H212" s="11">
        <v>46231</v>
      </c>
      <c r="I212" s="33" t="s">
        <v>9</v>
      </c>
      <c r="J212" s="114"/>
      <c r="K212" s="115"/>
      <c r="L212" s="115"/>
      <c r="M212" s="116"/>
      <c r="O212" s="11">
        <v>46231</v>
      </c>
      <c r="P212" s="33" t="s">
        <v>9</v>
      </c>
      <c r="Q212" s="114"/>
      <c r="R212" s="115"/>
      <c r="S212" s="115"/>
      <c r="T212" s="116"/>
      <c r="V212" s="11">
        <v>46230</v>
      </c>
      <c r="W212" s="33" t="s">
        <v>8</v>
      </c>
      <c r="X212" s="114" t="s">
        <v>60</v>
      </c>
      <c r="Y212" s="115"/>
      <c r="Z212" s="115"/>
      <c r="AA212" s="116"/>
      <c r="AC212" s="11">
        <v>46231</v>
      </c>
      <c r="AD212" s="33" t="s">
        <v>9</v>
      </c>
      <c r="AE212" s="114"/>
      <c r="AF212" s="115"/>
      <c r="AG212" s="115"/>
      <c r="AH212" s="116"/>
      <c r="AJ212" s="11">
        <v>46231</v>
      </c>
      <c r="AK212" s="33" t="s">
        <v>9</v>
      </c>
      <c r="AL212" s="114"/>
      <c r="AM212" s="115"/>
      <c r="AN212" s="115"/>
      <c r="AO212" s="116"/>
      <c r="AQ212" s="11">
        <v>46231</v>
      </c>
      <c r="AR212" s="33" t="s">
        <v>9</v>
      </c>
      <c r="AS212" s="114"/>
      <c r="AT212" s="115"/>
      <c r="AU212" s="115"/>
      <c r="AV212" s="116"/>
      <c r="AX212" s="11">
        <v>46230</v>
      </c>
      <c r="AY212" s="33" t="s">
        <v>8</v>
      </c>
      <c r="AZ212" s="114" t="s">
        <v>60</v>
      </c>
      <c r="BA212" s="115"/>
      <c r="BB212" s="115"/>
      <c r="BC212" s="116"/>
      <c r="BE212" s="11">
        <v>46231</v>
      </c>
      <c r="BF212" s="33" t="s">
        <v>9</v>
      </c>
      <c r="BG212" s="33"/>
      <c r="BH212" s="19"/>
      <c r="BI212" s="19"/>
      <c r="BJ212" s="20"/>
      <c r="BL212" s="11">
        <v>46231</v>
      </c>
      <c r="BM212" s="33" t="s">
        <v>9</v>
      </c>
      <c r="BN212" s="114"/>
      <c r="BO212" s="115"/>
      <c r="BP212" s="115"/>
      <c r="BQ212" s="116"/>
      <c r="BS212" s="11">
        <v>46231</v>
      </c>
      <c r="BT212" s="33" t="s">
        <v>9</v>
      </c>
      <c r="BU212" s="114"/>
      <c r="BV212" s="115"/>
      <c r="BW212" s="115"/>
      <c r="BX212" s="116"/>
      <c r="BZ212" s="11">
        <v>46230</v>
      </c>
      <c r="CA212" s="33" t="s">
        <v>8</v>
      </c>
      <c r="CB212" s="114" t="s">
        <v>60</v>
      </c>
      <c r="CC212" s="115"/>
      <c r="CD212" s="115"/>
      <c r="CE212" s="116"/>
      <c r="CG212" s="11">
        <v>46231</v>
      </c>
      <c r="CH212" s="33" t="s">
        <v>9</v>
      </c>
      <c r="CI212" s="114"/>
      <c r="CJ212" s="115"/>
      <c r="CK212" s="115"/>
      <c r="CL212" s="116"/>
      <c r="CN212" s="11">
        <v>46231</v>
      </c>
      <c r="CO212" s="33" t="s">
        <v>9</v>
      </c>
      <c r="CP212" s="114"/>
      <c r="CQ212" s="115"/>
      <c r="CR212" s="115"/>
      <c r="CS212" s="116"/>
      <c r="CU212" s="11">
        <v>46231</v>
      </c>
      <c r="CV212" s="33" t="s">
        <v>9</v>
      </c>
      <c r="CW212" s="114"/>
      <c r="CX212" s="115"/>
      <c r="CY212" s="115"/>
      <c r="CZ212" s="116"/>
      <c r="DB212" s="11">
        <v>46229</v>
      </c>
      <c r="DC212" s="33" t="s">
        <v>7</v>
      </c>
      <c r="DD212" s="114"/>
      <c r="DE212" s="115"/>
      <c r="DF212" s="115"/>
      <c r="DG212" s="116"/>
      <c r="DI212" s="11">
        <v>46231</v>
      </c>
      <c r="DJ212" s="33" t="s">
        <v>9</v>
      </c>
      <c r="DK212" s="114"/>
      <c r="DL212" s="115"/>
      <c r="DM212" s="115"/>
      <c r="DN212" s="116"/>
      <c r="DP212" s="11">
        <v>46229</v>
      </c>
      <c r="DQ212" s="33" t="s">
        <v>7</v>
      </c>
      <c r="DR212" s="114"/>
      <c r="DS212" s="115"/>
      <c r="DT212" s="115"/>
      <c r="DU212" s="116"/>
      <c r="DW212" s="11">
        <v>46231</v>
      </c>
      <c r="DX212" s="33" t="s">
        <v>9</v>
      </c>
      <c r="DY212" s="114"/>
      <c r="DZ212" s="115"/>
      <c r="EA212" s="115"/>
      <c r="EB212" s="116"/>
    </row>
    <row r="213" spans="1:132" x14ac:dyDescent="0.25">
      <c r="A213" s="11">
        <v>46232</v>
      </c>
      <c r="B213" s="33" t="s">
        <v>3</v>
      </c>
      <c r="C213" s="114"/>
      <c r="D213" s="115"/>
      <c r="E213" s="115"/>
      <c r="F213" s="116"/>
      <c r="H213" s="11">
        <v>46232</v>
      </c>
      <c r="I213" s="33" t="s">
        <v>3</v>
      </c>
      <c r="J213" s="114"/>
      <c r="K213" s="115"/>
      <c r="L213" s="115"/>
      <c r="M213" s="116"/>
      <c r="O213" s="11">
        <v>46232</v>
      </c>
      <c r="P213" s="33" t="s">
        <v>3</v>
      </c>
      <c r="Q213" s="114"/>
      <c r="R213" s="115"/>
      <c r="S213" s="115"/>
      <c r="T213" s="116"/>
      <c r="V213" s="11">
        <v>46231</v>
      </c>
      <c r="W213" s="33" t="s">
        <v>9</v>
      </c>
      <c r="X213" s="114"/>
      <c r="Y213" s="115"/>
      <c r="Z213" s="115"/>
      <c r="AA213" s="116"/>
      <c r="AC213" s="11">
        <v>46232</v>
      </c>
      <c r="AD213" s="33" t="s">
        <v>3</v>
      </c>
      <c r="AE213" s="114"/>
      <c r="AF213" s="115"/>
      <c r="AG213" s="115"/>
      <c r="AH213" s="116"/>
      <c r="AJ213" s="11">
        <v>46232</v>
      </c>
      <c r="AK213" s="33" t="s">
        <v>3</v>
      </c>
      <c r="AL213" s="114"/>
      <c r="AM213" s="115"/>
      <c r="AN213" s="115"/>
      <c r="AO213" s="116"/>
      <c r="AQ213" s="11">
        <v>46232</v>
      </c>
      <c r="AR213" s="33" t="s">
        <v>3</v>
      </c>
      <c r="AS213" s="114"/>
      <c r="AT213" s="115"/>
      <c r="AU213" s="115"/>
      <c r="AV213" s="116"/>
      <c r="AX213" s="11">
        <v>46231</v>
      </c>
      <c r="AY213" s="33" t="s">
        <v>9</v>
      </c>
      <c r="AZ213" s="114"/>
      <c r="BA213" s="115"/>
      <c r="BB213" s="115"/>
      <c r="BC213" s="116"/>
      <c r="BE213" s="11">
        <v>46232</v>
      </c>
      <c r="BF213" s="33" t="s">
        <v>3</v>
      </c>
      <c r="BG213" s="33"/>
      <c r="BH213" s="19"/>
      <c r="BI213" s="19"/>
      <c r="BJ213" s="20"/>
      <c r="BL213" s="11">
        <v>46232</v>
      </c>
      <c r="BM213" s="33" t="s">
        <v>3</v>
      </c>
      <c r="BN213" s="114"/>
      <c r="BO213" s="115"/>
      <c r="BP213" s="115"/>
      <c r="BQ213" s="116"/>
      <c r="BS213" s="11">
        <v>46232</v>
      </c>
      <c r="BT213" s="33" t="s">
        <v>3</v>
      </c>
      <c r="BU213" s="114"/>
      <c r="BV213" s="115"/>
      <c r="BW213" s="115"/>
      <c r="BX213" s="116"/>
      <c r="BZ213" s="11">
        <v>46231</v>
      </c>
      <c r="CA213" s="33" t="s">
        <v>9</v>
      </c>
      <c r="CB213" s="114"/>
      <c r="CC213" s="115"/>
      <c r="CD213" s="115"/>
      <c r="CE213" s="116"/>
      <c r="CG213" s="11">
        <v>46232</v>
      </c>
      <c r="CH213" s="33" t="s">
        <v>3</v>
      </c>
      <c r="CI213" s="114"/>
      <c r="CJ213" s="115"/>
      <c r="CK213" s="115"/>
      <c r="CL213" s="116"/>
      <c r="CN213" s="11">
        <v>46232</v>
      </c>
      <c r="CO213" s="33" t="s">
        <v>3</v>
      </c>
      <c r="CP213" s="114"/>
      <c r="CQ213" s="115"/>
      <c r="CR213" s="115"/>
      <c r="CS213" s="116"/>
      <c r="CU213" s="11">
        <v>46232</v>
      </c>
      <c r="CV213" s="33" t="s">
        <v>3</v>
      </c>
      <c r="CW213" s="114"/>
      <c r="CX213" s="115"/>
      <c r="CY213" s="115"/>
      <c r="CZ213" s="116"/>
      <c r="DB213" s="11">
        <v>46230</v>
      </c>
      <c r="DC213" s="33" t="s">
        <v>8</v>
      </c>
      <c r="DD213" s="114" t="s">
        <v>60</v>
      </c>
      <c r="DE213" s="115"/>
      <c r="DF213" s="115"/>
      <c r="DG213" s="116"/>
      <c r="DI213" s="11">
        <v>46232</v>
      </c>
      <c r="DJ213" s="33" t="s">
        <v>3</v>
      </c>
      <c r="DK213" s="114"/>
      <c r="DL213" s="115"/>
      <c r="DM213" s="115"/>
      <c r="DN213" s="116"/>
      <c r="DP213" s="11">
        <v>46230</v>
      </c>
      <c r="DQ213" s="33" t="s">
        <v>8</v>
      </c>
      <c r="DR213" s="114" t="s">
        <v>60</v>
      </c>
      <c r="DS213" s="115"/>
      <c r="DT213" s="115"/>
      <c r="DU213" s="116"/>
      <c r="DW213" s="11">
        <v>46232</v>
      </c>
      <c r="DX213" s="33" t="s">
        <v>3</v>
      </c>
      <c r="DY213" s="114"/>
      <c r="DZ213" s="115"/>
      <c r="EA213" s="115"/>
      <c r="EB213" s="116"/>
    </row>
    <row r="214" spans="1:132" x14ac:dyDescent="0.25">
      <c r="A214" s="11">
        <v>46233</v>
      </c>
      <c r="B214" s="33" t="s">
        <v>4</v>
      </c>
      <c r="C214" s="114"/>
      <c r="D214" s="115"/>
      <c r="E214" s="115"/>
      <c r="F214" s="116"/>
      <c r="H214" s="11">
        <v>46233</v>
      </c>
      <c r="I214" s="33" t="s">
        <v>4</v>
      </c>
      <c r="J214" s="114"/>
      <c r="K214" s="115"/>
      <c r="L214" s="115"/>
      <c r="M214" s="116"/>
      <c r="O214" s="11">
        <v>46233</v>
      </c>
      <c r="P214" s="33" t="s">
        <v>4</v>
      </c>
      <c r="Q214" s="114"/>
      <c r="R214" s="115"/>
      <c r="S214" s="115"/>
      <c r="T214" s="116"/>
      <c r="V214" s="11">
        <v>46232</v>
      </c>
      <c r="W214" s="33" t="s">
        <v>3</v>
      </c>
      <c r="X214" s="114"/>
      <c r="Y214" s="115"/>
      <c r="Z214" s="115"/>
      <c r="AA214" s="116"/>
      <c r="AC214" s="11">
        <v>46233</v>
      </c>
      <c r="AD214" s="33" t="s">
        <v>4</v>
      </c>
      <c r="AE214" s="114"/>
      <c r="AF214" s="115"/>
      <c r="AG214" s="115"/>
      <c r="AH214" s="116"/>
      <c r="AJ214" s="11">
        <v>46233</v>
      </c>
      <c r="AK214" s="33" t="s">
        <v>4</v>
      </c>
      <c r="AL214" s="114"/>
      <c r="AM214" s="115"/>
      <c r="AN214" s="115"/>
      <c r="AO214" s="116"/>
      <c r="AQ214" s="11">
        <v>46233</v>
      </c>
      <c r="AR214" s="33" t="s">
        <v>4</v>
      </c>
      <c r="AS214" s="114"/>
      <c r="AT214" s="115"/>
      <c r="AU214" s="115"/>
      <c r="AV214" s="116"/>
      <c r="AX214" s="11">
        <v>46232</v>
      </c>
      <c r="AY214" s="33" t="s">
        <v>3</v>
      </c>
      <c r="AZ214" s="114"/>
      <c r="BA214" s="115"/>
      <c r="BB214" s="115"/>
      <c r="BC214" s="116"/>
      <c r="BE214" s="11">
        <v>46233</v>
      </c>
      <c r="BF214" s="33" t="s">
        <v>4</v>
      </c>
      <c r="BG214" s="33"/>
      <c r="BH214" s="19"/>
      <c r="BI214" s="19"/>
      <c r="BJ214" s="20"/>
      <c r="BL214" s="11">
        <v>46233</v>
      </c>
      <c r="BM214" s="33" t="s">
        <v>4</v>
      </c>
      <c r="BN214" s="114"/>
      <c r="BO214" s="115"/>
      <c r="BP214" s="115"/>
      <c r="BQ214" s="116"/>
      <c r="BS214" s="11">
        <v>46233</v>
      </c>
      <c r="BT214" s="33" t="s">
        <v>4</v>
      </c>
      <c r="BU214" s="114"/>
      <c r="BV214" s="115"/>
      <c r="BW214" s="115"/>
      <c r="BX214" s="116"/>
      <c r="BZ214" s="11">
        <v>46232</v>
      </c>
      <c r="CA214" s="33" t="s">
        <v>3</v>
      </c>
      <c r="CB214" s="114"/>
      <c r="CC214" s="115"/>
      <c r="CD214" s="115"/>
      <c r="CE214" s="116"/>
      <c r="CG214" s="11">
        <v>46233</v>
      </c>
      <c r="CH214" s="33" t="s">
        <v>4</v>
      </c>
      <c r="CI214" s="114"/>
      <c r="CJ214" s="115"/>
      <c r="CK214" s="115"/>
      <c r="CL214" s="116"/>
      <c r="CN214" s="11">
        <v>46233</v>
      </c>
      <c r="CO214" s="33" t="s">
        <v>4</v>
      </c>
      <c r="CP214" s="114"/>
      <c r="CQ214" s="115"/>
      <c r="CR214" s="115"/>
      <c r="CS214" s="116"/>
      <c r="CU214" s="11">
        <v>46233</v>
      </c>
      <c r="CV214" s="33" t="s">
        <v>4</v>
      </c>
      <c r="CW214" s="114"/>
      <c r="CX214" s="115"/>
      <c r="CY214" s="115"/>
      <c r="CZ214" s="116"/>
      <c r="DB214" s="11">
        <v>46231</v>
      </c>
      <c r="DC214" s="33" t="s">
        <v>9</v>
      </c>
      <c r="DD214" s="114"/>
      <c r="DE214" s="115"/>
      <c r="DF214" s="115"/>
      <c r="DG214" s="116"/>
      <c r="DI214" s="11">
        <v>46233</v>
      </c>
      <c r="DJ214" s="33" t="s">
        <v>4</v>
      </c>
      <c r="DK214" s="114"/>
      <c r="DL214" s="115"/>
      <c r="DM214" s="115"/>
      <c r="DN214" s="116"/>
      <c r="DP214" s="11">
        <v>46231</v>
      </c>
      <c r="DQ214" s="33" t="s">
        <v>9</v>
      </c>
      <c r="DR214" s="114"/>
      <c r="DS214" s="115"/>
      <c r="DT214" s="115"/>
      <c r="DU214" s="116"/>
      <c r="DW214" s="11">
        <v>46233</v>
      </c>
      <c r="DX214" s="33" t="s">
        <v>4</v>
      </c>
      <c r="DY214" s="114"/>
      <c r="DZ214" s="115"/>
      <c r="EA214" s="115"/>
      <c r="EB214" s="116"/>
    </row>
    <row r="215" spans="1:132" x14ac:dyDescent="0.25">
      <c r="A215" s="11">
        <v>46234</v>
      </c>
      <c r="B215" s="33" t="s">
        <v>5</v>
      </c>
      <c r="C215" s="114"/>
      <c r="D215" s="115"/>
      <c r="E215" s="115"/>
      <c r="F215" s="116"/>
      <c r="H215" s="11">
        <v>46234</v>
      </c>
      <c r="I215" s="33" t="s">
        <v>5</v>
      </c>
      <c r="J215" s="114"/>
      <c r="K215" s="115"/>
      <c r="L215" s="115"/>
      <c r="M215" s="116"/>
      <c r="O215" s="11">
        <v>46234</v>
      </c>
      <c r="P215" s="33" t="s">
        <v>5</v>
      </c>
      <c r="Q215" s="114"/>
      <c r="R215" s="115"/>
      <c r="S215" s="115"/>
      <c r="T215" s="116"/>
      <c r="V215" s="11">
        <v>46233</v>
      </c>
      <c r="W215" s="33" t="s">
        <v>4</v>
      </c>
      <c r="X215" s="114"/>
      <c r="Y215" s="115"/>
      <c r="Z215" s="115"/>
      <c r="AA215" s="116"/>
      <c r="AC215" s="11">
        <v>46234</v>
      </c>
      <c r="AD215" s="33" t="s">
        <v>5</v>
      </c>
      <c r="AE215" s="114"/>
      <c r="AF215" s="115"/>
      <c r="AG215" s="115"/>
      <c r="AH215" s="116"/>
      <c r="AJ215" s="11">
        <v>46234</v>
      </c>
      <c r="AK215" s="33" t="s">
        <v>5</v>
      </c>
      <c r="AL215" s="114"/>
      <c r="AM215" s="115"/>
      <c r="AN215" s="115"/>
      <c r="AO215" s="116"/>
      <c r="AQ215" s="11">
        <v>46234</v>
      </c>
      <c r="AR215" s="33" t="s">
        <v>5</v>
      </c>
      <c r="AS215" s="114"/>
      <c r="AT215" s="115"/>
      <c r="AU215" s="115"/>
      <c r="AV215" s="116"/>
      <c r="AX215" s="11">
        <v>46233</v>
      </c>
      <c r="AY215" s="33" t="s">
        <v>4</v>
      </c>
      <c r="AZ215" s="114"/>
      <c r="BA215" s="115"/>
      <c r="BB215" s="115"/>
      <c r="BC215" s="116"/>
      <c r="BE215" s="11">
        <v>46234</v>
      </c>
      <c r="BF215" s="33" t="s">
        <v>5</v>
      </c>
      <c r="BG215" s="33"/>
      <c r="BH215" s="19"/>
      <c r="BI215" s="19"/>
      <c r="BJ215" s="20"/>
      <c r="BL215" s="11">
        <v>46234</v>
      </c>
      <c r="BM215" s="33" t="s">
        <v>5</v>
      </c>
      <c r="BN215" s="114"/>
      <c r="BO215" s="115"/>
      <c r="BP215" s="115"/>
      <c r="BQ215" s="116"/>
      <c r="BS215" s="11">
        <v>46234</v>
      </c>
      <c r="BT215" s="33" t="s">
        <v>5</v>
      </c>
      <c r="BU215" s="114"/>
      <c r="BV215" s="115"/>
      <c r="BW215" s="115"/>
      <c r="BX215" s="116"/>
      <c r="BZ215" s="11">
        <v>46233</v>
      </c>
      <c r="CA215" s="33" t="s">
        <v>4</v>
      </c>
      <c r="CB215" s="114"/>
      <c r="CC215" s="115"/>
      <c r="CD215" s="115"/>
      <c r="CE215" s="116"/>
      <c r="CG215" s="11">
        <v>46234</v>
      </c>
      <c r="CH215" s="33" t="s">
        <v>5</v>
      </c>
      <c r="CI215" s="114"/>
      <c r="CJ215" s="115"/>
      <c r="CK215" s="115"/>
      <c r="CL215" s="116"/>
      <c r="CN215" s="11">
        <v>46234</v>
      </c>
      <c r="CO215" s="33" t="s">
        <v>5</v>
      </c>
      <c r="CP215" s="114"/>
      <c r="CQ215" s="115"/>
      <c r="CR215" s="115"/>
      <c r="CS215" s="116"/>
      <c r="CU215" s="11">
        <v>46234</v>
      </c>
      <c r="CV215" s="33" t="s">
        <v>5</v>
      </c>
      <c r="CW215" s="114"/>
      <c r="CX215" s="115"/>
      <c r="CY215" s="115"/>
      <c r="CZ215" s="116"/>
      <c r="DB215" s="11">
        <v>46232</v>
      </c>
      <c r="DC215" s="33" t="s">
        <v>3</v>
      </c>
      <c r="DD215" s="114"/>
      <c r="DE215" s="115"/>
      <c r="DF215" s="115"/>
      <c r="DG215" s="116"/>
      <c r="DI215" s="11">
        <v>46234</v>
      </c>
      <c r="DJ215" s="33" t="s">
        <v>5</v>
      </c>
      <c r="DK215" s="114"/>
      <c r="DL215" s="115"/>
      <c r="DM215" s="115"/>
      <c r="DN215" s="116"/>
      <c r="DP215" s="11">
        <v>46232</v>
      </c>
      <c r="DQ215" s="33" t="s">
        <v>3</v>
      </c>
      <c r="DR215" s="114"/>
      <c r="DS215" s="115"/>
      <c r="DT215" s="115"/>
      <c r="DU215" s="116"/>
      <c r="DW215" s="11">
        <v>46234</v>
      </c>
      <c r="DX215" s="33" t="s">
        <v>5</v>
      </c>
      <c r="DY215" s="114"/>
      <c r="DZ215" s="115"/>
      <c r="EA215" s="115"/>
      <c r="EB215" s="116"/>
    </row>
    <row r="216" spans="1:132" x14ac:dyDescent="0.25">
      <c r="A216" s="11">
        <v>46235</v>
      </c>
      <c r="B216" s="33" t="s">
        <v>6</v>
      </c>
      <c r="C216" s="114"/>
      <c r="D216" s="115"/>
      <c r="E216" s="115"/>
      <c r="F216" s="116"/>
      <c r="H216" s="11">
        <v>46235</v>
      </c>
      <c r="I216" s="33" t="s">
        <v>6</v>
      </c>
      <c r="J216" s="114"/>
      <c r="K216" s="115"/>
      <c r="L216" s="115"/>
      <c r="M216" s="116"/>
      <c r="O216" s="11">
        <v>46235</v>
      </c>
      <c r="P216" s="33" t="s">
        <v>6</v>
      </c>
      <c r="Q216" s="114"/>
      <c r="R216" s="115"/>
      <c r="S216" s="115"/>
      <c r="T216" s="116"/>
      <c r="V216" s="11">
        <v>46234</v>
      </c>
      <c r="W216" s="33" t="s">
        <v>5</v>
      </c>
      <c r="X216" s="114"/>
      <c r="Y216" s="115"/>
      <c r="Z216" s="115"/>
      <c r="AA216" s="116"/>
      <c r="AC216" s="11">
        <v>46235</v>
      </c>
      <c r="AD216" s="33" t="s">
        <v>6</v>
      </c>
      <c r="AE216" s="114"/>
      <c r="AF216" s="115"/>
      <c r="AG216" s="115"/>
      <c r="AH216" s="116"/>
      <c r="AJ216" s="11">
        <v>46235</v>
      </c>
      <c r="AK216" s="33" t="s">
        <v>6</v>
      </c>
      <c r="AL216" s="114"/>
      <c r="AM216" s="115"/>
      <c r="AN216" s="115"/>
      <c r="AO216" s="116"/>
      <c r="AQ216" s="11">
        <v>46235</v>
      </c>
      <c r="AR216" s="33" t="s">
        <v>6</v>
      </c>
      <c r="AS216" s="114"/>
      <c r="AT216" s="115"/>
      <c r="AU216" s="115"/>
      <c r="AV216" s="116"/>
      <c r="AX216" s="11">
        <v>46234</v>
      </c>
      <c r="AY216" s="33" t="s">
        <v>5</v>
      </c>
      <c r="AZ216" s="114"/>
      <c r="BA216" s="115"/>
      <c r="BB216" s="115"/>
      <c r="BC216" s="116"/>
      <c r="BE216" s="11">
        <v>46235</v>
      </c>
      <c r="BF216" s="33" t="s">
        <v>6</v>
      </c>
      <c r="BG216" s="33"/>
      <c r="BH216" s="19"/>
      <c r="BI216" s="19"/>
      <c r="BJ216" s="20"/>
      <c r="BL216" s="11">
        <v>46235</v>
      </c>
      <c r="BM216" s="33" t="s">
        <v>6</v>
      </c>
      <c r="BN216" s="114"/>
      <c r="BO216" s="115"/>
      <c r="BP216" s="115"/>
      <c r="BQ216" s="116"/>
      <c r="BS216" s="11">
        <v>46235</v>
      </c>
      <c r="BT216" s="33" t="s">
        <v>6</v>
      </c>
      <c r="BU216" s="114"/>
      <c r="BV216" s="115"/>
      <c r="BW216" s="115"/>
      <c r="BX216" s="116"/>
      <c r="BZ216" s="11">
        <v>46234</v>
      </c>
      <c r="CA216" s="33" t="s">
        <v>5</v>
      </c>
      <c r="CB216" s="114"/>
      <c r="CC216" s="115"/>
      <c r="CD216" s="115"/>
      <c r="CE216" s="116"/>
      <c r="CG216" s="11">
        <v>46235</v>
      </c>
      <c r="CH216" s="33" t="s">
        <v>6</v>
      </c>
      <c r="CI216" s="114"/>
      <c r="CJ216" s="115"/>
      <c r="CK216" s="115"/>
      <c r="CL216" s="116"/>
      <c r="CN216" s="11">
        <v>46235</v>
      </c>
      <c r="CO216" s="33" t="s">
        <v>6</v>
      </c>
      <c r="CP216" s="114"/>
      <c r="CQ216" s="115"/>
      <c r="CR216" s="115"/>
      <c r="CS216" s="116"/>
      <c r="CU216" s="11">
        <v>46235</v>
      </c>
      <c r="CV216" s="33" t="s">
        <v>6</v>
      </c>
      <c r="CW216" s="114"/>
      <c r="CX216" s="115"/>
      <c r="CY216" s="115"/>
      <c r="CZ216" s="116"/>
      <c r="DB216" s="11">
        <v>46233</v>
      </c>
      <c r="DC216" s="33" t="s">
        <v>4</v>
      </c>
      <c r="DD216" s="114"/>
      <c r="DE216" s="115"/>
      <c r="DF216" s="115"/>
      <c r="DG216" s="116"/>
      <c r="DI216" s="11">
        <v>46235</v>
      </c>
      <c r="DJ216" s="33" t="s">
        <v>6</v>
      </c>
      <c r="DK216" s="114"/>
      <c r="DL216" s="115"/>
      <c r="DM216" s="115"/>
      <c r="DN216" s="116"/>
      <c r="DP216" s="11">
        <v>46233</v>
      </c>
      <c r="DQ216" s="33" t="s">
        <v>4</v>
      </c>
      <c r="DR216" s="114"/>
      <c r="DS216" s="115"/>
      <c r="DT216" s="115"/>
      <c r="DU216" s="116"/>
      <c r="DW216" s="11">
        <v>46235</v>
      </c>
      <c r="DX216" s="33" t="s">
        <v>6</v>
      </c>
      <c r="DY216" s="114"/>
      <c r="DZ216" s="115"/>
      <c r="EA216" s="115"/>
      <c r="EB216" s="116"/>
    </row>
    <row r="217" spans="1:132" x14ac:dyDescent="0.25">
      <c r="A217" s="11">
        <v>46236</v>
      </c>
      <c r="B217" s="33" t="s">
        <v>7</v>
      </c>
      <c r="C217" s="114"/>
      <c r="D217" s="115"/>
      <c r="E217" s="115"/>
      <c r="F217" s="116"/>
      <c r="H217" s="11">
        <v>46236</v>
      </c>
      <c r="I217" s="33" t="s">
        <v>7</v>
      </c>
      <c r="J217" s="114"/>
      <c r="K217" s="115"/>
      <c r="L217" s="115"/>
      <c r="M217" s="116"/>
      <c r="O217" s="11">
        <v>46236</v>
      </c>
      <c r="P217" s="33" t="s">
        <v>7</v>
      </c>
      <c r="Q217" s="114"/>
      <c r="R217" s="115"/>
      <c r="S217" s="115"/>
      <c r="T217" s="116"/>
      <c r="V217" s="11">
        <v>46235</v>
      </c>
      <c r="W217" s="33" t="s">
        <v>6</v>
      </c>
      <c r="X217" s="114"/>
      <c r="Y217" s="115"/>
      <c r="Z217" s="115"/>
      <c r="AA217" s="116"/>
      <c r="AC217" s="11">
        <v>46236</v>
      </c>
      <c r="AD217" s="33" t="s">
        <v>7</v>
      </c>
      <c r="AE217" s="114"/>
      <c r="AF217" s="115"/>
      <c r="AG217" s="115"/>
      <c r="AH217" s="116"/>
      <c r="AJ217" s="11">
        <v>46236</v>
      </c>
      <c r="AK217" s="33" t="s">
        <v>7</v>
      </c>
      <c r="AL217" s="114"/>
      <c r="AM217" s="115"/>
      <c r="AN217" s="115"/>
      <c r="AO217" s="116"/>
      <c r="AQ217" s="11">
        <v>46236</v>
      </c>
      <c r="AR217" s="33" t="s">
        <v>7</v>
      </c>
      <c r="AS217" s="114"/>
      <c r="AT217" s="115"/>
      <c r="AU217" s="115"/>
      <c r="AV217" s="116"/>
      <c r="AX217" s="11">
        <v>46235</v>
      </c>
      <c r="AY217" s="33" t="s">
        <v>6</v>
      </c>
      <c r="AZ217" s="114"/>
      <c r="BA217" s="115"/>
      <c r="BB217" s="115"/>
      <c r="BC217" s="116"/>
      <c r="BE217" s="11">
        <v>46236</v>
      </c>
      <c r="BF217" s="33" t="s">
        <v>7</v>
      </c>
      <c r="BG217" s="33"/>
      <c r="BH217" s="19"/>
      <c r="BI217" s="19"/>
      <c r="BJ217" s="20"/>
      <c r="BL217" s="11">
        <v>46236</v>
      </c>
      <c r="BM217" s="33" t="s">
        <v>7</v>
      </c>
      <c r="BN217" s="114"/>
      <c r="BO217" s="115"/>
      <c r="BP217" s="115"/>
      <c r="BQ217" s="116"/>
      <c r="BS217" s="11">
        <v>46236</v>
      </c>
      <c r="BT217" s="33" t="s">
        <v>7</v>
      </c>
      <c r="BU217" s="114"/>
      <c r="BV217" s="115"/>
      <c r="BW217" s="115"/>
      <c r="BX217" s="116"/>
      <c r="BZ217" s="11">
        <v>46235</v>
      </c>
      <c r="CA217" s="33" t="s">
        <v>6</v>
      </c>
      <c r="CB217" s="114"/>
      <c r="CC217" s="115"/>
      <c r="CD217" s="115"/>
      <c r="CE217" s="116"/>
      <c r="CG217" s="11">
        <v>46236</v>
      </c>
      <c r="CH217" s="33" t="s">
        <v>7</v>
      </c>
      <c r="CI217" s="114"/>
      <c r="CJ217" s="115"/>
      <c r="CK217" s="115"/>
      <c r="CL217" s="116"/>
      <c r="CN217" s="11">
        <v>46236</v>
      </c>
      <c r="CO217" s="33" t="s">
        <v>7</v>
      </c>
      <c r="CP217" s="114"/>
      <c r="CQ217" s="115"/>
      <c r="CR217" s="115"/>
      <c r="CS217" s="116"/>
      <c r="CU217" s="11">
        <v>46236</v>
      </c>
      <c r="CV217" s="33" t="s">
        <v>7</v>
      </c>
      <c r="CW217" s="114"/>
      <c r="CX217" s="115"/>
      <c r="CY217" s="115"/>
      <c r="CZ217" s="116"/>
      <c r="DB217" s="11">
        <v>46234</v>
      </c>
      <c r="DC217" s="33" t="s">
        <v>5</v>
      </c>
      <c r="DD217" s="114"/>
      <c r="DE217" s="115"/>
      <c r="DF217" s="115"/>
      <c r="DG217" s="116"/>
      <c r="DI217" s="11">
        <v>46236</v>
      </c>
      <c r="DJ217" s="33" t="s">
        <v>7</v>
      </c>
      <c r="DK217" s="114"/>
      <c r="DL217" s="115"/>
      <c r="DM217" s="115"/>
      <c r="DN217" s="116"/>
      <c r="DP217" s="11">
        <v>46234</v>
      </c>
      <c r="DQ217" s="33" t="s">
        <v>5</v>
      </c>
      <c r="DR217" s="114"/>
      <c r="DS217" s="115"/>
      <c r="DT217" s="115"/>
      <c r="DU217" s="116"/>
      <c r="DW217" s="11">
        <v>46236</v>
      </c>
      <c r="DX217" s="33" t="s">
        <v>7</v>
      </c>
      <c r="DY217" s="114"/>
      <c r="DZ217" s="115"/>
      <c r="EA217" s="115"/>
      <c r="EB217" s="116"/>
    </row>
    <row r="218" spans="1:132" x14ac:dyDescent="0.25">
      <c r="A218" s="11">
        <v>46237</v>
      </c>
      <c r="B218" s="33" t="s">
        <v>8</v>
      </c>
      <c r="C218" s="114"/>
      <c r="D218" s="115"/>
      <c r="E218" s="115"/>
      <c r="F218" s="116"/>
      <c r="H218" s="11">
        <v>46237</v>
      </c>
      <c r="I218" s="33" t="s">
        <v>8</v>
      </c>
      <c r="J218" s="114"/>
      <c r="K218" s="115"/>
      <c r="L218" s="115"/>
      <c r="M218" s="116"/>
      <c r="O218" s="11">
        <v>46237</v>
      </c>
      <c r="P218" s="33" t="s">
        <v>8</v>
      </c>
      <c r="Q218" s="114"/>
      <c r="R218" s="115"/>
      <c r="S218" s="115"/>
      <c r="T218" s="116"/>
      <c r="V218" s="11">
        <v>46236</v>
      </c>
      <c r="W218" s="33" t="s">
        <v>7</v>
      </c>
      <c r="X218" s="114"/>
      <c r="Y218" s="115"/>
      <c r="Z218" s="115"/>
      <c r="AA218" s="116"/>
      <c r="AC218" s="11">
        <v>46237</v>
      </c>
      <c r="AD218" s="33" t="s">
        <v>8</v>
      </c>
      <c r="AE218" s="114"/>
      <c r="AF218" s="115"/>
      <c r="AG218" s="115"/>
      <c r="AH218" s="116"/>
      <c r="AJ218" s="11">
        <v>46237</v>
      </c>
      <c r="AK218" s="33" t="s">
        <v>8</v>
      </c>
      <c r="AL218" s="114"/>
      <c r="AM218" s="115"/>
      <c r="AN218" s="115"/>
      <c r="AO218" s="116"/>
      <c r="AQ218" s="11">
        <v>46237</v>
      </c>
      <c r="AR218" s="33" t="s">
        <v>8</v>
      </c>
      <c r="AS218" s="114"/>
      <c r="AT218" s="115"/>
      <c r="AU218" s="115"/>
      <c r="AV218" s="116"/>
      <c r="AX218" s="11">
        <v>46236</v>
      </c>
      <c r="AY218" s="33" t="s">
        <v>7</v>
      </c>
      <c r="AZ218" s="114"/>
      <c r="BA218" s="115"/>
      <c r="BB218" s="115"/>
      <c r="BC218" s="116"/>
      <c r="BE218" s="11">
        <v>46237</v>
      </c>
      <c r="BF218" s="33" t="s">
        <v>8</v>
      </c>
      <c r="BG218" s="33"/>
      <c r="BH218" s="19"/>
      <c r="BI218" s="19"/>
      <c r="BJ218" s="20"/>
      <c r="BL218" s="11">
        <v>46237</v>
      </c>
      <c r="BM218" s="33" t="s">
        <v>8</v>
      </c>
      <c r="BN218" s="114"/>
      <c r="BO218" s="115"/>
      <c r="BP218" s="115"/>
      <c r="BQ218" s="116"/>
      <c r="BS218" s="11">
        <v>46237</v>
      </c>
      <c r="BT218" s="33" t="s">
        <v>8</v>
      </c>
      <c r="BU218" s="114"/>
      <c r="BV218" s="115"/>
      <c r="BW218" s="115"/>
      <c r="BX218" s="116"/>
      <c r="BZ218" s="11">
        <v>46236</v>
      </c>
      <c r="CA218" s="33" t="s">
        <v>7</v>
      </c>
      <c r="CB218" s="114"/>
      <c r="CC218" s="115"/>
      <c r="CD218" s="115"/>
      <c r="CE218" s="116"/>
      <c r="CG218" s="11">
        <v>46237</v>
      </c>
      <c r="CH218" s="33" t="s">
        <v>8</v>
      </c>
      <c r="CI218" s="114"/>
      <c r="CJ218" s="115"/>
      <c r="CK218" s="115"/>
      <c r="CL218" s="116"/>
      <c r="CN218" s="11">
        <v>46237</v>
      </c>
      <c r="CO218" s="33" t="s">
        <v>8</v>
      </c>
      <c r="CP218" s="114"/>
      <c r="CQ218" s="115"/>
      <c r="CR218" s="115"/>
      <c r="CS218" s="116"/>
      <c r="CU218" s="11">
        <v>46237</v>
      </c>
      <c r="CV218" s="33" t="s">
        <v>8</v>
      </c>
      <c r="CW218" s="114"/>
      <c r="CX218" s="115"/>
      <c r="CY218" s="115"/>
      <c r="CZ218" s="116"/>
      <c r="DB218" s="11">
        <v>46235</v>
      </c>
      <c r="DC218" s="33" t="s">
        <v>6</v>
      </c>
      <c r="DD218" s="114"/>
      <c r="DE218" s="115"/>
      <c r="DF218" s="115"/>
      <c r="DG218" s="116"/>
      <c r="DI218" s="11">
        <v>46237</v>
      </c>
      <c r="DJ218" s="33" t="s">
        <v>8</v>
      </c>
      <c r="DK218" s="114"/>
      <c r="DL218" s="115"/>
      <c r="DM218" s="115"/>
      <c r="DN218" s="116"/>
      <c r="DP218" s="11">
        <v>46235</v>
      </c>
      <c r="DQ218" s="33" t="s">
        <v>6</v>
      </c>
      <c r="DR218" s="114"/>
      <c r="DS218" s="115"/>
      <c r="DT218" s="115"/>
      <c r="DU218" s="116"/>
      <c r="DW218" s="11">
        <v>46237</v>
      </c>
      <c r="DX218" s="33" t="s">
        <v>8</v>
      </c>
      <c r="DY218" s="114"/>
      <c r="DZ218" s="115"/>
      <c r="EA218" s="115"/>
      <c r="EB218" s="116"/>
    </row>
    <row r="219" spans="1:132" x14ac:dyDescent="0.25">
      <c r="A219" s="11">
        <v>46238</v>
      </c>
      <c r="B219" s="33" t="s">
        <v>9</v>
      </c>
      <c r="C219" s="114"/>
      <c r="D219" s="115"/>
      <c r="E219" s="115"/>
      <c r="F219" s="116"/>
      <c r="H219" s="11">
        <v>46238</v>
      </c>
      <c r="I219" s="33" t="s">
        <v>9</v>
      </c>
      <c r="J219" s="114"/>
      <c r="K219" s="115"/>
      <c r="L219" s="115"/>
      <c r="M219" s="116"/>
      <c r="O219" s="11">
        <v>46238</v>
      </c>
      <c r="P219" s="33" t="s">
        <v>9</v>
      </c>
      <c r="Q219" s="114"/>
      <c r="R219" s="115"/>
      <c r="S219" s="115"/>
      <c r="T219" s="116"/>
      <c r="V219" s="11">
        <v>46237</v>
      </c>
      <c r="W219" s="33" t="s">
        <v>8</v>
      </c>
      <c r="X219" s="114"/>
      <c r="Y219" s="115"/>
      <c r="Z219" s="115"/>
      <c r="AA219" s="116"/>
      <c r="AC219" s="11">
        <v>46238</v>
      </c>
      <c r="AD219" s="33" t="s">
        <v>9</v>
      </c>
      <c r="AE219" s="114"/>
      <c r="AF219" s="115"/>
      <c r="AG219" s="115"/>
      <c r="AH219" s="116"/>
      <c r="AJ219" s="11">
        <v>46238</v>
      </c>
      <c r="AK219" s="33" t="s">
        <v>9</v>
      </c>
      <c r="AL219" s="114"/>
      <c r="AM219" s="115"/>
      <c r="AN219" s="115"/>
      <c r="AO219" s="116"/>
      <c r="AQ219" s="11">
        <v>46238</v>
      </c>
      <c r="AR219" s="33" t="s">
        <v>9</v>
      </c>
      <c r="AS219" s="114"/>
      <c r="AT219" s="115"/>
      <c r="AU219" s="115"/>
      <c r="AV219" s="116"/>
      <c r="AX219" s="11">
        <v>46237</v>
      </c>
      <c r="AY219" s="33" t="s">
        <v>8</v>
      </c>
      <c r="AZ219" s="114"/>
      <c r="BA219" s="115"/>
      <c r="BB219" s="115"/>
      <c r="BC219" s="116"/>
      <c r="BE219" s="11">
        <v>46238</v>
      </c>
      <c r="BF219" s="33" t="s">
        <v>9</v>
      </c>
      <c r="BG219" s="33"/>
      <c r="BH219" s="19"/>
      <c r="BI219" s="19"/>
      <c r="BJ219" s="20"/>
      <c r="BL219" s="11">
        <v>46238</v>
      </c>
      <c r="BM219" s="33" t="s">
        <v>9</v>
      </c>
      <c r="BN219" s="114"/>
      <c r="BO219" s="115"/>
      <c r="BP219" s="115"/>
      <c r="BQ219" s="116"/>
      <c r="BS219" s="11">
        <v>46238</v>
      </c>
      <c r="BT219" s="33" t="s">
        <v>9</v>
      </c>
      <c r="BU219" s="114"/>
      <c r="BV219" s="115"/>
      <c r="BW219" s="115"/>
      <c r="BX219" s="116"/>
      <c r="BZ219" s="11">
        <v>46237</v>
      </c>
      <c r="CA219" s="33" t="s">
        <v>8</v>
      </c>
      <c r="CB219" s="114"/>
      <c r="CC219" s="115"/>
      <c r="CD219" s="115"/>
      <c r="CE219" s="116"/>
      <c r="CG219" s="11">
        <v>46238</v>
      </c>
      <c r="CH219" s="33" t="s">
        <v>9</v>
      </c>
      <c r="CI219" s="114"/>
      <c r="CJ219" s="115"/>
      <c r="CK219" s="115"/>
      <c r="CL219" s="116"/>
      <c r="CN219" s="11">
        <v>46238</v>
      </c>
      <c r="CO219" s="33" t="s">
        <v>9</v>
      </c>
      <c r="CP219" s="114"/>
      <c r="CQ219" s="115"/>
      <c r="CR219" s="115"/>
      <c r="CS219" s="116"/>
      <c r="CU219" s="11">
        <v>46238</v>
      </c>
      <c r="CV219" s="33" t="s">
        <v>9</v>
      </c>
      <c r="CW219" s="114"/>
      <c r="CX219" s="115"/>
      <c r="CY219" s="115"/>
      <c r="CZ219" s="116"/>
      <c r="DB219" s="11">
        <v>46236</v>
      </c>
      <c r="DC219" s="33" t="s">
        <v>7</v>
      </c>
      <c r="DD219" s="114"/>
      <c r="DE219" s="115"/>
      <c r="DF219" s="115"/>
      <c r="DG219" s="116"/>
      <c r="DI219" s="11">
        <v>46238</v>
      </c>
      <c r="DJ219" s="33" t="s">
        <v>9</v>
      </c>
      <c r="DK219" s="114"/>
      <c r="DL219" s="115"/>
      <c r="DM219" s="115"/>
      <c r="DN219" s="116"/>
      <c r="DP219" s="11">
        <v>46236</v>
      </c>
      <c r="DQ219" s="33" t="s">
        <v>7</v>
      </c>
      <c r="DR219" s="114"/>
      <c r="DS219" s="115"/>
      <c r="DT219" s="115"/>
      <c r="DU219" s="116"/>
      <c r="DW219" s="11">
        <v>46238</v>
      </c>
      <c r="DX219" s="33" t="s">
        <v>9</v>
      </c>
      <c r="DY219" s="114"/>
      <c r="DZ219" s="115"/>
      <c r="EA219" s="115"/>
      <c r="EB219" s="116"/>
    </row>
    <row r="220" spans="1:132" x14ac:dyDescent="0.25">
      <c r="A220" s="11">
        <v>46239</v>
      </c>
      <c r="B220" s="33" t="s">
        <v>3</v>
      </c>
      <c r="C220" s="114"/>
      <c r="D220" s="115"/>
      <c r="E220" s="115"/>
      <c r="F220" s="116"/>
      <c r="H220" s="11">
        <v>46239</v>
      </c>
      <c r="I220" s="33" t="s">
        <v>3</v>
      </c>
      <c r="J220" s="114"/>
      <c r="K220" s="115"/>
      <c r="L220" s="115"/>
      <c r="M220" s="116"/>
      <c r="O220" s="11">
        <v>46239</v>
      </c>
      <c r="P220" s="33" t="s">
        <v>3</v>
      </c>
      <c r="Q220" s="114"/>
      <c r="R220" s="115"/>
      <c r="S220" s="115"/>
      <c r="T220" s="116"/>
      <c r="V220" s="11">
        <v>46238</v>
      </c>
      <c r="W220" s="33" t="s">
        <v>9</v>
      </c>
      <c r="X220" s="114"/>
      <c r="Y220" s="115"/>
      <c r="Z220" s="115"/>
      <c r="AA220" s="116"/>
      <c r="AC220" s="11">
        <v>46239</v>
      </c>
      <c r="AD220" s="33" t="s">
        <v>3</v>
      </c>
      <c r="AE220" s="114"/>
      <c r="AF220" s="115"/>
      <c r="AG220" s="115"/>
      <c r="AH220" s="116"/>
      <c r="AJ220" s="11">
        <v>46239</v>
      </c>
      <c r="AK220" s="33" t="s">
        <v>3</v>
      </c>
      <c r="AL220" s="114"/>
      <c r="AM220" s="115"/>
      <c r="AN220" s="115"/>
      <c r="AO220" s="116"/>
      <c r="AQ220" s="11">
        <v>46239</v>
      </c>
      <c r="AR220" s="33" t="s">
        <v>3</v>
      </c>
      <c r="AS220" s="114"/>
      <c r="AT220" s="115"/>
      <c r="AU220" s="115"/>
      <c r="AV220" s="116"/>
      <c r="AX220" s="11">
        <v>46238</v>
      </c>
      <c r="AY220" s="33" t="s">
        <v>9</v>
      </c>
      <c r="AZ220" s="114"/>
      <c r="BA220" s="115"/>
      <c r="BB220" s="115"/>
      <c r="BC220" s="116"/>
      <c r="BE220" s="11">
        <v>46239</v>
      </c>
      <c r="BF220" s="33" t="s">
        <v>3</v>
      </c>
      <c r="BG220" s="33"/>
      <c r="BH220" s="19"/>
      <c r="BI220" s="19"/>
      <c r="BJ220" s="20"/>
      <c r="BL220" s="11">
        <v>46239</v>
      </c>
      <c r="BM220" s="33" t="s">
        <v>3</v>
      </c>
      <c r="BN220" s="114"/>
      <c r="BO220" s="115"/>
      <c r="BP220" s="115"/>
      <c r="BQ220" s="116"/>
      <c r="BS220" s="11">
        <v>46239</v>
      </c>
      <c r="BT220" s="33" t="s">
        <v>3</v>
      </c>
      <c r="BU220" s="114"/>
      <c r="BV220" s="115"/>
      <c r="BW220" s="115"/>
      <c r="BX220" s="116"/>
      <c r="BZ220" s="11">
        <v>46238</v>
      </c>
      <c r="CA220" s="33" t="s">
        <v>9</v>
      </c>
      <c r="CB220" s="114"/>
      <c r="CC220" s="115"/>
      <c r="CD220" s="115"/>
      <c r="CE220" s="116"/>
      <c r="CG220" s="11">
        <v>46239</v>
      </c>
      <c r="CH220" s="33" t="s">
        <v>3</v>
      </c>
      <c r="CI220" s="114"/>
      <c r="CJ220" s="115"/>
      <c r="CK220" s="115"/>
      <c r="CL220" s="116"/>
      <c r="CN220" s="11">
        <v>46239</v>
      </c>
      <c r="CO220" s="33" t="s">
        <v>3</v>
      </c>
      <c r="CP220" s="114"/>
      <c r="CQ220" s="115"/>
      <c r="CR220" s="115"/>
      <c r="CS220" s="116"/>
      <c r="CU220" s="11">
        <v>46239</v>
      </c>
      <c r="CV220" s="33" t="s">
        <v>3</v>
      </c>
      <c r="CW220" s="114"/>
      <c r="CX220" s="115"/>
      <c r="CY220" s="115"/>
      <c r="CZ220" s="116"/>
      <c r="DB220" s="11">
        <v>46237</v>
      </c>
      <c r="DC220" s="33" t="s">
        <v>8</v>
      </c>
      <c r="DD220" s="114"/>
      <c r="DE220" s="115"/>
      <c r="DF220" s="115"/>
      <c r="DG220" s="116"/>
      <c r="DI220" s="11">
        <v>46239</v>
      </c>
      <c r="DJ220" s="33" t="s">
        <v>3</v>
      </c>
      <c r="DK220" s="114"/>
      <c r="DL220" s="115"/>
      <c r="DM220" s="115"/>
      <c r="DN220" s="116"/>
      <c r="DP220" s="11">
        <v>46237</v>
      </c>
      <c r="DQ220" s="33" t="s">
        <v>8</v>
      </c>
      <c r="DR220" s="114"/>
      <c r="DS220" s="115"/>
      <c r="DT220" s="115"/>
      <c r="DU220" s="116"/>
      <c r="DW220" s="11">
        <v>46239</v>
      </c>
      <c r="DX220" s="33" t="s">
        <v>3</v>
      </c>
      <c r="DY220" s="114"/>
      <c r="DZ220" s="115"/>
      <c r="EA220" s="115"/>
      <c r="EB220" s="116"/>
    </row>
    <row r="221" spans="1:132" x14ac:dyDescent="0.25">
      <c r="A221" s="11">
        <v>46240</v>
      </c>
      <c r="B221" s="33" t="s">
        <v>4</v>
      </c>
      <c r="C221" s="114"/>
      <c r="D221" s="115"/>
      <c r="E221" s="115"/>
      <c r="F221" s="116"/>
      <c r="H221" s="11">
        <v>46240</v>
      </c>
      <c r="I221" s="33" t="s">
        <v>4</v>
      </c>
      <c r="J221" s="114"/>
      <c r="K221" s="115"/>
      <c r="L221" s="115"/>
      <c r="M221" s="116"/>
      <c r="O221" s="11">
        <v>46240</v>
      </c>
      <c r="P221" s="33" t="s">
        <v>4</v>
      </c>
      <c r="Q221" s="114"/>
      <c r="R221" s="115"/>
      <c r="S221" s="115"/>
      <c r="T221" s="116"/>
      <c r="V221" s="11">
        <v>46239</v>
      </c>
      <c r="W221" s="33" t="s">
        <v>3</v>
      </c>
      <c r="X221" s="114"/>
      <c r="Y221" s="115"/>
      <c r="Z221" s="115"/>
      <c r="AA221" s="116"/>
      <c r="AC221" s="11">
        <v>46240</v>
      </c>
      <c r="AD221" s="33" t="s">
        <v>4</v>
      </c>
      <c r="AE221" s="114"/>
      <c r="AF221" s="115"/>
      <c r="AG221" s="115"/>
      <c r="AH221" s="116"/>
      <c r="AJ221" s="11">
        <v>46240</v>
      </c>
      <c r="AK221" s="33" t="s">
        <v>4</v>
      </c>
      <c r="AL221" s="114"/>
      <c r="AM221" s="115"/>
      <c r="AN221" s="115"/>
      <c r="AO221" s="116"/>
      <c r="AQ221" s="11">
        <v>46240</v>
      </c>
      <c r="AR221" s="33" t="s">
        <v>4</v>
      </c>
      <c r="AS221" s="114"/>
      <c r="AT221" s="115"/>
      <c r="AU221" s="115"/>
      <c r="AV221" s="116"/>
      <c r="AX221" s="11">
        <v>46239</v>
      </c>
      <c r="AY221" s="33" t="s">
        <v>3</v>
      </c>
      <c r="AZ221" s="114"/>
      <c r="BA221" s="115"/>
      <c r="BB221" s="115"/>
      <c r="BC221" s="116"/>
      <c r="BE221" s="11">
        <v>46240</v>
      </c>
      <c r="BF221" s="33" t="s">
        <v>4</v>
      </c>
      <c r="BG221" s="33"/>
      <c r="BH221" s="19"/>
      <c r="BI221" s="19"/>
      <c r="BJ221" s="20"/>
      <c r="BL221" s="11">
        <v>46240</v>
      </c>
      <c r="BM221" s="33" t="s">
        <v>4</v>
      </c>
      <c r="BN221" s="114"/>
      <c r="BO221" s="115"/>
      <c r="BP221" s="115"/>
      <c r="BQ221" s="116"/>
      <c r="BS221" s="11">
        <v>46240</v>
      </c>
      <c r="BT221" s="33" t="s">
        <v>4</v>
      </c>
      <c r="BU221" s="114"/>
      <c r="BV221" s="115"/>
      <c r="BW221" s="115"/>
      <c r="BX221" s="116"/>
      <c r="BZ221" s="11">
        <v>46239</v>
      </c>
      <c r="CA221" s="33" t="s">
        <v>3</v>
      </c>
      <c r="CB221" s="114"/>
      <c r="CC221" s="115"/>
      <c r="CD221" s="115"/>
      <c r="CE221" s="116"/>
      <c r="CG221" s="11">
        <v>46240</v>
      </c>
      <c r="CH221" s="33" t="s">
        <v>4</v>
      </c>
      <c r="CI221" s="114"/>
      <c r="CJ221" s="115"/>
      <c r="CK221" s="115"/>
      <c r="CL221" s="116"/>
      <c r="CN221" s="11">
        <v>46240</v>
      </c>
      <c r="CO221" s="33" t="s">
        <v>4</v>
      </c>
      <c r="CP221" s="114"/>
      <c r="CQ221" s="115"/>
      <c r="CR221" s="115"/>
      <c r="CS221" s="116"/>
      <c r="CU221" s="11">
        <v>46240</v>
      </c>
      <c r="CV221" s="33" t="s">
        <v>4</v>
      </c>
      <c r="CW221" s="114"/>
      <c r="CX221" s="115"/>
      <c r="CY221" s="115"/>
      <c r="CZ221" s="116"/>
      <c r="DB221" s="11">
        <v>46238</v>
      </c>
      <c r="DC221" s="33" t="s">
        <v>9</v>
      </c>
      <c r="DD221" s="114"/>
      <c r="DE221" s="115"/>
      <c r="DF221" s="115"/>
      <c r="DG221" s="116"/>
      <c r="DI221" s="11">
        <v>46240</v>
      </c>
      <c r="DJ221" s="33" t="s">
        <v>4</v>
      </c>
      <c r="DK221" s="114"/>
      <c r="DL221" s="115"/>
      <c r="DM221" s="115"/>
      <c r="DN221" s="116"/>
      <c r="DP221" s="11">
        <v>46238</v>
      </c>
      <c r="DQ221" s="33" t="s">
        <v>9</v>
      </c>
      <c r="DR221" s="114"/>
      <c r="DS221" s="115"/>
      <c r="DT221" s="115"/>
      <c r="DU221" s="116"/>
      <c r="DW221" s="11">
        <v>46240</v>
      </c>
      <c r="DX221" s="33" t="s">
        <v>4</v>
      </c>
      <c r="DY221" s="114"/>
      <c r="DZ221" s="115"/>
      <c r="EA221" s="115"/>
      <c r="EB221" s="116"/>
    </row>
    <row r="222" spans="1:132" x14ac:dyDescent="0.25">
      <c r="A222" s="11">
        <v>46241</v>
      </c>
      <c r="B222" s="33" t="s">
        <v>5</v>
      </c>
      <c r="C222" s="114"/>
      <c r="D222" s="115"/>
      <c r="E222" s="115"/>
      <c r="F222" s="116"/>
      <c r="H222" s="11">
        <v>46241</v>
      </c>
      <c r="I222" s="33" t="s">
        <v>5</v>
      </c>
      <c r="J222" s="114"/>
      <c r="K222" s="115"/>
      <c r="L222" s="115"/>
      <c r="M222" s="116"/>
      <c r="O222" s="11">
        <v>46241</v>
      </c>
      <c r="P222" s="33" t="s">
        <v>5</v>
      </c>
      <c r="Q222" s="114"/>
      <c r="R222" s="115"/>
      <c r="S222" s="115"/>
      <c r="T222" s="116"/>
      <c r="V222" s="11">
        <v>46240</v>
      </c>
      <c r="W222" s="33" t="s">
        <v>4</v>
      </c>
      <c r="X222" s="114"/>
      <c r="Y222" s="115"/>
      <c r="Z222" s="115"/>
      <c r="AA222" s="116"/>
      <c r="AC222" s="11">
        <v>46241</v>
      </c>
      <c r="AD222" s="33" t="s">
        <v>5</v>
      </c>
      <c r="AE222" s="114"/>
      <c r="AF222" s="115"/>
      <c r="AG222" s="115"/>
      <c r="AH222" s="116"/>
      <c r="AJ222" s="11">
        <v>46241</v>
      </c>
      <c r="AK222" s="33" t="s">
        <v>5</v>
      </c>
      <c r="AL222" s="114"/>
      <c r="AM222" s="115"/>
      <c r="AN222" s="115"/>
      <c r="AO222" s="116"/>
      <c r="AQ222" s="11">
        <v>46241</v>
      </c>
      <c r="AR222" s="33" t="s">
        <v>5</v>
      </c>
      <c r="AS222" s="114"/>
      <c r="AT222" s="115"/>
      <c r="AU222" s="115"/>
      <c r="AV222" s="116"/>
      <c r="AX222" s="11">
        <v>46240</v>
      </c>
      <c r="AY222" s="33" t="s">
        <v>4</v>
      </c>
      <c r="AZ222" s="114"/>
      <c r="BA222" s="115"/>
      <c r="BB222" s="115"/>
      <c r="BC222" s="116"/>
      <c r="BE222" s="11">
        <v>46241</v>
      </c>
      <c r="BF222" s="33" t="s">
        <v>5</v>
      </c>
      <c r="BG222" s="33"/>
      <c r="BH222" s="19"/>
      <c r="BI222" s="19"/>
      <c r="BJ222" s="20"/>
      <c r="BL222" s="11">
        <v>46241</v>
      </c>
      <c r="BM222" s="33" t="s">
        <v>5</v>
      </c>
      <c r="BN222" s="114"/>
      <c r="BO222" s="115"/>
      <c r="BP222" s="115"/>
      <c r="BQ222" s="116"/>
      <c r="BS222" s="11">
        <v>46241</v>
      </c>
      <c r="BT222" s="33" t="s">
        <v>5</v>
      </c>
      <c r="BU222" s="114"/>
      <c r="BV222" s="115"/>
      <c r="BW222" s="115"/>
      <c r="BX222" s="116"/>
      <c r="BZ222" s="11">
        <v>46240</v>
      </c>
      <c r="CA222" s="33" t="s">
        <v>4</v>
      </c>
      <c r="CB222" s="114"/>
      <c r="CC222" s="115"/>
      <c r="CD222" s="115"/>
      <c r="CE222" s="116"/>
      <c r="CG222" s="11">
        <v>46241</v>
      </c>
      <c r="CH222" s="33" t="s">
        <v>5</v>
      </c>
      <c r="CI222" s="114"/>
      <c r="CJ222" s="115"/>
      <c r="CK222" s="115"/>
      <c r="CL222" s="116"/>
      <c r="CN222" s="11">
        <v>46241</v>
      </c>
      <c r="CO222" s="33" t="s">
        <v>5</v>
      </c>
      <c r="CP222" s="114"/>
      <c r="CQ222" s="115"/>
      <c r="CR222" s="115"/>
      <c r="CS222" s="116"/>
      <c r="CU222" s="11">
        <v>46241</v>
      </c>
      <c r="CV222" s="33" t="s">
        <v>5</v>
      </c>
      <c r="CW222" s="114"/>
      <c r="CX222" s="115"/>
      <c r="CY222" s="115"/>
      <c r="CZ222" s="116"/>
      <c r="DB222" s="11">
        <v>46239</v>
      </c>
      <c r="DC222" s="33" t="s">
        <v>3</v>
      </c>
      <c r="DD222" s="114"/>
      <c r="DE222" s="115"/>
      <c r="DF222" s="115"/>
      <c r="DG222" s="116"/>
      <c r="DI222" s="11">
        <v>46241</v>
      </c>
      <c r="DJ222" s="33" t="s">
        <v>5</v>
      </c>
      <c r="DK222" s="114"/>
      <c r="DL222" s="115"/>
      <c r="DM222" s="115"/>
      <c r="DN222" s="116"/>
      <c r="DP222" s="11">
        <v>46239</v>
      </c>
      <c r="DQ222" s="33" t="s">
        <v>3</v>
      </c>
      <c r="DR222" s="114"/>
      <c r="DS222" s="115"/>
      <c r="DT222" s="115"/>
      <c r="DU222" s="116"/>
      <c r="DW222" s="11">
        <v>46241</v>
      </c>
      <c r="DX222" s="33" t="s">
        <v>5</v>
      </c>
      <c r="DY222" s="114"/>
      <c r="DZ222" s="115"/>
      <c r="EA222" s="115"/>
      <c r="EB222" s="116"/>
    </row>
    <row r="223" spans="1:132" x14ac:dyDescent="0.25">
      <c r="A223" s="11">
        <v>46242</v>
      </c>
      <c r="B223" s="33" t="s">
        <v>6</v>
      </c>
      <c r="C223" s="114"/>
      <c r="D223" s="115"/>
      <c r="E223" s="115"/>
      <c r="F223" s="116"/>
      <c r="H223" s="11">
        <v>46242</v>
      </c>
      <c r="I223" s="33" t="s">
        <v>6</v>
      </c>
      <c r="J223" s="114"/>
      <c r="K223" s="115"/>
      <c r="L223" s="115"/>
      <c r="M223" s="116"/>
      <c r="O223" s="11">
        <v>46242</v>
      </c>
      <c r="P223" s="33" t="s">
        <v>6</v>
      </c>
      <c r="Q223" s="114"/>
      <c r="R223" s="115"/>
      <c r="S223" s="115"/>
      <c r="T223" s="116"/>
      <c r="V223" s="11">
        <v>46241</v>
      </c>
      <c r="W223" s="33" t="s">
        <v>5</v>
      </c>
      <c r="X223" s="114"/>
      <c r="Y223" s="115"/>
      <c r="Z223" s="115"/>
      <c r="AA223" s="116"/>
      <c r="AC223" s="11">
        <v>46242</v>
      </c>
      <c r="AD223" s="33" t="s">
        <v>6</v>
      </c>
      <c r="AE223" s="114"/>
      <c r="AF223" s="115"/>
      <c r="AG223" s="115"/>
      <c r="AH223" s="116"/>
      <c r="AJ223" s="11">
        <v>46242</v>
      </c>
      <c r="AK223" s="33" t="s">
        <v>6</v>
      </c>
      <c r="AL223" s="114"/>
      <c r="AM223" s="115"/>
      <c r="AN223" s="115"/>
      <c r="AO223" s="116"/>
      <c r="AQ223" s="11">
        <v>46242</v>
      </c>
      <c r="AR223" s="33" t="s">
        <v>6</v>
      </c>
      <c r="AS223" s="114"/>
      <c r="AT223" s="115"/>
      <c r="AU223" s="115"/>
      <c r="AV223" s="116"/>
      <c r="AX223" s="11">
        <v>46241</v>
      </c>
      <c r="AY223" s="33" t="s">
        <v>5</v>
      </c>
      <c r="AZ223" s="114"/>
      <c r="BA223" s="115"/>
      <c r="BB223" s="115"/>
      <c r="BC223" s="116"/>
      <c r="BE223" s="11">
        <v>46242</v>
      </c>
      <c r="BF223" s="33" t="s">
        <v>6</v>
      </c>
      <c r="BG223" s="33"/>
      <c r="BH223" s="19"/>
      <c r="BI223" s="19"/>
      <c r="BJ223" s="20"/>
      <c r="BL223" s="11">
        <v>46242</v>
      </c>
      <c r="BM223" s="33" t="s">
        <v>6</v>
      </c>
      <c r="BN223" s="114"/>
      <c r="BO223" s="115"/>
      <c r="BP223" s="115"/>
      <c r="BQ223" s="116"/>
      <c r="BS223" s="11">
        <v>46242</v>
      </c>
      <c r="BT223" s="33" t="s">
        <v>6</v>
      </c>
      <c r="BU223" s="114"/>
      <c r="BV223" s="115"/>
      <c r="BW223" s="115"/>
      <c r="BX223" s="116"/>
      <c r="BZ223" s="11">
        <v>46241</v>
      </c>
      <c r="CA223" s="33" t="s">
        <v>5</v>
      </c>
      <c r="CB223" s="114"/>
      <c r="CC223" s="115"/>
      <c r="CD223" s="115"/>
      <c r="CE223" s="116"/>
      <c r="CG223" s="11">
        <v>46242</v>
      </c>
      <c r="CH223" s="33" t="s">
        <v>6</v>
      </c>
      <c r="CI223" s="114"/>
      <c r="CJ223" s="115"/>
      <c r="CK223" s="115"/>
      <c r="CL223" s="116"/>
      <c r="CN223" s="11">
        <v>46242</v>
      </c>
      <c r="CO223" s="33" t="s">
        <v>6</v>
      </c>
      <c r="CP223" s="114"/>
      <c r="CQ223" s="115"/>
      <c r="CR223" s="115"/>
      <c r="CS223" s="116"/>
      <c r="CU223" s="11">
        <v>46242</v>
      </c>
      <c r="CV223" s="33" t="s">
        <v>6</v>
      </c>
      <c r="CW223" s="114"/>
      <c r="CX223" s="115"/>
      <c r="CY223" s="115"/>
      <c r="CZ223" s="116"/>
      <c r="DB223" s="11">
        <v>46240</v>
      </c>
      <c r="DC223" s="33" t="s">
        <v>4</v>
      </c>
      <c r="DD223" s="114"/>
      <c r="DE223" s="115"/>
      <c r="DF223" s="115"/>
      <c r="DG223" s="116"/>
      <c r="DI223" s="11">
        <v>46242</v>
      </c>
      <c r="DJ223" s="33" t="s">
        <v>6</v>
      </c>
      <c r="DK223" s="114"/>
      <c r="DL223" s="115"/>
      <c r="DM223" s="115"/>
      <c r="DN223" s="116"/>
      <c r="DP223" s="11">
        <v>46240</v>
      </c>
      <c r="DQ223" s="33" t="s">
        <v>4</v>
      </c>
      <c r="DR223" s="114"/>
      <c r="DS223" s="115"/>
      <c r="DT223" s="115"/>
      <c r="DU223" s="116"/>
      <c r="DW223" s="11">
        <v>46242</v>
      </c>
      <c r="DX223" s="33" t="s">
        <v>6</v>
      </c>
      <c r="DY223" s="114"/>
      <c r="DZ223" s="115"/>
      <c r="EA223" s="115"/>
      <c r="EB223" s="116"/>
    </row>
    <row r="224" spans="1:132" x14ac:dyDescent="0.25">
      <c r="A224" s="11">
        <v>46243</v>
      </c>
      <c r="B224" s="33" t="s">
        <v>7</v>
      </c>
      <c r="C224" s="114"/>
      <c r="D224" s="115"/>
      <c r="E224" s="115"/>
      <c r="F224" s="116"/>
      <c r="H224" s="11">
        <v>46243</v>
      </c>
      <c r="I224" s="33" t="s">
        <v>7</v>
      </c>
      <c r="J224" s="114"/>
      <c r="K224" s="115"/>
      <c r="L224" s="115"/>
      <c r="M224" s="116"/>
      <c r="O224" s="11">
        <v>46243</v>
      </c>
      <c r="P224" s="33" t="s">
        <v>7</v>
      </c>
      <c r="Q224" s="114"/>
      <c r="R224" s="115"/>
      <c r="S224" s="115"/>
      <c r="T224" s="116"/>
      <c r="V224" s="11">
        <v>46242</v>
      </c>
      <c r="W224" s="33" t="s">
        <v>6</v>
      </c>
      <c r="X224" s="114"/>
      <c r="Y224" s="115"/>
      <c r="Z224" s="115"/>
      <c r="AA224" s="116"/>
      <c r="AC224" s="11">
        <v>46243</v>
      </c>
      <c r="AD224" s="33" t="s">
        <v>7</v>
      </c>
      <c r="AE224" s="114"/>
      <c r="AF224" s="115"/>
      <c r="AG224" s="115"/>
      <c r="AH224" s="116"/>
      <c r="AJ224" s="11">
        <v>46243</v>
      </c>
      <c r="AK224" s="33" t="s">
        <v>7</v>
      </c>
      <c r="AL224" s="114"/>
      <c r="AM224" s="115"/>
      <c r="AN224" s="115"/>
      <c r="AO224" s="116"/>
      <c r="AQ224" s="11">
        <v>46243</v>
      </c>
      <c r="AR224" s="33" t="s">
        <v>7</v>
      </c>
      <c r="AS224" s="114"/>
      <c r="AT224" s="115"/>
      <c r="AU224" s="115"/>
      <c r="AV224" s="116"/>
      <c r="AX224" s="11">
        <v>46242</v>
      </c>
      <c r="AY224" s="33" t="s">
        <v>6</v>
      </c>
      <c r="AZ224" s="114"/>
      <c r="BA224" s="115"/>
      <c r="BB224" s="115"/>
      <c r="BC224" s="116"/>
      <c r="BE224" s="11">
        <v>46243</v>
      </c>
      <c r="BF224" s="33" t="s">
        <v>7</v>
      </c>
      <c r="BG224" s="33"/>
      <c r="BH224" s="19"/>
      <c r="BI224" s="19"/>
      <c r="BJ224" s="20"/>
      <c r="BL224" s="11">
        <v>46243</v>
      </c>
      <c r="BM224" s="33" t="s">
        <v>7</v>
      </c>
      <c r="BN224" s="114"/>
      <c r="BO224" s="115"/>
      <c r="BP224" s="115"/>
      <c r="BQ224" s="116"/>
      <c r="BS224" s="11">
        <v>46243</v>
      </c>
      <c r="BT224" s="33" t="s">
        <v>7</v>
      </c>
      <c r="BU224" s="114"/>
      <c r="BV224" s="115"/>
      <c r="BW224" s="115"/>
      <c r="BX224" s="116"/>
      <c r="BZ224" s="11">
        <v>46242</v>
      </c>
      <c r="CA224" s="33" t="s">
        <v>6</v>
      </c>
      <c r="CB224" s="114"/>
      <c r="CC224" s="115"/>
      <c r="CD224" s="115"/>
      <c r="CE224" s="116"/>
      <c r="CG224" s="11">
        <v>46243</v>
      </c>
      <c r="CH224" s="33" t="s">
        <v>7</v>
      </c>
      <c r="CI224" s="114"/>
      <c r="CJ224" s="115"/>
      <c r="CK224" s="115"/>
      <c r="CL224" s="116"/>
      <c r="CN224" s="11">
        <v>46243</v>
      </c>
      <c r="CO224" s="33" t="s">
        <v>7</v>
      </c>
      <c r="CP224" s="114"/>
      <c r="CQ224" s="115"/>
      <c r="CR224" s="115"/>
      <c r="CS224" s="116"/>
      <c r="CU224" s="11">
        <v>46243</v>
      </c>
      <c r="CV224" s="33" t="s">
        <v>7</v>
      </c>
      <c r="CW224" s="114"/>
      <c r="CX224" s="115"/>
      <c r="CY224" s="115"/>
      <c r="CZ224" s="116"/>
      <c r="DB224" s="11">
        <v>46241</v>
      </c>
      <c r="DC224" s="33" t="s">
        <v>5</v>
      </c>
      <c r="DD224" s="114"/>
      <c r="DE224" s="115"/>
      <c r="DF224" s="115"/>
      <c r="DG224" s="116"/>
      <c r="DI224" s="11">
        <v>46243</v>
      </c>
      <c r="DJ224" s="33" t="s">
        <v>7</v>
      </c>
      <c r="DK224" s="114"/>
      <c r="DL224" s="115"/>
      <c r="DM224" s="115"/>
      <c r="DN224" s="116"/>
      <c r="DP224" s="11">
        <v>46241</v>
      </c>
      <c r="DQ224" s="33" t="s">
        <v>5</v>
      </c>
      <c r="DR224" s="114"/>
      <c r="DS224" s="115"/>
      <c r="DT224" s="115"/>
      <c r="DU224" s="116"/>
      <c r="DW224" s="11">
        <v>46243</v>
      </c>
      <c r="DX224" s="33" t="s">
        <v>7</v>
      </c>
      <c r="DY224" s="114"/>
      <c r="DZ224" s="115"/>
      <c r="EA224" s="115"/>
      <c r="EB224" s="116"/>
    </row>
    <row r="225" spans="1:132" x14ac:dyDescent="0.25">
      <c r="A225" s="11">
        <v>46244</v>
      </c>
      <c r="B225" s="33" t="s">
        <v>8</v>
      </c>
      <c r="C225" s="114"/>
      <c r="D225" s="115"/>
      <c r="E225" s="115"/>
      <c r="F225" s="116"/>
      <c r="H225" s="11">
        <v>46244</v>
      </c>
      <c r="I225" s="33" t="s">
        <v>8</v>
      </c>
      <c r="J225" s="114"/>
      <c r="K225" s="115"/>
      <c r="L225" s="115"/>
      <c r="M225" s="116"/>
      <c r="O225" s="11">
        <v>46244</v>
      </c>
      <c r="P225" s="33" t="s">
        <v>8</v>
      </c>
      <c r="Q225" s="114"/>
      <c r="R225" s="115"/>
      <c r="S225" s="115"/>
      <c r="T225" s="116"/>
      <c r="V225" s="11">
        <v>46243</v>
      </c>
      <c r="W225" s="33" t="s">
        <v>7</v>
      </c>
      <c r="X225" s="114"/>
      <c r="Y225" s="115"/>
      <c r="Z225" s="115"/>
      <c r="AA225" s="116"/>
      <c r="AC225" s="11">
        <v>46244</v>
      </c>
      <c r="AD225" s="33" t="s">
        <v>8</v>
      </c>
      <c r="AE225" s="114"/>
      <c r="AF225" s="115"/>
      <c r="AG225" s="115"/>
      <c r="AH225" s="116"/>
      <c r="AJ225" s="11">
        <v>46244</v>
      </c>
      <c r="AK225" s="33" t="s">
        <v>8</v>
      </c>
      <c r="AL225" s="114"/>
      <c r="AM225" s="115"/>
      <c r="AN225" s="115"/>
      <c r="AO225" s="116"/>
      <c r="AQ225" s="11">
        <v>46244</v>
      </c>
      <c r="AR225" s="33" t="s">
        <v>8</v>
      </c>
      <c r="AS225" s="114"/>
      <c r="AT225" s="115"/>
      <c r="AU225" s="115"/>
      <c r="AV225" s="116"/>
      <c r="AX225" s="11">
        <v>46243</v>
      </c>
      <c r="AY225" s="33" t="s">
        <v>7</v>
      </c>
      <c r="AZ225" s="114"/>
      <c r="BA225" s="115"/>
      <c r="BB225" s="115"/>
      <c r="BC225" s="116"/>
      <c r="BE225" s="11">
        <v>46244</v>
      </c>
      <c r="BF225" s="33" t="s">
        <v>8</v>
      </c>
      <c r="BG225" s="33"/>
      <c r="BH225" s="19"/>
      <c r="BI225" s="19"/>
      <c r="BJ225" s="20"/>
      <c r="BL225" s="11">
        <v>46244</v>
      </c>
      <c r="BM225" s="33" t="s">
        <v>8</v>
      </c>
      <c r="BN225" s="114"/>
      <c r="BO225" s="115"/>
      <c r="BP225" s="115"/>
      <c r="BQ225" s="116"/>
      <c r="BS225" s="11">
        <v>46244</v>
      </c>
      <c r="BT225" s="33" t="s">
        <v>8</v>
      </c>
      <c r="BU225" s="114"/>
      <c r="BV225" s="115"/>
      <c r="BW225" s="115"/>
      <c r="BX225" s="116"/>
      <c r="BZ225" s="11">
        <v>46243</v>
      </c>
      <c r="CA225" s="33" t="s">
        <v>7</v>
      </c>
      <c r="CB225" s="114"/>
      <c r="CC225" s="115"/>
      <c r="CD225" s="115"/>
      <c r="CE225" s="116"/>
      <c r="CG225" s="11">
        <v>46244</v>
      </c>
      <c r="CH225" s="33" t="s">
        <v>8</v>
      </c>
      <c r="CI225" s="114"/>
      <c r="CJ225" s="115"/>
      <c r="CK225" s="115"/>
      <c r="CL225" s="116"/>
      <c r="CN225" s="11">
        <v>46244</v>
      </c>
      <c r="CO225" s="33" t="s">
        <v>8</v>
      </c>
      <c r="CP225" s="114"/>
      <c r="CQ225" s="115"/>
      <c r="CR225" s="115"/>
      <c r="CS225" s="116"/>
      <c r="CU225" s="11">
        <v>46244</v>
      </c>
      <c r="CV225" s="33" t="s">
        <v>8</v>
      </c>
      <c r="CW225" s="114"/>
      <c r="CX225" s="115"/>
      <c r="CY225" s="115"/>
      <c r="CZ225" s="116"/>
      <c r="DB225" s="11">
        <v>46242</v>
      </c>
      <c r="DC225" s="33" t="s">
        <v>6</v>
      </c>
      <c r="DD225" s="114"/>
      <c r="DE225" s="115"/>
      <c r="DF225" s="115"/>
      <c r="DG225" s="116"/>
      <c r="DI225" s="11">
        <v>46244</v>
      </c>
      <c r="DJ225" s="33" t="s">
        <v>8</v>
      </c>
      <c r="DK225" s="114"/>
      <c r="DL225" s="115"/>
      <c r="DM225" s="115"/>
      <c r="DN225" s="116"/>
      <c r="DP225" s="11">
        <v>46242</v>
      </c>
      <c r="DQ225" s="33" t="s">
        <v>6</v>
      </c>
      <c r="DR225" s="114"/>
      <c r="DS225" s="115"/>
      <c r="DT225" s="115"/>
      <c r="DU225" s="116"/>
      <c r="DW225" s="11">
        <v>46244</v>
      </c>
      <c r="DX225" s="33" t="s">
        <v>8</v>
      </c>
      <c r="DY225" s="114"/>
      <c r="DZ225" s="115"/>
      <c r="EA225" s="115"/>
      <c r="EB225" s="116"/>
    </row>
    <row r="226" spans="1:132" x14ac:dyDescent="0.25">
      <c r="A226" s="11">
        <v>46245</v>
      </c>
      <c r="B226" s="33" t="s">
        <v>9</v>
      </c>
      <c r="C226" s="114"/>
      <c r="D226" s="115"/>
      <c r="E226" s="115"/>
      <c r="F226" s="116"/>
      <c r="H226" s="11">
        <v>46245</v>
      </c>
      <c r="I226" s="33" t="s">
        <v>9</v>
      </c>
      <c r="J226" s="114"/>
      <c r="K226" s="115"/>
      <c r="L226" s="115"/>
      <c r="M226" s="116"/>
      <c r="O226" s="11">
        <v>46245</v>
      </c>
      <c r="P226" s="33" t="s">
        <v>9</v>
      </c>
      <c r="Q226" s="114"/>
      <c r="R226" s="115"/>
      <c r="S226" s="115"/>
      <c r="T226" s="116"/>
      <c r="V226" s="11">
        <v>46244</v>
      </c>
      <c r="W226" s="33" t="s">
        <v>8</v>
      </c>
      <c r="X226" s="114"/>
      <c r="Y226" s="115"/>
      <c r="Z226" s="115"/>
      <c r="AA226" s="116"/>
      <c r="AC226" s="11">
        <v>46245</v>
      </c>
      <c r="AD226" s="33" t="s">
        <v>9</v>
      </c>
      <c r="AE226" s="114"/>
      <c r="AF226" s="115"/>
      <c r="AG226" s="115"/>
      <c r="AH226" s="116"/>
      <c r="AJ226" s="11">
        <v>46245</v>
      </c>
      <c r="AK226" s="33" t="s">
        <v>9</v>
      </c>
      <c r="AL226" s="114"/>
      <c r="AM226" s="115"/>
      <c r="AN226" s="115"/>
      <c r="AO226" s="116"/>
      <c r="AQ226" s="11">
        <v>46245</v>
      </c>
      <c r="AR226" s="33" t="s">
        <v>9</v>
      </c>
      <c r="AS226" s="114"/>
      <c r="AT226" s="115"/>
      <c r="AU226" s="115"/>
      <c r="AV226" s="116"/>
      <c r="AX226" s="11">
        <v>46244</v>
      </c>
      <c r="AY226" s="33" t="s">
        <v>8</v>
      </c>
      <c r="AZ226" s="114"/>
      <c r="BA226" s="115"/>
      <c r="BB226" s="115"/>
      <c r="BC226" s="116"/>
      <c r="BE226" s="11">
        <v>46245</v>
      </c>
      <c r="BF226" s="33" t="s">
        <v>9</v>
      </c>
      <c r="BG226" s="33"/>
      <c r="BH226" s="19"/>
      <c r="BI226" s="19"/>
      <c r="BJ226" s="20"/>
      <c r="BL226" s="11">
        <v>46245</v>
      </c>
      <c r="BM226" s="33" t="s">
        <v>9</v>
      </c>
      <c r="BN226" s="114"/>
      <c r="BO226" s="115"/>
      <c r="BP226" s="115"/>
      <c r="BQ226" s="116"/>
      <c r="BS226" s="11">
        <v>46245</v>
      </c>
      <c r="BT226" s="33" t="s">
        <v>9</v>
      </c>
      <c r="BU226" s="114"/>
      <c r="BV226" s="115"/>
      <c r="BW226" s="115"/>
      <c r="BX226" s="116"/>
      <c r="BZ226" s="11">
        <v>46244</v>
      </c>
      <c r="CA226" s="33" t="s">
        <v>8</v>
      </c>
      <c r="CB226" s="114"/>
      <c r="CC226" s="115"/>
      <c r="CD226" s="115"/>
      <c r="CE226" s="116"/>
      <c r="CG226" s="11">
        <v>46245</v>
      </c>
      <c r="CH226" s="33" t="s">
        <v>9</v>
      </c>
      <c r="CI226" s="114"/>
      <c r="CJ226" s="115"/>
      <c r="CK226" s="115"/>
      <c r="CL226" s="116"/>
      <c r="CN226" s="11">
        <v>46245</v>
      </c>
      <c r="CO226" s="33" t="s">
        <v>9</v>
      </c>
      <c r="CP226" s="114"/>
      <c r="CQ226" s="115"/>
      <c r="CR226" s="115"/>
      <c r="CS226" s="116"/>
      <c r="CU226" s="11">
        <v>46245</v>
      </c>
      <c r="CV226" s="33" t="s">
        <v>9</v>
      </c>
      <c r="CW226" s="114"/>
      <c r="CX226" s="115"/>
      <c r="CY226" s="115"/>
      <c r="CZ226" s="116"/>
      <c r="DB226" s="11">
        <v>46243</v>
      </c>
      <c r="DC226" s="33" t="s">
        <v>7</v>
      </c>
      <c r="DD226" s="114"/>
      <c r="DE226" s="115"/>
      <c r="DF226" s="115"/>
      <c r="DG226" s="116"/>
      <c r="DI226" s="11">
        <v>46245</v>
      </c>
      <c r="DJ226" s="33" t="s">
        <v>9</v>
      </c>
      <c r="DK226" s="114"/>
      <c r="DL226" s="115"/>
      <c r="DM226" s="115"/>
      <c r="DN226" s="116"/>
      <c r="DP226" s="11">
        <v>46243</v>
      </c>
      <c r="DQ226" s="33" t="s">
        <v>7</v>
      </c>
      <c r="DR226" s="114"/>
      <c r="DS226" s="115"/>
      <c r="DT226" s="115"/>
      <c r="DU226" s="116"/>
      <c r="DW226" s="11">
        <v>46245</v>
      </c>
      <c r="DX226" s="33" t="s">
        <v>9</v>
      </c>
      <c r="DY226" s="114"/>
      <c r="DZ226" s="115"/>
      <c r="EA226" s="115"/>
      <c r="EB226" s="116"/>
    </row>
    <row r="227" spans="1:132" x14ac:dyDescent="0.25">
      <c r="A227" s="11">
        <v>46246</v>
      </c>
      <c r="B227" s="33" t="s">
        <v>3</v>
      </c>
      <c r="C227" s="114"/>
      <c r="D227" s="115"/>
      <c r="E227" s="115"/>
      <c r="F227" s="116"/>
      <c r="H227" s="11">
        <v>46246</v>
      </c>
      <c r="I227" s="33" t="s">
        <v>3</v>
      </c>
      <c r="J227" s="114"/>
      <c r="K227" s="115"/>
      <c r="L227" s="115"/>
      <c r="M227" s="116"/>
      <c r="O227" s="11">
        <v>46246</v>
      </c>
      <c r="P227" s="33" t="s">
        <v>3</v>
      </c>
      <c r="Q227" s="114"/>
      <c r="R227" s="115"/>
      <c r="S227" s="115"/>
      <c r="T227" s="116"/>
      <c r="V227" s="11">
        <v>46245</v>
      </c>
      <c r="W227" s="33" t="s">
        <v>9</v>
      </c>
      <c r="X227" s="114"/>
      <c r="Y227" s="115"/>
      <c r="Z227" s="115"/>
      <c r="AA227" s="116"/>
      <c r="AC227" s="11">
        <v>46246</v>
      </c>
      <c r="AD227" s="33" t="s">
        <v>3</v>
      </c>
      <c r="AE227" s="114"/>
      <c r="AF227" s="115"/>
      <c r="AG227" s="115"/>
      <c r="AH227" s="116"/>
      <c r="AJ227" s="11">
        <v>46246</v>
      </c>
      <c r="AK227" s="33" t="s">
        <v>3</v>
      </c>
      <c r="AL227" s="114"/>
      <c r="AM227" s="115"/>
      <c r="AN227" s="115"/>
      <c r="AO227" s="116"/>
      <c r="AQ227" s="11">
        <v>46246</v>
      </c>
      <c r="AR227" s="33" t="s">
        <v>3</v>
      </c>
      <c r="AS227" s="114"/>
      <c r="AT227" s="115"/>
      <c r="AU227" s="115"/>
      <c r="AV227" s="116"/>
      <c r="AX227" s="11">
        <v>46245</v>
      </c>
      <c r="AY227" s="33" t="s">
        <v>9</v>
      </c>
      <c r="AZ227" s="114"/>
      <c r="BA227" s="115"/>
      <c r="BB227" s="115"/>
      <c r="BC227" s="116"/>
      <c r="BE227" s="11">
        <v>46246</v>
      </c>
      <c r="BF227" s="33" t="s">
        <v>3</v>
      </c>
      <c r="BG227" s="33"/>
      <c r="BH227" s="19"/>
      <c r="BI227" s="19"/>
      <c r="BJ227" s="20"/>
      <c r="BL227" s="11">
        <v>46246</v>
      </c>
      <c r="BM227" s="33" t="s">
        <v>3</v>
      </c>
      <c r="BN227" s="114"/>
      <c r="BO227" s="115"/>
      <c r="BP227" s="115"/>
      <c r="BQ227" s="116"/>
      <c r="BS227" s="11">
        <v>46246</v>
      </c>
      <c r="BT227" s="33" t="s">
        <v>3</v>
      </c>
      <c r="BU227" s="114"/>
      <c r="BV227" s="115"/>
      <c r="BW227" s="115"/>
      <c r="BX227" s="116"/>
      <c r="BZ227" s="11">
        <v>46245</v>
      </c>
      <c r="CA227" s="33" t="s">
        <v>9</v>
      </c>
      <c r="CB227" s="114"/>
      <c r="CC227" s="115"/>
      <c r="CD227" s="115"/>
      <c r="CE227" s="116"/>
      <c r="CG227" s="11">
        <v>46246</v>
      </c>
      <c r="CH227" s="33" t="s">
        <v>3</v>
      </c>
      <c r="CI227" s="114"/>
      <c r="CJ227" s="115"/>
      <c r="CK227" s="115"/>
      <c r="CL227" s="116"/>
      <c r="CN227" s="11">
        <v>46246</v>
      </c>
      <c r="CO227" s="33" t="s">
        <v>3</v>
      </c>
      <c r="CP227" s="114"/>
      <c r="CQ227" s="115"/>
      <c r="CR227" s="115"/>
      <c r="CS227" s="116"/>
      <c r="CU227" s="11">
        <v>46246</v>
      </c>
      <c r="CV227" s="33" t="s">
        <v>3</v>
      </c>
      <c r="CW227" s="114"/>
      <c r="CX227" s="115"/>
      <c r="CY227" s="115"/>
      <c r="CZ227" s="116"/>
      <c r="DB227" s="11">
        <v>46244</v>
      </c>
      <c r="DC227" s="33" t="s">
        <v>8</v>
      </c>
      <c r="DD227" s="114"/>
      <c r="DE227" s="115"/>
      <c r="DF227" s="115"/>
      <c r="DG227" s="116"/>
      <c r="DI227" s="11">
        <v>46246</v>
      </c>
      <c r="DJ227" s="33" t="s">
        <v>3</v>
      </c>
      <c r="DK227" s="114"/>
      <c r="DL227" s="115"/>
      <c r="DM227" s="115"/>
      <c r="DN227" s="116"/>
      <c r="DP227" s="11">
        <v>46244</v>
      </c>
      <c r="DQ227" s="33" t="s">
        <v>8</v>
      </c>
      <c r="DR227" s="114"/>
      <c r="DS227" s="115"/>
      <c r="DT227" s="115"/>
      <c r="DU227" s="116"/>
      <c r="DW227" s="11">
        <v>46246</v>
      </c>
      <c r="DX227" s="33" t="s">
        <v>3</v>
      </c>
      <c r="DY227" s="114"/>
      <c r="DZ227" s="115"/>
      <c r="EA227" s="115"/>
      <c r="EB227" s="116"/>
    </row>
    <row r="228" spans="1:132" x14ac:dyDescent="0.25">
      <c r="A228" s="11">
        <v>46247</v>
      </c>
      <c r="B228" s="33" t="s">
        <v>4</v>
      </c>
      <c r="C228" s="114"/>
      <c r="D228" s="115"/>
      <c r="E228" s="115"/>
      <c r="F228" s="116"/>
      <c r="H228" s="11">
        <v>46247</v>
      </c>
      <c r="I228" s="33" t="s">
        <v>4</v>
      </c>
      <c r="J228" s="114"/>
      <c r="K228" s="115"/>
      <c r="L228" s="115"/>
      <c r="M228" s="116"/>
      <c r="O228" s="11">
        <v>46247</v>
      </c>
      <c r="P228" s="33" t="s">
        <v>4</v>
      </c>
      <c r="Q228" s="114"/>
      <c r="R228" s="115"/>
      <c r="S228" s="115"/>
      <c r="T228" s="116"/>
      <c r="V228" s="11">
        <v>46246</v>
      </c>
      <c r="W228" s="33" t="s">
        <v>3</v>
      </c>
      <c r="X228" s="114"/>
      <c r="Y228" s="115"/>
      <c r="Z228" s="115"/>
      <c r="AA228" s="116"/>
      <c r="AC228" s="11">
        <v>46247</v>
      </c>
      <c r="AD228" s="33" t="s">
        <v>4</v>
      </c>
      <c r="AE228" s="114"/>
      <c r="AF228" s="115"/>
      <c r="AG228" s="115"/>
      <c r="AH228" s="116"/>
      <c r="AJ228" s="11">
        <v>46247</v>
      </c>
      <c r="AK228" s="33" t="s">
        <v>4</v>
      </c>
      <c r="AL228" s="114"/>
      <c r="AM228" s="115"/>
      <c r="AN228" s="115"/>
      <c r="AO228" s="116"/>
      <c r="AQ228" s="11">
        <v>46247</v>
      </c>
      <c r="AR228" s="33" t="s">
        <v>4</v>
      </c>
      <c r="AS228" s="114"/>
      <c r="AT228" s="115"/>
      <c r="AU228" s="115"/>
      <c r="AV228" s="116"/>
      <c r="AX228" s="11">
        <v>46246</v>
      </c>
      <c r="AY228" s="33" t="s">
        <v>3</v>
      </c>
      <c r="AZ228" s="114"/>
      <c r="BA228" s="115"/>
      <c r="BB228" s="115"/>
      <c r="BC228" s="116"/>
      <c r="BE228" s="11">
        <v>46247</v>
      </c>
      <c r="BF228" s="33" t="s">
        <v>4</v>
      </c>
      <c r="BG228" s="33"/>
      <c r="BH228" s="19"/>
      <c r="BI228" s="19"/>
      <c r="BJ228" s="20"/>
      <c r="BL228" s="11">
        <v>46247</v>
      </c>
      <c r="BM228" s="33" t="s">
        <v>4</v>
      </c>
      <c r="BN228" s="114"/>
      <c r="BO228" s="115"/>
      <c r="BP228" s="115"/>
      <c r="BQ228" s="116"/>
      <c r="BS228" s="11">
        <v>46247</v>
      </c>
      <c r="BT228" s="33" t="s">
        <v>4</v>
      </c>
      <c r="BU228" s="114"/>
      <c r="BV228" s="115"/>
      <c r="BW228" s="115"/>
      <c r="BX228" s="116"/>
      <c r="BZ228" s="11">
        <v>46246</v>
      </c>
      <c r="CA228" s="33" t="s">
        <v>3</v>
      </c>
      <c r="CB228" s="114"/>
      <c r="CC228" s="115"/>
      <c r="CD228" s="115"/>
      <c r="CE228" s="116"/>
      <c r="CG228" s="11">
        <v>46247</v>
      </c>
      <c r="CH228" s="33" t="s">
        <v>4</v>
      </c>
      <c r="CI228" s="114"/>
      <c r="CJ228" s="115"/>
      <c r="CK228" s="115"/>
      <c r="CL228" s="116"/>
      <c r="CN228" s="11">
        <v>46247</v>
      </c>
      <c r="CO228" s="33" t="s">
        <v>4</v>
      </c>
      <c r="CP228" s="114"/>
      <c r="CQ228" s="115"/>
      <c r="CR228" s="115"/>
      <c r="CS228" s="116"/>
      <c r="CU228" s="11">
        <v>46247</v>
      </c>
      <c r="CV228" s="33" t="s">
        <v>4</v>
      </c>
      <c r="CW228" s="114"/>
      <c r="CX228" s="115"/>
      <c r="CY228" s="115"/>
      <c r="CZ228" s="116"/>
      <c r="DB228" s="11">
        <v>46245</v>
      </c>
      <c r="DC228" s="33" t="s">
        <v>9</v>
      </c>
      <c r="DD228" s="114"/>
      <c r="DE228" s="115"/>
      <c r="DF228" s="115"/>
      <c r="DG228" s="116"/>
      <c r="DI228" s="11">
        <v>46247</v>
      </c>
      <c r="DJ228" s="33" t="s">
        <v>4</v>
      </c>
      <c r="DK228" s="114"/>
      <c r="DL228" s="115"/>
      <c r="DM228" s="115"/>
      <c r="DN228" s="116"/>
      <c r="DP228" s="11">
        <v>46245</v>
      </c>
      <c r="DQ228" s="33" t="s">
        <v>9</v>
      </c>
      <c r="DR228" s="114"/>
      <c r="DS228" s="115"/>
      <c r="DT228" s="115"/>
      <c r="DU228" s="116"/>
      <c r="DW228" s="11">
        <v>46247</v>
      </c>
      <c r="DX228" s="33" t="s">
        <v>4</v>
      </c>
      <c r="DY228" s="114"/>
      <c r="DZ228" s="115"/>
      <c r="EA228" s="115"/>
      <c r="EB228" s="116"/>
    </row>
    <row r="229" spans="1:132" x14ac:dyDescent="0.25">
      <c r="A229" s="11">
        <v>46248</v>
      </c>
      <c r="B229" s="33" t="s">
        <v>5</v>
      </c>
      <c r="C229" s="114"/>
      <c r="D229" s="115"/>
      <c r="E229" s="115"/>
      <c r="F229" s="116"/>
      <c r="H229" s="11">
        <v>46248</v>
      </c>
      <c r="I229" s="33" t="s">
        <v>5</v>
      </c>
      <c r="J229" s="114"/>
      <c r="K229" s="115"/>
      <c r="L229" s="115"/>
      <c r="M229" s="116"/>
      <c r="O229" s="11">
        <v>46248</v>
      </c>
      <c r="P229" s="33" t="s">
        <v>5</v>
      </c>
      <c r="Q229" s="114"/>
      <c r="R229" s="115"/>
      <c r="S229" s="115"/>
      <c r="T229" s="116"/>
      <c r="V229" s="11">
        <v>46247</v>
      </c>
      <c r="W229" s="33" t="s">
        <v>4</v>
      </c>
      <c r="X229" s="114"/>
      <c r="Y229" s="115"/>
      <c r="Z229" s="115"/>
      <c r="AA229" s="116"/>
      <c r="AC229" s="11">
        <v>46248</v>
      </c>
      <c r="AD229" s="33" t="s">
        <v>5</v>
      </c>
      <c r="AE229" s="114"/>
      <c r="AF229" s="115"/>
      <c r="AG229" s="115"/>
      <c r="AH229" s="116"/>
      <c r="AJ229" s="11">
        <v>46248</v>
      </c>
      <c r="AK229" s="33" t="s">
        <v>5</v>
      </c>
      <c r="AL229" s="114"/>
      <c r="AM229" s="115"/>
      <c r="AN229" s="115"/>
      <c r="AO229" s="116"/>
      <c r="AQ229" s="11">
        <v>46248</v>
      </c>
      <c r="AR229" s="33" t="s">
        <v>5</v>
      </c>
      <c r="AS229" s="114"/>
      <c r="AT229" s="115"/>
      <c r="AU229" s="115"/>
      <c r="AV229" s="116"/>
      <c r="AX229" s="11">
        <v>46247</v>
      </c>
      <c r="AY229" s="33" t="s">
        <v>4</v>
      </c>
      <c r="AZ229" s="114"/>
      <c r="BA229" s="115"/>
      <c r="BB229" s="115"/>
      <c r="BC229" s="116"/>
      <c r="BE229" s="11">
        <v>46248</v>
      </c>
      <c r="BF229" s="33" t="s">
        <v>5</v>
      </c>
      <c r="BG229" s="33"/>
      <c r="BH229" s="19"/>
      <c r="BI229" s="19"/>
      <c r="BJ229" s="20"/>
      <c r="BL229" s="11">
        <v>46248</v>
      </c>
      <c r="BM229" s="33" t="s">
        <v>5</v>
      </c>
      <c r="BN229" s="114"/>
      <c r="BO229" s="115"/>
      <c r="BP229" s="115"/>
      <c r="BQ229" s="116"/>
      <c r="BS229" s="11">
        <v>46248</v>
      </c>
      <c r="BT229" s="33" t="s">
        <v>5</v>
      </c>
      <c r="BU229" s="114"/>
      <c r="BV229" s="115"/>
      <c r="BW229" s="115"/>
      <c r="BX229" s="116"/>
      <c r="BZ229" s="11">
        <v>46247</v>
      </c>
      <c r="CA229" s="33" t="s">
        <v>4</v>
      </c>
      <c r="CB229" s="114"/>
      <c r="CC229" s="115"/>
      <c r="CD229" s="115"/>
      <c r="CE229" s="116"/>
      <c r="CG229" s="11">
        <v>46248</v>
      </c>
      <c r="CH229" s="33" t="s">
        <v>5</v>
      </c>
      <c r="CI229" s="114"/>
      <c r="CJ229" s="115"/>
      <c r="CK229" s="115"/>
      <c r="CL229" s="116"/>
      <c r="CN229" s="11">
        <v>46248</v>
      </c>
      <c r="CO229" s="33" t="s">
        <v>5</v>
      </c>
      <c r="CP229" s="114"/>
      <c r="CQ229" s="115"/>
      <c r="CR229" s="115"/>
      <c r="CS229" s="116"/>
      <c r="CU229" s="11">
        <v>46248</v>
      </c>
      <c r="CV229" s="33" t="s">
        <v>5</v>
      </c>
      <c r="CW229" s="114"/>
      <c r="CX229" s="115"/>
      <c r="CY229" s="115"/>
      <c r="CZ229" s="116"/>
      <c r="DB229" s="11">
        <v>46246</v>
      </c>
      <c r="DC229" s="33" t="s">
        <v>3</v>
      </c>
      <c r="DD229" s="114"/>
      <c r="DE229" s="115"/>
      <c r="DF229" s="115"/>
      <c r="DG229" s="116"/>
      <c r="DI229" s="11">
        <v>46248</v>
      </c>
      <c r="DJ229" s="33" t="s">
        <v>5</v>
      </c>
      <c r="DK229" s="114"/>
      <c r="DL229" s="115"/>
      <c r="DM229" s="115"/>
      <c r="DN229" s="116"/>
      <c r="DP229" s="11">
        <v>46246</v>
      </c>
      <c r="DQ229" s="33" t="s">
        <v>3</v>
      </c>
      <c r="DR229" s="114"/>
      <c r="DS229" s="115"/>
      <c r="DT229" s="115"/>
      <c r="DU229" s="116"/>
      <c r="DW229" s="11">
        <v>46248</v>
      </c>
      <c r="DX229" s="33" t="s">
        <v>5</v>
      </c>
      <c r="DY229" s="114"/>
      <c r="DZ229" s="115"/>
      <c r="EA229" s="115"/>
      <c r="EB229" s="116"/>
    </row>
    <row r="230" spans="1:132" x14ac:dyDescent="0.25">
      <c r="A230" s="11">
        <v>46249</v>
      </c>
      <c r="B230" s="33" t="s">
        <v>6</v>
      </c>
      <c r="C230" s="114"/>
      <c r="D230" s="115"/>
      <c r="E230" s="115"/>
      <c r="F230" s="116"/>
      <c r="H230" s="11">
        <v>46249</v>
      </c>
      <c r="I230" s="33" t="s">
        <v>6</v>
      </c>
      <c r="J230" s="114"/>
      <c r="K230" s="115"/>
      <c r="L230" s="115"/>
      <c r="M230" s="116"/>
      <c r="O230" s="11">
        <v>46249</v>
      </c>
      <c r="P230" s="33" t="s">
        <v>6</v>
      </c>
      <c r="Q230" s="114"/>
      <c r="R230" s="115"/>
      <c r="S230" s="115"/>
      <c r="T230" s="116"/>
      <c r="V230" s="11">
        <v>46248</v>
      </c>
      <c r="W230" s="33" t="s">
        <v>5</v>
      </c>
      <c r="X230" s="114"/>
      <c r="Y230" s="115"/>
      <c r="Z230" s="115"/>
      <c r="AA230" s="116"/>
      <c r="AC230" s="11">
        <v>46249</v>
      </c>
      <c r="AD230" s="33" t="s">
        <v>6</v>
      </c>
      <c r="AE230" s="114"/>
      <c r="AF230" s="115"/>
      <c r="AG230" s="115"/>
      <c r="AH230" s="116"/>
      <c r="AJ230" s="11">
        <v>46249</v>
      </c>
      <c r="AK230" s="33" t="s">
        <v>6</v>
      </c>
      <c r="AL230" s="114"/>
      <c r="AM230" s="115"/>
      <c r="AN230" s="115"/>
      <c r="AO230" s="116"/>
      <c r="AQ230" s="11">
        <v>46249</v>
      </c>
      <c r="AR230" s="33" t="s">
        <v>6</v>
      </c>
      <c r="AS230" s="114"/>
      <c r="AT230" s="115"/>
      <c r="AU230" s="115"/>
      <c r="AV230" s="116"/>
      <c r="AX230" s="11">
        <v>46248</v>
      </c>
      <c r="AY230" s="33" t="s">
        <v>5</v>
      </c>
      <c r="AZ230" s="114"/>
      <c r="BA230" s="115"/>
      <c r="BB230" s="115"/>
      <c r="BC230" s="116"/>
      <c r="BE230" s="11">
        <v>46249</v>
      </c>
      <c r="BF230" s="33" t="s">
        <v>6</v>
      </c>
      <c r="BG230" s="33"/>
      <c r="BH230" s="19"/>
      <c r="BI230" s="19"/>
      <c r="BJ230" s="20"/>
      <c r="BL230" s="11">
        <v>46249</v>
      </c>
      <c r="BM230" s="33" t="s">
        <v>6</v>
      </c>
      <c r="BN230" s="114"/>
      <c r="BO230" s="115"/>
      <c r="BP230" s="115"/>
      <c r="BQ230" s="116"/>
      <c r="BS230" s="11">
        <v>46249</v>
      </c>
      <c r="BT230" s="33" t="s">
        <v>6</v>
      </c>
      <c r="BU230" s="114"/>
      <c r="BV230" s="115"/>
      <c r="BW230" s="115"/>
      <c r="BX230" s="116"/>
      <c r="BZ230" s="11">
        <v>46248</v>
      </c>
      <c r="CA230" s="33" t="s">
        <v>5</v>
      </c>
      <c r="CB230" s="114"/>
      <c r="CC230" s="115"/>
      <c r="CD230" s="115"/>
      <c r="CE230" s="116"/>
      <c r="CG230" s="11">
        <v>46249</v>
      </c>
      <c r="CH230" s="33" t="s">
        <v>6</v>
      </c>
      <c r="CI230" s="114"/>
      <c r="CJ230" s="115"/>
      <c r="CK230" s="115"/>
      <c r="CL230" s="116"/>
      <c r="CN230" s="11">
        <v>46249</v>
      </c>
      <c r="CO230" s="33" t="s">
        <v>6</v>
      </c>
      <c r="CP230" s="114"/>
      <c r="CQ230" s="115"/>
      <c r="CR230" s="115"/>
      <c r="CS230" s="116"/>
      <c r="CU230" s="11">
        <v>46249</v>
      </c>
      <c r="CV230" s="33" t="s">
        <v>6</v>
      </c>
      <c r="CW230" s="114"/>
      <c r="CX230" s="115"/>
      <c r="CY230" s="115"/>
      <c r="CZ230" s="116"/>
      <c r="DB230" s="11">
        <v>46247</v>
      </c>
      <c r="DC230" s="33" t="s">
        <v>4</v>
      </c>
      <c r="DD230" s="114"/>
      <c r="DE230" s="115"/>
      <c r="DF230" s="115"/>
      <c r="DG230" s="116"/>
      <c r="DI230" s="11">
        <v>46249</v>
      </c>
      <c r="DJ230" s="33" t="s">
        <v>6</v>
      </c>
      <c r="DK230" s="114"/>
      <c r="DL230" s="115"/>
      <c r="DM230" s="115"/>
      <c r="DN230" s="116"/>
      <c r="DP230" s="11">
        <v>46247</v>
      </c>
      <c r="DQ230" s="33" t="s">
        <v>4</v>
      </c>
      <c r="DR230" s="114"/>
      <c r="DS230" s="115"/>
      <c r="DT230" s="115"/>
      <c r="DU230" s="116"/>
      <c r="DW230" s="11">
        <v>46249</v>
      </c>
      <c r="DX230" s="33" t="s">
        <v>6</v>
      </c>
      <c r="DY230" s="114"/>
      <c r="DZ230" s="115"/>
      <c r="EA230" s="115"/>
      <c r="EB230" s="116"/>
    </row>
    <row r="231" spans="1:132" x14ac:dyDescent="0.25">
      <c r="A231" s="11">
        <v>46250</v>
      </c>
      <c r="B231" s="33" t="s">
        <v>7</v>
      </c>
      <c r="C231" s="114"/>
      <c r="D231" s="115"/>
      <c r="E231" s="115"/>
      <c r="F231" s="116"/>
      <c r="H231" s="11">
        <v>46250</v>
      </c>
      <c r="I231" s="33" t="s">
        <v>7</v>
      </c>
      <c r="J231" s="114"/>
      <c r="K231" s="115"/>
      <c r="L231" s="115"/>
      <c r="M231" s="116"/>
      <c r="O231" s="11">
        <v>46250</v>
      </c>
      <c r="P231" s="33" t="s">
        <v>7</v>
      </c>
      <c r="Q231" s="114"/>
      <c r="R231" s="115"/>
      <c r="S231" s="115"/>
      <c r="T231" s="116"/>
      <c r="V231" s="11">
        <v>46249</v>
      </c>
      <c r="W231" s="33" t="s">
        <v>6</v>
      </c>
      <c r="X231" s="114"/>
      <c r="Y231" s="115"/>
      <c r="Z231" s="115"/>
      <c r="AA231" s="116"/>
      <c r="AC231" s="11">
        <v>46250</v>
      </c>
      <c r="AD231" s="33" t="s">
        <v>7</v>
      </c>
      <c r="AE231" s="114"/>
      <c r="AF231" s="115"/>
      <c r="AG231" s="115"/>
      <c r="AH231" s="116"/>
      <c r="AJ231" s="11">
        <v>46250</v>
      </c>
      <c r="AK231" s="33" t="s">
        <v>7</v>
      </c>
      <c r="AL231" s="114"/>
      <c r="AM231" s="115"/>
      <c r="AN231" s="115"/>
      <c r="AO231" s="116"/>
      <c r="AQ231" s="11">
        <v>46250</v>
      </c>
      <c r="AR231" s="33" t="s">
        <v>7</v>
      </c>
      <c r="AS231" s="114"/>
      <c r="AT231" s="115"/>
      <c r="AU231" s="115"/>
      <c r="AV231" s="116"/>
      <c r="AX231" s="11">
        <v>46249</v>
      </c>
      <c r="AY231" s="33" t="s">
        <v>6</v>
      </c>
      <c r="AZ231" s="114"/>
      <c r="BA231" s="115"/>
      <c r="BB231" s="115"/>
      <c r="BC231" s="116"/>
      <c r="BE231" s="11">
        <v>46250</v>
      </c>
      <c r="BF231" s="33" t="s">
        <v>7</v>
      </c>
      <c r="BG231" s="33"/>
      <c r="BH231" s="19"/>
      <c r="BI231" s="19"/>
      <c r="BJ231" s="20"/>
      <c r="BL231" s="11">
        <v>46250</v>
      </c>
      <c r="BM231" s="33" t="s">
        <v>7</v>
      </c>
      <c r="BN231" s="114"/>
      <c r="BO231" s="115"/>
      <c r="BP231" s="115"/>
      <c r="BQ231" s="116"/>
      <c r="BS231" s="11">
        <v>46250</v>
      </c>
      <c r="BT231" s="33" t="s">
        <v>7</v>
      </c>
      <c r="BU231" s="114"/>
      <c r="BV231" s="115"/>
      <c r="BW231" s="115"/>
      <c r="BX231" s="116"/>
      <c r="BZ231" s="11">
        <v>46249</v>
      </c>
      <c r="CA231" s="33" t="s">
        <v>6</v>
      </c>
      <c r="CB231" s="114"/>
      <c r="CC231" s="115"/>
      <c r="CD231" s="115"/>
      <c r="CE231" s="116"/>
      <c r="CG231" s="11">
        <v>46250</v>
      </c>
      <c r="CH231" s="33" t="s">
        <v>7</v>
      </c>
      <c r="CI231" s="114"/>
      <c r="CJ231" s="115"/>
      <c r="CK231" s="115"/>
      <c r="CL231" s="116"/>
      <c r="CN231" s="11">
        <v>46250</v>
      </c>
      <c r="CO231" s="33" t="s">
        <v>7</v>
      </c>
      <c r="CP231" s="114"/>
      <c r="CQ231" s="115"/>
      <c r="CR231" s="115"/>
      <c r="CS231" s="116"/>
      <c r="CU231" s="11">
        <v>46250</v>
      </c>
      <c r="CV231" s="33" t="s">
        <v>7</v>
      </c>
      <c r="CW231" s="114"/>
      <c r="CX231" s="115"/>
      <c r="CY231" s="115"/>
      <c r="CZ231" s="116"/>
      <c r="DB231" s="11">
        <v>46248</v>
      </c>
      <c r="DC231" s="33" t="s">
        <v>5</v>
      </c>
      <c r="DD231" s="114"/>
      <c r="DE231" s="115"/>
      <c r="DF231" s="115"/>
      <c r="DG231" s="116"/>
      <c r="DI231" s="11">
        <v>46250</v>
      </c>
      <c r="DJ231" s="33" t="s">
        <v>7</v>
      </c>
      <c r="DK231" s="114"/>
      <c r="DL231" s="115"/>
      <c r="DM231" s="115"/>
      <c r="DN231" s="116"/>
      <c r="DP231" s="11">
        <v>46248</v>
      </c>
      <c r="DQ231" s="33" t="s">
        <v>5</v>
      </c>
      <c r="DR231" s="114"/>
      <c r="DS231" s="115"/>
      <c r="DT231" s="115"/>
      <c r="DU231" s="116"/>
      <c r="DW231" s="11">
        <v>46250</v>
      </c>
      <c r="DX231" s="33" t="s">
        <v>7</v>
      </c>
      <c r="DY231" s="114"/>
      <c r="DZ231" s="115"/>
      <c r="EA231" s="115"/>
      <c r="EB231" s="116"/>
    </row>
    <row r="232" spans="1:132" x14ac:dyDescent="0.25">
      <c r="A232" s="11">
        <v>46251</v>
      </c>
      <c r="B232" s="33" t="s">
        <v>8</v>
      </c>
      <c r="C232" s="114"/>
      <c r="D232" s="115"/>
      <c r="E232" s="115"/>
      <c r="F232" s="116"/>
      <c r="H232" s="11">
        <v>46251</v>
      </c>
      <c r="I232" s="33" t="s">
        <v>8</v>
      </c>
      <c r="J232" s="114"/>
      <c r="K232" s="115"/>
      <c r="L232" s="115"/>
      <c r="M232" s="116"/>
      <c r="O232" s="11">
        <v>46251</v>
      </c>
      <c r="P232" s="33" t="s">
        <v>8</v>
      </c>
      <c r="Q232" s="114"/>
      <c r="R232" s="115"/>
      <c r="S232" s="115"/>
      <c r="T232" s="116"/>
      <c r="V232" s="11">
        <v>46250</v>
      </c>
      <c r="W232" s="33" t="s">
        <v>7</v>
      </c>
      <c r="X232" s="114"/>
      <c r="Y232" s="115"/>
      <c r="Z232" s="115"/>
      <c r="AA232" s="116"/>
      <c r="AC232" s="11">
        <v>46251</v>
      </c>
      <c r="AD232" s="33" t="s">
        <v>8</v>
      </c>
      <c r="AE232" s="114"/>
      <c r="AF232" s="115"/>
      <c r="AG232" s="115"/>
      <c r="AH232" s="116"/>
      <c r="AJ232" s="11">
        <v>46251</v>
      </c>
      <c r="AK232" s="33" t="s">
        <v>8</v>
      </c>
      <c r="AL232" s="114"/>
      <c r="AM232" s="115"/>
      <c r="AN232" s="115"/>
      <c r="AO232" s="116"/>
      <c r="AQ232" s="11">
        <v>46251</v>
      </c>
      <c r="AR232" s="33" t="s">
        <v>8</v>
      </c>
      <c r="AS232" s="114"/>
      <c r="AT232" s="115"/>
      <c r="AU232" s="115"/>
      <c r="AV232" s="116"/>
      <c r="AX232" s="11">
        <v>46250</v>
      </c>
      <c r="AY232" s="33" t="s">
        <v>7</v>
      </c>
      <c r="AZ232" s="114"/>
      <c r="BA232" s="115"/>
      <c r="BB232" s="115"/>
      <c r="BC232" s="116"/>
      <c r="BE232" s="11">
        <v>46251</v>
      </c>
      <c r="BF232" s="33" t="s">
        <v>8</v>
      </c>
      <c r="BG232" s="33"/>
      <c r="BH232" s="19"/>
      <c r="BI232" s="19"/>
      <c r="BJ232" s="20"/>
      <c r="BL232" s="11">
        <v>46251</v>
      </c>
      <c r="BM232" s="33" t="s">
        <v>8</v>
      </c>
      <c r="BN232" s="114"/>
      <c r="BO232" s="115"/>
      <c r="BP232" s="115"/>
      <c r="BQ232" s="116"/>
      <c r="BS232" s="11">
        <v>46251</v>
      </c>
      <c r="BT232" s="33" t="s">
        <v>8</v>
      </c>
      <c r="BU232" s="114"/>
      <c r="BV232" s="115"/>
      <c r="BW232" s="115"/>
      <c r="BX232" s="116"/>
      <c r="BZ232" s="11">
        <v>46250</v>
      </c>
      <c r="CA232" s="33" t="s">
        <v>7</v>
      </c>
      <c r="CB232" s="114"/>
      <c r="CC232" s="115"/>
      <c r="CD232" s="115"/>
      <c r="CE232" s="116"/>
      <c r="CG232" s="11">
        <v>46251</v>
      </c>
      <c r="CH232" s="33" t="s">
        <v>8</v>
      </c>
      <c r="CI232" s="114"/>
      <c r="CJ232" s="115"/>
      <c r="CK232" s="115"/>
      <c r="CL232" s="116"/>
      <c r="CN232" s="11">
        <v>46251</v>
      </c>
      <c r="CO232" s="33" t="s">
        <v>8</v>
      </c>
      <c r="CP232" s="114"/>
      <c r="CQ232" s="115"/>
      <c r="CR232" s="115"/>
      <c r="CS232" s="116"/>
      <c r="CU232" s="11">
        <v>46251</v>
      </c>
      <c r="CV232" s="33" t="s">
        <v>8</v>
      </c>
      <c r="CW232" s="114"/>
      <c r="CX232" s="115"/>
      <c r="CY232" s="115"/>
      <c r="CZ232" s="116"/>
      <c r="DB232" s="11">
        <v>46249</v>
      </c>
      <c r="DC232" s="33" t="s">
        <v>6</v>
      </c>
      <c r="DD232" s="114"/>
      <c r="DE232" s="115"/>
      <c r="DF232" s="115"/>
      <c r="DG232" s="116"/>
      <c r="DI232" s="11">
        <v>46251</v>
      </c>
      <c r="DJ232" s="33" t="s">
        <v>8</v>
      </c>
      <c r="DK232" s="114"/>
      <c r="DL232" s="115"/>
      <c r="DM232" s="115"/>
      <c r="DN232" s="116"/>
      <c r="DP232" s="11">
        <v>46249</v>
      </c>
      <c r="DQ232" s="33" t="s">
        <v>6</v>
      </c>
      <c r="DR232" s="114"/>
      <c r="DS232" s="115"/>
      <c r="DT232" s="115"/>
      <c r="DU232" s="116"/>
      <c r="DW232" s="11">
        <v>46251</v>
      </c>
      <c r="DX232" s="33" t="s">
        <v>8</v>
      </c>
      <c r="DY232" s="114"/>
      <c r="DZ232" s="115"/>
      <c r="EA232" s="115"/>
      <c r="EB232" s="116"/>
    </row>
    <row r="233" spans="1:132" x14ac:dyDescent="0.25">
      <c r="A233" s="11">
        <v>46252</v>
      </c>
      <c r="B233" s="33" t="s">
        <v>9</v>
      </c>
      <c r="C233" s="114"/>
      <c r="D233" s="115"/>
      <c r="E233" s="115"/>
      <c r="F233" s="116"/>
      <c r="H233" s="11">
        <v>46252</v>
      </c>
      <c r="I233" s="33" t="s">
        <v>9</v>
      </c>
      <c r="J233" s="114"/>
      <c r="K233" s="115"/>
      <c r="L233" s="115"/>
      <c r="M233" s="116"/>
      <c r="O233" s="11">
        <v>46252</v>
      </c>
      <c r="P233" s="33" t="s">
        <v>9</v>
      </c>
      <c r="Q233" s="114"/>
      <c r="R233" s="115"/>
      <c r="S233" s="115"/>
      <c r="T233" s="116"/>
      <c r="V233" s="11">
        <v>46251</v>
      </c>
      <c r="W233" s="33" t="s">
        <v>8</v>
      </c>
      <c r="X233" s="114"/>
      <c r="Y233" s="115"/>
      <c r="Z233" s="115"/>
      <c r="AA233" s="116"/>
      <c r="AC233" s="11">
        <v>46252</v>
      </c>
      <c r="AD233" s="33" t="s">
        <v>9</v>
      </c>
      <c r="AE233" s="114"/>
      <c r="AF233" s="115"/>
      <c r="AG233" s="115"/>
      <c r="AH233" s="116"/>
      <c r="AJ233" s="11">
        <v>46252</v>
      </c>
      <c r="AK233" s="33" t="s">
        <v>9</v>
      </c>
      <c r="AL233" s="114"/>
      <c r="AM233" s="115"/>
      <c r="AN233" s="115"/>
      <c r="AO233" s="116"/>
      <c r="AQ233" s="11">
        <v>46252</v>
      </c>
      <c r="AR233" s="33" t="s">
        <v>9</v>
      </c>
      <c r="AS233" s="114"/>
      <c r="AT233" s="115"/>
      <c r="AU233" s="115"/>
      <c r="AV233" s="116"/>
      <c r="AX233" s="11">
        <v>46251</v>
      </c>
      <c r="AY233" s="33" t="s">
        <v>8</v>
      </c>
      <c r="AZ233" s="114"/>
      <c r="BA233" s="115"/>
      <c r="BB233" s="115"/>
      <c r="BC233" s="116"/>
      <c r="BE233" s="11">
        <v>46252</v>
      </c>
      <c r="BF233" s="33" t="s">
        <v>9</v>
      </c>
      <c r="BG233" s="33"/>
      <c r="BH233" s="19"/>
      <c r="BI233" s="19"/>
      <c r="BJ233" s="20"/>
      <c r="BL233" s="11">
        <v>46252</v>
      </c>
      <c r="BM233" s="33" t="s">
        <v>9</v>
      </c>
      <c r="BN233" s="114"/>
      <c r="BO233" s="115"/>
      <c r="BP233" s="115"/>
      <c r="BQ233" s="116"/>
      <c r="BS233" s="11">
        <v>46252</v>
      </c>
      <c r="BT233" s="33" t="s">
        <v>9</v>
      </c>
      <c r="BU233" s="114"/>
      <c r="BV233" s="115"/>
      <c r="BW233" s="115"/>
      <c r="BX233" s="116"/>
      <c r="BZ233" s="11">
        <v>46251</v>
      </c>
      <c r="CA233" s="33" t="s">
        <v>8</v>
      </c>
      <c r="CB233" s="114"/>
      <c r="CC233" s="115"/>
      <c r="CD233" s="115"/>
      <c r="CE233" s="116"/>
      <c r="CG233" s="11">
        <v>46252</v>
      </c>
      <c r="CH233" s="33" t="s">
        <v>9</v>
      </c>
      <c r="CI233" s="114"/>
      <c r="CJ233" s="115"/>
      <c r="CK233" s="115"/>
      <c r="CL233" s="116"/>
      <c r="CN233" s="11">
        <v>46252</v>
      </c>
      <c r="CO233" s="33" t="s">
        <v>9</v>
      </c>
      <c r="CP233" s="114"/>
      <c r="CQ233" s="115"/>
      <c r="CR233" s="115"/>
      <c r="CS233" s="116"/>
      <c r="CU233" s="11">
        <v>46252</v>
      </c>
      <c r="CV233" s="33" t="s">
        <v>9</v>
      </c>
      <c r="CW233" s="114"/>
      <c r="CX233" s="115"/>
      <c r="CY233" s="115"/>
      <c r="CZ233" s="116"/>
      <c r="DB233" s="11">
        <v>46250</v>
      </c>
      <c r="DC233" s="33" t="s">
        <v>7</v>
      </c>
      <c r="DD233" s="114"/>
      <c r="DE233" s="115"/>
      <c r="DF233" s="115"/>
      <c r="DG233" s="116"/>
      <c r="DI233" s="11">
        <v>46252</v>
      </c>
      <c r="DJ233" s="33" t="s">
        <v>9</v>
      </c>
      <c r="DK233" s="114"/>
      <c r="DL233" s="115"/>
      <c r="DM233" s="115"/>
      <c r="DN233" s="116"/>
      <c r="DP233" s="11">
        <v>46250</v>
      </c>
      <c r="DQ233" s="33" t="s">
        <v>7</v>
      </c>
      <c r="DR233" s="114"/>
      <c r="DS233" s="115"/>
      <c r="DT233" s="115"/>
      <c r="DU233" s="116"/>
      <c r="DW233" s="11">
        <v>46252</v>
      </c>
      <c r="DX233" s="33" t="s">
        <v>9</v>
      </c>
      <c r="DY233" s="114"/>
      <c r="DZ233" s="115"/>
      <c r="EA233" s="115"/>
      <c r="EB233" s="116"/>
    </row>
    <row r="234" spans="1:132" x14ac:dyDescent="0.25">
      <c r="A234" s="11">
        <v>46253</v>
      </c>
      <c r="B234" s="33" t="s">
        <v>3</v>
      </c>
      <c r="C234" s="114"/>
      <c r="D234" s="115"/>
      <c r="E234" s="115"/>
      <c r="F234" s="116"/>
      <c r="H234" s="11">
        <v>46253</v>
      </c>
      <c r="I234" s="33" t="s">
        <v>3</v>
      </c>
      <c r="J234" s="114"/>
      <c r="K234" s="115"/>
      <c r="L234" s="115"/>
      <c r="M234" s="116"/>
      <c r="O234" s="11">
        <v>46253</v>
      </c>
      <c r="P234" s="33" t="s">
        <v>3</v>
      </c>
      <c r="Q234" s="114"/>
      <c r="R234" s="115"/>
      <c r="S234" s="115"/>
      <c r="T234" s="116"/>
      <c r="V234" s="11">
        <v>46252</v>
      </c>
      <c r="W234" s="33" t="s">
        <v>9</v>
      </c>
      <c r="X234" s="114"/>
      <c r="Y234" s="115"/>
      <c r="Z234" s="115"/>
      <c r="AA234" s="116"/>
      <c r="AC234" s="11">
        <v>46253</v>
      </c>
      <c r="AD234" s="33" t="s">
        <v>3</v>
      </c>
      <c r="AE234" s="114"/>
      <c r="AF234" s="115"/>
      <c r="AG234" s="115"/>
      <c r="AH234" s="116"/>
      <c r="AJ234" s="11">
        <v>46253</v>
      </c>
      <c r="AK234" s="33" t="s">
        <v>3</v>
      </c>
      <c r="AL234" s="114"/>
      <c r="AM234" s="115"/>
      <c r="AN234" s="115"/>
      <c r="AO234" s="116"/>
      <c r="AQ234" s="11">
        <v>46253</v>
      </c>
      <c r="AR234" s="33" t="s">
        <v>3</v>
      </c>
      <c r="AS234" s="114"/>
      <c r="AT234" s="115"/>
      <c r="AU234" s="115"/>
      <c r="AV234" s="116"/>
      <c r="AX234" s="11">
        <v>46252</v>
      </c>
      <c r="AY234" s="33" t="s">
        <v>9</v>
      </c>
      <c r="AZ234" s="114"/>
      <c r="BA234" s="115"/>
      <c r="BB234" s="115"/>
      <c r="BC234" s="116"/>
      <c r="BE234" s="11">
        <v>46253</v>
      </c>
      <c r="BF234" s="33" t="s">
        <v>3</v>
      </c>
      <c r="BG234" s="33"/>
      <c r="BH234" s="19"/>
      <c r="BI234" s="19"/>
      <c r="BJ234" s="20"/>
      <c r="BL234" s="11">
        <v>46253</v>
      </c>
      <c r="BM234" s="33" t="s">
        <v>3</v>
      </c>
      <c r="BN234" s="114"/>
      <c r="BO234" s="115"/>
      <c r="BP234" s="115"/>
      <c r="BQ234" s="116"/>
      <c r="BS234" s="11">
        <v>46253</v>
      </c>
      <c r="BT234" s="33" t="s">
        <v>3</v>
      </c>
      <c r="BU234" s="114"/>
      <c r="BV234" s="115"/>
      <c r="BW234" s="115"/>
      <c r="BX234" s="116"/>
      <c r="BZ234" s="11">
        <v>46252</v>
      </c>
      <c r="CA234" s="33" t="s">
        <v>9</v>
      </c>
      <c r="CB234" s="114"/>
      <c r="CC234" s="115"/>
      <c r="CD234" s="115"/>
      <c r="CE234" s="116"/>
      <c r="CG234" s="11">
        <v>46253</v>
      </c>
      <c r="CH234" s="33" t="s">
        <v>3</v>
      </c>
      <c r="CI234" s="114"/>
      <c r="CJ234" s="115"/>
      <c r="CK234" s="115"/>
      <c r="CL234" s="116"/>
      <c r="CN234" s="11">
        <v>46253</v>
      </c>
      <c r="CO234" s="33" t="s">
        <v>3</v>
      </c>
      <c r="CP234" s="114"/>
      <c r="CQ234" s="115"/>
      <c r="CR234" s="115"/>
      <c r="CS234" s="116"/>
      <c r="CU234" s="11">
        <v>46253</v>
      </c>
      <c r="CV234" s="33" t="s">
        <v>3</v>
      </c>
      <c r="CW234" s="114"/>
      <c r="CX234" s="115"/>
      <c r="CY234" s="115"/>
      <c r="CZ234" s="116"/>
      <c r="DB234" s="11">
        <v>46251</v>
      </c>
      <c r="DC234" s="33" t="s">
        <v>8</v>
      </c>
      <c r="DD234" s="114"/>
      <c r="DE234" s="115"/>
      <c r="DF234" s="115"/>
      <c r="DG234" s="116"/>
      <c r="DI234" s="11">
        <v>46253</v>
      </c>
      <c r="DJ234" s="33" t="s">
        <v>3</v>
      </c>
      <c r="DK234" s="114"/>
      <c r="DL234" s="115"/>
      <c r="DM234" s="115"/>
      <c r="DN234" s="116"/>
      <c r="DP234" s="11">
        <v>46251</v>
      </c>
      <c r="DQ234" s="33" t="s">
        <v>8</v>
      </c>
      <c r="DR234" s="114"/>
      <c r="DS234" s="115"/>
      <c r="DT234" s="115"/>
      <c r="DU234" s="116"/>
      <c r="DW234" s="11">
        <v>46253</v>
      </c>
      <c r="DX234" s="33" t="s">
        <v>3</v>
      </c>
      <c r="DY234" s="114"/>
      <c r="DZ234" s="115"/>
      <c r="EA234" s="115"/>
      <c r="EB234" s="116"/>
    </row>
    <row r="235" spans="1:132" x14ac:dyDescent="0.25">
      <c r="A235" s="11">
        <v>46254</v>
      </c>
      <c r="B235" s="33" t="s">
        <v>4</v>
      </c>
      <c r="C235" s="114"/>
      <c r="D235" s="115"/>
      <c r="E235" s="115"/>
      <c r="F235" s="116"/>
      <c r="H235" s="11">
        <v>46254</v>
      </c>
      <c r="I235" s="33" t="s">
        <v>4</v>
      </c>
      <c r="J235" s="114"/>
      <c r="K235" s="115"/>
      <c r="L235" s="115"/>
      <c r="M235" s="116"/>
      <c r="O235" s="11">
        <v>46254</v>
      </c>
      <c r="P235" s="33" t="s">
        <v>4</v>
      </c>
      <c r="Q235" s="114"/>
      <c r="R235" s="115"/>
      <c r="S235" s="115"/>
      <c r="T235" s="116"/>
      <c r="V235" s="11">
        <v>46253</v>
      </c>
      <c r="W235" s="33" t="s">
        <v>3</v>
      </c>
      <c r="X235" s="114"/>
      <c r="Y235" s="115"/>
      <c r="Z235" s="115"/>
      <c r="AA235" s="116"/>
      <c r="AC235" s="11">
        <v>46254</v>
      </c>
      <c r="AD235" s="33" t="s">
        <v>4</v>
      </c>
      <c r="AE235" s="114"/>
      <c r="AF235" s="115"/>
      <c r="AG235" s="115"/>
      <c r="AH235" s="116"/>
      <c r="AJ235" s="11">
        <v>46254</v>
      </c>
      <c r="AK235" s="33" t="s">
        <v>4</v>
      </c>
      <c r="AL235" s="114"/>
      <c r="AM235" s="115"/>
      <c r="AN235" s="115"/>
      <c r="AO235" s="116"/>
      <c r="AQ235" s="11">
        <v>46254</v>
      </c>
      <c r="AR235" s="33" t="s">
        <v>4</v>
      </c>
      <c r="AS235" s="114"/>
      <c r="AT235" s="115"/>
      <c r="AU235" s="115"/>
      <c r="AV235" s="116"/>
      <c r="AX235" s="11">
        <v>46253</v>
      </c>
      <c r="AY235" s="33" t="s">
        <v>3</v>
      </c>
      <c r="AZ235" s="114"/>
      <c r="BA235" s="115"/>
      <c r="BB235" s="115"/>
      <c r="BC235" s="116"/>
      <c r="BE235" s="11">
        <v>46254</v>
      </c>
      <c r="BF235" s="33" t="s">
        <v>4</v>
      </c>
      <c r="BG235" s="33"/>
      <c r="BH235" s="19"/>
      <c r="BI235" s="19"/>
      <c r="BJ235" s="20"/>
      <c r="BL235" s="11">
        <v>46254</v>
      </c>
      <c r="BM235" s="33" t="s">
        <v>4</v>
      </c>
      <c r="BN235" s="114"/>
      <c r="BO235" s="115"/>
      <c r="BP235" s="115"/>
      <c r="BQ235" s="116"/>
      <c r="BS235" s="11">
        <v>46254</v>
      </c>
      <c r="BT235" s="33" t="s">
        <v>4</v>
      </c>
      <c r="BU235" s="114"/>
      <c r="BV235" s="115"/>
      <c r="BW235" s="115"/>
      <c r="BX235" s="116"/>
      <c r="BZ235" s="11">
        <v>46253</v>
      </c>
      <c r="CA235" s="33" t="s">
        <v>3</v>
      </c>
      <c r="CB235" s="114"/>
      <c r="CC235" s="115"/>
      <c r="CD235" s="115"/>
      <c r="CE235" s="116"/>
      <c r="CG235" s="11">
        <v>46254</v>
      </c>
      <c r="CH235" s="33" t="s">
        <v>4</v>
      </c>
      <c r="CI235" s="114"/>
      <c r="CJ235" s="115"/>
      <c r="CK235" s="115"/>
      <c r="CL235" s="116"/>
      <c r="CN235" s="11">
        <v>46254</v>
      </c>
      <c r="CO235" s="33" t="s">
        <v>4</v>
      </c>
      <c r="CP235" s="114"/>
      <c r="CQ235" s="115"/>
      <c r="CR235" s="115"/>
      <c r="CS235" s="116"/>
      <c r="CU235" s="11">
        <v>46254</v>
      </c>
      <c r="CV235" s="33" t="s">
        <v>4</v>
      </c>
      <c r="CW235" s="114"/>
      <c r="CX235" s="115"/>
      <c r="CY235" s="115"/>
      <c r="CZ235" s="116"/>
      <c r="DB235" s="11">
        <v>46252</v>
      </c>
      <c r="DC235" s="33" t="s">
        <v>9</v>
      </c>
      <c r="DD235" s="114"/>
      <c r="DE235" s="115"/>
      <c r="DF235" s="115"/>
      <c r="DG235" s="116"/>
      <c r="DI235" s="11">
        <v>46254</v>
      </c>
      <c r="DJ235" s="33" t="s">
        <v>4</v>
      </c>
      <c r="DK235" s="114"/>
      <c r="DL235" s="115"/>
      <c r="DM235" s="115"/>
      <c r="DN235" s="116"/>
      <c r="DP235" s="11">
        <v>46252</v>
      </c>
      <c r="DQ235" s="33" t="s">
        <v>9</v>
      </c>
      <c r="DR235" s="114"/>
      <c r="DS235" s="115"/>
      <c r="DT235" s="115"/>
      <c r="DU235" s="116"/>
      <c r="DW235" s="11">
        <v>46254</v>
      </c>
      <c r="DX235" s="33" t="s">
        <v>4</v>
      </c>
      <c r="DY235" s="114"/>
      <c r="DZ235" s="115"/>
      <c r="EA235" s="115"/>
      <c r="EB235" s="116"/>
    </row>
    <row r="236" spans="1:132" x14ac:dyDescent="0.25">
      <c r="A236" s="11">
        <v>46255</v>
      </c>
      <c r="B236" s="33" t="s">
        <v>5</v>
      </c>
      <c r="C236" s="114"/>
      <c r="D236" s="115"/>
      <c r="E236" s="115"/>
      <c r="F236" s="116"/>
      <c r="H236" s="11">
        <v>46255</v>
      </c>
      <c r="I236" s="33" t="s">
        <v>5</v>
      </c>
      <c r="J236" s="114"/>
      <c r="K236" s="115"/>
      <c r="L236" s="115"/>
      <c r="M236" s="116"/>
      <c r="O236" s="11">
        <v>46255</v>
      </c>
      <c r="P236" s="33" t="s">
        <v>5</v>
      </c>
      <c r="Q236" s="114"/>
      <c r="R236" s="115"/>
      <c r="S236" s="115"/>
      <c r="T236" s="116"/>
      <c r="V236" s="11">
        <v>46254</v>
      </c>
      <c r="W236" s="33" t="s">
        <v>4</v>
      </c>
      <c r="X236" s="114"/>
      <c r="Y236" s="115"/>
      <c r="Z236" s="115"/>
      <c r="AA236" s="116"/>
      <c r="AC236" s="11">
        <v>46255</v>
      </c>
      <c r="AD236" s="33" t="s">
        <v>5</v>
      </c>
      <c r="AE236" s="114"/>
      <c r="AF236" s="115"/>
      <c r="AG236" s="115"/>
      <c r="AH236" s="116"/>
      <c r="AJ236" s="11">
        <v>46255</v>
      </c>
      <c r="AK236" s="33" t="s">
        <v>5</v>
      </c>
      <c r="AL236" s="114"/>
      <c r="AM236" s="115"/>
      <c r="AN236" s="115"/>
      <c r="AO236" s="116"/>
      <c r="AQ236" s="11">
        <v>46255</v>
      </c>
      <c r="AR236" s="33" t="s">
        <v>5</v>
      </c>
      <c r="AS236" s="114"/>
      <c r="AT236" s="115"/>
      <c r="AU236" s="115"/>
      <c r="AV236" s="116"/>
      <c r="AX236" s="11">
        <v>46254</v>
      </c>
      <c r="AY236" s="33" t="s">
        <v>4</v>
      </c>
      <c r="AZ236" s="114"/>
      <c r="BA236" s="115"/>
      <c r="BB236" s="115"/>
      <c r="BC236" s="116"/>
      <c r="BE236" s="11">
        <v>46255</v>
      </c>
      <c r="BF236" s="33" t="s">
        <v>5</v>
      </c>
      <c r="BG236" s="33"/>
      <c r="BH236" s="19"/>
      <c r="BI236" s="19"/>
      <c r="BJ236" s="20"/>
      <c r="BL236" s="11">
        <v>46255</v>
      </c>
      <c r="BM236" s="33" t="s">
        <v>5</v>
      </c>
      <c r="BN236" s="114"/>
      <c r="BO236" s="115"/>
      <c r="BP236" s="115"/>
      <c r="BQ236" s="116"/>
      <c r="BS236" s="11">
        <v>46255</v>
      </c>
      <c r="BT236" s="33" t="s">
        <v>5</v>
      </c>
      <c r="BU236" s="114"/>
      <c r="BV236" s="115"/>
      <c r="BW236" s="115"/>
      <c r="BX236" s="116"/>
      <c r="BZ236" s="11">
        <v>46254</v>
      </c>
      <c r="CA236" s="33" t="s">
        <v>4</v>
      </c>
      <c r="CB236" s="114"/>
      <c r="CC236" s="115"/>
      <c r="CD236" s="115"/>
      <c r="CE236" s="116"/>
      <c r="CG236" s="11">
        <v>46255</v>
      </c>
      <c r="CH236" s="33" t="s">
        <v>5</v>
      </c>
      <c r="CI236" s="114"/>
      <c r="CJ236" s="115"/>
      <c r="CK236" s="115"/>
      <c r="CL236" s="116"/>
      <c r="CN236" s="11">
        <v>46255</v>
      </c>
      <c r="CO236" s="33" t="s">
        <v>5</v>
      </c>
      <c r="CP236" s="114"/>
      <c r="CQ236" s="115"/>
      <c r="CR236" s="115"/>
      <c r="CS236" s="116"/>
      <c r="CU236" s="11">
        <v>46255</v>
      </c>
      <c r="CV236" s="33" t="s">
        <v>5</v>
      </c>
      <c r="CW236" s="114"/>
      <c r="CX236" s="115"/>
      <c r="CY236" s="115"/>
      <c r="CZ236" s="116"/>
      <c r="DB236" s="11">
        <v>46253</v>
      </c>
      <c r="DC236" s="33" t="s">
        <v>3</v>
      </c>
      <c r="DD236" s="114"/>
      <c r="DE236" s="115"/>
      <c r="DF236" s="115"/>
      <c r="DG236" s="116"/>
      <c r="DI236" s="11">
        <v>46255</v>
      </c>
      <c r="DJ236" s="33" t="s">
        <v>5</v>
      </c>
      <c r="DK236" s="114"/>
      <c r="DL236" s="115"/>
      <c r="DM236" s="115"/>
      <c r="DN236" s="116"/>
      <c r="DP236" s="11">
        <v>46253</v>
      </c>
      <c r="DQ236" s="33" t="s">
        <v>3</v>
      </c>
      <c r="DR236" s="114"/>
      <c r="DS236" s="115"/>
      <c r="DT236" s="115"/>
      <c r="DU236" s="116"/>
      <c r="DW236" s="11">
        <v>46255</v>
      </c>
      <c r="DX236" s="33" t="s">
        <v>5</v>
      </c>
      <c r="DY236" s="114"/>
      <c r="DZ236" s="115"/>
      <c r="EA236" s="115"/>
      <c r="EB236" s="116"/>
    </row>
    <row r="237" spans="1:132" x14ac:dyDescent="0.25">
      <c r="A237" s="11">
        <v>46256</v>
      </c>
      <c r="B237" s="33" t="s">
        <v>6</v>
      </c>
      <c r="C237" s="114"/>
      <c r="D237" s="115"/>
      <c r="E237" s="115"/>
      <c r="F237" s="116"/>
      <c r="H237" s="11">
        <v>46256</v>
      </c>
      <c r="I237" s="33" t="s">
        <v>6</v>
      </c>
      <c r="J237" s="114"/>
      <c r="K237" s="115"/>
      <c r="L237" s="115"/>
      <c r="M237" s="116"/>
      <c r="O237" s="11">
        <v>46256</v>
      </c>
      <c r="P237" s="33" t="s">
        <v>6</v>
      </c>
      <c r="Q237" s="114"/>
      <c r="R237" s="115"/>
      <c r="S237" s="115"/>
      <c r="T237" s="116"/>
      <c r="V237" s="11">
        <v>46255</v>
      </c>
      <c r="W237" s="33" t="s">
        <v>5</v>
      </c>
      <c r="X237" s="114"/>
      <c r="Y237" s="115"/>
      <c r="Z237" s="115"/>
      <c r="AA237" s="116"/>
      <c r="AC237" s="11">
        <v>46256</v>
      </c>
      <c r="AD237" s="33" t="s">
        <v>6</v>
      </c>
      <c r="AE237" s="114"/>
      <c r="AF237" s="115"/>
      <c r="AG237" s="115"/>
      <c r="AH237" s="116"/>
      <c r="AJ237" s="11">
        <v>46256</v>
      </c>
      <c r="AK237" s="33" t="s">
        <v>6</v>
      </c>
      <c r="AL237" s="114"/>
      <c r="AM237" s="115"/>
      <c r="AN237" s="115"/>
      <c r="AO237" s="116"/>
      <c r="AQ237" s="11">
        <v>46256</v>
      </c>
      <c r="AR237" s="33" t="s">
        <v>6</v>
      </c>
      <c r="AS237" s="114"/>
      <c r="AT237" s="115"/>
      <c r="AU237" s="115"/>
      <c r="AV237" s="116"/>
      <c r="AX237" s="11">
        <v>46255</v>
      </c>
      <c r="AY237" s="33" t="s">
        <v>5</v>
      </c>
      <c r="AZ237" s="114"/>
      <c r="BA237" s="115"/>
      <c r="BB237" s="115"/>
      <c r="BC237" s="116"/>
      <c r="BE237" s="11">
        <v>46256</v>
      </c>
      <c r="BF237" s="33" t="s">
        <v>6</v>
      </c>
      <c r="BG237" s="33"/>
      <c r="BH237" s="19"/>
      <c r="BI237" s="19"/>
      <c r="BJ237" s="20"/>
      <c r="BL237" s="11">
        <v>46256</v>
      </c>
      <c r="BM237" s="33" t="s">
        <v>6</v>
      </c>
      <c r="BN237" s="114"/>
      <c r="BO237" s="115"/>
      <c r="BP237" s="115"/>
      <c r="BQ237" s="116"/>
      <c r="BS237" s="11">
        <v>46256</v>
      </c>
      <c r="BT237" s="33" t="s">
        <v>6</v>
      </c>
      <c r="BU237" s="114"/>
      <c r="BV237" s="115"/>
      <c r="BW237" s="115"/>
      <c r="BX237" s="116"/>
      <c r="BZ237" s="11">
        <v>46255</v>
      </c>
      <c r="CA237" s="33" t="s">
        <v>5</v>
      </c>
      <c r="CB237" s="114"/>
      <c r="CC237" s="115"/>
      <c r="CD237" s="115"/>
      <c r="CE237" s="116"/>
      <c r="CG237" s="11">
        <v>46256</v>
      </c>
      <c r="CH237" s="33" t="s">
        <v>6</v>
      </c>
      <c r="CI237" s="114"/>
      <c r="CJ237" s="115"/>
      <c r="CK237" s="115"/>
      <c r="CL237" s="116"/>
      <c r="CN237" s="11">
        <v>46256</v>
      </c>
      <c r="CO237" s="33" t="s">
        <v>6</v>
      </c>
      <c r="CP237" s="114"/>
      <c r="CQ237" s="115"/>
      <c r="CR237" s="115"/>
      <c r="CS237" s="116"/>
      <c r="CU237" s="11">
        <v>46256</v>
      </c>
      <c r="CV237" s="33" t="s">
        <v>6</v>
      </c>
      <c r="CW237" s="114"/>
      <c r="CX237" s="115"/>
      <c r="CY237" s="115"/>
      <c r="CZ237" s="116"/>
      <c r="DB237" s="11">
        <v>46254</v>
      </c>
      <c r="DC237" s="33" t="s">
        <v>4</v>
      </c>
      <c r="DD237" s="114"/>
      <c r="DE237" s="115"/>
      <c r="DF237" s="115"/>
      <c r="DG237" s="116"/>
      <c r="DI237" s="11">
        <v>46256</v>
      </c>
      <c r="DJ237" s="33" t="s">
        <v>6</v>
      </c>
      <c r="DK237" s="114"/>
      <c r="DL237" s="115"/>
      <c r="DM237" s="115"/>
      <c r="DN237" s="116"/>
      <c r="DP237" s="11">
        <v>46254</v>
      </c>
      <c r="DQ237" s="33" t="s">
        <v>4</v>
      </c>
      <c r="DR237" s="114"/>
      <c r="DS237" s="115"/>
      <c r="DT237" s="115"/>
      <c r="DU237" s="116"/>
      <c r="DW237" s="11">
        <v>46256</v>
      </c>
      <c r="DX237" s="33" t="s">
        <v>6</v>
      </c>
      <c r="DY237" s="114"/>
      <c r="DZ237" s="115"/>
      <c r="EA237" s="115"/>
      <c r="EB237" s="116"/>
    </row>
    <row r="238" spans="1:132" x14ac:dyDescent="0.25">
      <c r="A238" s="11">
        <v>46257</v>
      </c>
      <c r="B238" s="33" t="s">
        <v>7</v>
      </c>
      <c r="C238" s="114"/>
      <c r="D238" s="115"/>
      <c r="E238" s="115"/>
      <c r="F238" s="116"/>
      <c r="H238" s="11">
        <v>46257</v>
      </c>
      <c r="I238" s="33" t="s">
        <v>7</v>
      </c>
      <c r="J238" s="114"/>
      <c r="K238" s="115"/>
      <c r="L238" s="115"/>
      <c r="M238" s="116"/>
      <c r="O238" s="11">
        <v>46257</v>
      </c>
      <c r="P238" s="33" t="s">
        <v>7</v>
      </c>
      <c r="Q238" s="114"/>
      <c r="R238" s="115"/>
      <c r="S238" s="115"/>
      <c r="T238" s="116"/>
      <c r="V238" s="11">
        <v>46256</v>
      </c>
      <c r="W238" s="33" t="s">
        <v>6</v>
      </c>
      <c r="X238" s="114"/>
      <c r="Y238" s="115"/>
      <c r="Z238" s="115"/>
      <c r="AA238" s="116"/>
      <c r="AC238" s="11">
        <v>46257</v>
      </c>
      <c r="AD238" s="33" t="s">
        <v>7</v>
      </c>
      <c r="AE238" s="114"/>
      <c r="AF238" s="115"/>
      <c r="AG238" s="115"/>
      <c r="AH238" s="116"/>
      <c r="AJ238" s="11">
        <v>46257</v>
      </c>
      <c r="AK238" s="33" t="s">
        <v>7</v>
      </c>
      <c r="AL238" s="114"/>
      <c r="AM238" s="115"/>
      <c r="AN238" s="115"/>
      <c r="AO238" s="116"/>
      <c r="AQ238" s="11">
        <v>46257</v>
      </c>
      <c r="AR238" s="33" t="s">
        <v>7</v>
      </c>
      <c r="AS238" s="114"/>
      <c r="AT238" s="115"/>
      <c r="AU238" s="115"/>
      <c r="AV238" s="116"/>
      <c r="AX238" s="11">
        <v>46256</v>
      </c>
      <c r="AY238" s="33" t="s">
        <v>6</v>
      </c>
      <c r="AZ238" s="114"/>
      <c r="BA238" s="115"/>
      <c r="BB238" s="115"/>
      <c r="BC238" s="116"/>
      <c r="BE238" s="11">
        <v>46257</v>
      </c>
      <c r="BF238" s="33" t="s">
        <v>7</v>
      </c>
      <c r="BG238" s="33"/>
      <c r="BH238" s="19"/>
      <c r="BI238" s="19"/>
      <c r="BJ238" s="20"/>
      <c r="BL238" s="11">
        <v>46257</v>
      </c>
      <c r="BM238" s="33" t="s">
        <v>7</v>
      </c>
      <c r="BN238" s="114"/>
      <c r="BO238" s="115"/>
      <c r="BP238" s="115"/>
      <c r="BQ238" s="116"/>
      <c r="BS238" s="11">
        <v>46257</v>
      </c>
      <c r="BT238" s="33" t="s">
        <v>7</v>
      </c>
      <c r="BU238" s="114"/>
      <c r="BV238" s="115"/>
      <c r="BW238" s="115"/>
      <c r="BX238" s="116"/>
      <c r="BZ238" s="11">
        <v>46256</v>
      </c>
      <c r="CA238" s="33" t="s">
        <v>6</v>
      </c>
      <c r="CB238" s="114"/>
      <c r="CC238" s="115"/>
      <c r="CD238" s="115"/>
      <c r="CE238" s="116"/>
      <c r="CG238" s="11">
        <v>46257</v>
      </c>
      <c r="CH238" s="33" t="s">
        <v>7</v>
      </c>
      <c r="CI238" s="114"/>
      <c r="CJ238" s="115"/>
      <c r="CK238" s="115"/>
      <c r="CL238" s="116"/>
      <c r="CN238" s="11">
        <v>46257</v>
      </c>
      <c r="CO238" s="33" t="s">
        <v>7</v>
      </c>
      <c r="CP238" s="114"/>
      <c r="CQ238" s="115"/>
      <c r="CR238" s="115"/>
      <c r="CS238" s="116"/>
      <c r="CU238" s="11">
        <v>46257</v>
      </c>
      <c r="CV238" s="33" t="s">
        <v>7</v>
      </c>
      <c r="CW238" s="114"/>
      <c r="CX238" s="115"/>
      <c r="CY238" s="115"/>
      <c r="CZ238" s="116"/>
      <c r="DB238" s="11">
        <v>46255</v>
      </c>
      <c r="DC238" s="33" t="s">
        <v>5</v>
      </c>
      <c r="DD238" s="114"/>
      <c r="DE238" s="115"/>
      <c r="DF238" s="115"/>
      <c r="DG238" s="116"/>
      <c r="DI238" s="11">
        <v>46257</v>
      </c>
      <c r="DJ238" s="33" t="s">
        <v>7</v>
      </c>
      <c r="DK238" s="114"/>
      <c r="DL238" s="115"/>
      <c r="DM238" s="115"/>
      <c r="DN238" s="116"/>
      <c r="DP238" s="11">
        <v>46255</v>
      </c>
      <c r="DQ238" s="33" t="s">
        <v>5</v>
      </c>
      <c r="DR238" s="114"/>
      <c r="DS238" s="115"/>
      <c r="DT238" s="115"/>
      <c r="DU238" s="116"/>
      <c r="DW238" s="11">
        <v>46257</v>
      </c>
      <c r="DX238" s="33" t="s">
        <v>7</v>
      </c>
      <c r="DY238" s="114"/>
      <c r="DZ238" s="115"/>
      <c r="EA238" s="115"/>
      <c r="EB238" s="116"/>
    </row>
    <row r="239" spans="1:132" x14ac:dyDescent="0.25">
      <c r="A239" s="11">
        <v>46258</v>
      </c>
      <c r="B239" s="33" t="s">
        <v>8</v>
      </c>
      <c r="C239" s="114"/>
      <c r="D239" s="115"/>
      <c r="E239" s="115"/>
      <c r="F239" s="116"/>
      <c r="H239" s="11">
        <v>46258</v>
      </c>
      <c r="I239" s="33" t="s">
        <v>8</v>
      </c>
      <c r="J239" s="114"/>
      <c r="K239" s="115"/>
      <c r="L239" s="115"/>
      <c r="M239" s="116"/>
      <c r="O239" s="11">
        <v>46258</v>
      </c>
      <c r="P239" s="33" t="s">
        <v>8</v>
      </c>
      <c r="Q239" s="114"/>
      <c r="R239" s="115"/>
      <c r="S239" s="115"/>
      <c r="T239" s="116"/>
      <c r="V239" s="11">
        <v>46257</v>
      </c>
      <c r="W239" s="33" t="s">
        <v>7</v>
      </c>
      <c r="X239" s="114"/>
      <c r="Y239" s="115"/>
      <c r="Z239" s="115"/>
      <c r="AA239" s="116"/>
      <c r="AC239" s="11">
        <v>46258</v>
      </c>
      <c r="AD239" s="33" t="s">
        <v>8</v>
      </c>
      <c r="AE239" s="114"/>
      <c r="AF239" s="115"/>
      <c r="AG239" s="115"/>
      <c r="AH239" s="116"/>
      <c r="AJ239" s="11">
        <v>46258</v>
      </c>
      <c r="AK239" s="33" t="s">
        <v>8</v>
      </c>
      <c r="AL239" s="114"/>
      <c r="AM239" s="115"/>
      <c r="AN239" s="115"/>
      <c r="AO239" s="116"/>
      <c r="AQ239" s="11">
        <v>46258</v>
      </c>
      <c r="AR239" s="33" t="s">
        <v>8</v>
      </c>
      <c r="AS239" s="114"/>
      <c r="AT239" s="115"/>
      <c r="AU239" s="115"/>
      <c r="AV239" s="116"/>
      <c r="AX239" s="11">
        <v>46257</v>
      </c>
      <c r="AY239" s="33" t="s">
        <v>7</v>
      </c>
      <c r="AZ239" s="114"/>
      <c r="BA239" s="115"/>
      <c r="BB239" s="115"/>
      <c r="BC239" s="116"/>
      <c r="BE239" s="11">
        <v>46258</v>
      </c>
      <c r="BF239" s="33" t="s">
        <v>8</v>
      </c>
      <c r="BG239" s="33"/>
      <c r="BH239" s="19"/>
      <c r="BI239" s="19"/>
      <c r="BJ239" s="20"/>
      <c r="BL239" s="11">
        <v>46258</v>
      </c>
      <c r="BM239" s="33" t="s">
        <v>8</v>
      </c>
      <c r="BN239" s="114"/>
      <c r="BO239" s="115"/>
      <c r="BP239" s="115"/>
      <c r="BQ239" s="116"/>
      <c r="BS239" s="11">
        <v>46258</v>
      </c>
      <c r="BT239" s="33" t="s">
        <v>8</v>
      </c>
      <c r="BU239" s="114"/>
      <c r="BV239" s="115"/>
      <c r="BW239" s="115"/>
      <c r="BX239" s="116"/>
      <c r="BZ239" s="11">
        <v>46257</v>
      </c>
      <c r="CA239" s="33" t="s">
        <v>7</v>
      </c>
      <c r="CB239" s="114"/>
      <c r="CC239" s="115"/>
      <c r="CD239" s="115"/>
      <c r="CE239" s="116"/>
      <c r="CG239" s="11">
        <v>46258</v>
      </c>
      <c r="CH239" s="33" t="s">
        <v>8</v>
      </c>
      <c r="CI239" s="114"/>
      <c r="CJ239" s="115"/>
      <c r="CK239" s="115"/>
      <c r="CL239" s="116"/>
      <c r="CN239" s="11">
        <v>46258</v>
      </c>
      <c r="CO239" s="33" t="s">
        <v>8</v>
      </c>
      <c r="CP239" s="114"/>
      <c r="CQ239" s="115"/>
      <c r="CR239" s="115"/>
      <c r="CS239" s="116"/>
      <c r="CU239" s="11">
        <v>46258</v>
      </c>
      <c r="CV239" s="33" t="s">
        <v>8</v>
      </c>
      <c r="CW239" s="114"/>
      <c r="CX239" s="115"/>
      <c r="CY239" s="115"/>
      <c r="CZ239" s="116"/>
      <c r="DB239" s="11">
        <v>46256</v>
      </c>
      <c r="DC239" s="33" t="s">
        <v>6</v>
      </c>
      <c r="DD239" s="114"/>
      <c r="DE239" s="115"/>
      <c r="DF239" s="115"/>
      <c r="DG239" s="116"/>
      <c r="DI239" s="11">
        <v>46258</v>
      </c>
      <c r="DJ239" s="33" t="s">
        <v>8</v>
      </c>
      <c r="DK239" s="114"/>
      <c r="DL239" s="115"/>
      <c r="DM239" s="115"/>
      <c r="DN239" s="116"/>
      <c r="DP239" s="11">
        <v>46256</v>
      </c>
      <c r="DQ239" s="33" t="s">
        <v>6</v>
      </c>
      <c r="DR239" s="114"/>
      <c r="DS239" s="115"/>
      <c r="DT239" s="115"/>
      <c r="DU239" s="116"/>
      <c r="DW239" s="11">
        <v>46258</v>
      </c>
      <c r="DX239" s="33" t="s">
        <v>8</v>
      </c>
      <c r="DY239" s="114"/>
      <c r="DZ239" s="115"/>
      <c r="EA239" s="115"/>
      <c r="EB239" s="116"/>
    </row>
    <row r="240" spans="1:132" x14ac:dyDescent="0.25">
      <c r="A240" s="11">
        <v>46259</v>
      </c>
      <c r="B240" s="33" t="s">
        <v>9</v>
      </c>
      <c r="C240" s="114"/>
      <c r="D240" s="115"/>
      <c r="E240" s="115"/>
      <c r="F240" s="116"/>
      <c r="H240" s="11">
        <v>46259</v>
      </c>
      <c r="I240" s="33" t="s">
        <v>9</v>
      </c>
      <c r="J240" s="114"/>
      <c r="K240" s="115"/>
      <c r="L240" s="115"/>
      <c r="M240" s="116"/>
      <c r="O240" s="11">
        <v>46259</v>
      </c>
      <c r="P240" s="33" t="s">
        <v>9</v>
      </c>
      <c r="Q240" s="114"/>
      <c r="R240" s="115"/>
      <c r="S240" s="115"/>
      <c r="T240" s="116"/>
      <c r="V240" s="11">
        <v>46258</v>
      </c>
      <c r="W240" s="33" t="s">
        <v>8</v>
      </c>
      <c r="X240" s="114"/>
      <c r="Y240" s="115"/>
      <c r="Z240" s="115"/>
      <c r="AA240" s="116"/>
      <c r="AC240" s="11">
        <v>46259</v>
      </c>
      <c r="AD240" s="33" t="s">
        <v>9</v>
      </c>
      <c r="AE240" s="114"/>
      <c r="AF240" s="115"/>
      <c r="AG240" s="115"/>
      <c r="AH240" s="116"/>
      <c r="AJ240" s="11">
        <v>46259</v>
      </c>
      <c r="AK240" s="33" t="s">
        <v>9</v>
      </c>
      <c r="AL240" s="114"/>
      <c r="AM240" s="115"/>
      <c r="AN240" s="115"/>
      <c r="AO240" s="116"/>
      <c r="AQ240" s="11">
        <v>46259</v>
      </c>
      <c r="AR240" s="33" t="s">
        <v>9</v>
      </c>
      <c r="AS240" s="114"/>
      <c r="AT240" s="115"/>
      <c r="AU240" s="115"/>
      <c r="AV240" s="116"/>
      <c r="AX240" s="11">
        <v>46258</v>
      </c>
      <c r="AY240" s="33" t="s">
        <v>8</v>
      </c>
      <c r="AZ240" s="114"/>
      <c r="BA240" s="115"/>
      <c r="BB240" s="115"/>
      <c r="BC240" s="116"/>
      <c r="BE240" s="11">
        <v>46259</v>
      </c>
      <c r="BF240" s="33" t="s">
        <v>9</v>
      </c>
      <c r="BG240" s="33"/>
      <c r="BH240" s="19"/>
      <c r="BI240" s="19"/>
      <c r="BJ240" s="20"/>
      <c r="BL240" s="11">
        <v>46259</v>
      </c>
      <c r="BM240" s="33" t="s">
        <v>9</v>
      </c>
      <c r="BN240" s="114"/>
      <c r="BO240" s="115"/>
      <c r="BP240" s="115"/>
      <c r="BQ240" s="116"/>
      <c r="BS240" s="11">
        <v>46259</v>
      </c>
      <c r="BT240" s="33" t="s">
        <v>9</v>
      </c>
      <c r="BU240" s="114"/>
      <c r="BV240" s="115"/>
      <c r="BW240" s="115"/>
      <c r="BX240" s="116"/>
      <c r="BZ240" s="11">
        <v>46258</v>
      </c>
      <c r="CA240" s="33" t="s">
        <v>8</v>
      </c>
      <c r="CB240" s="114"/>
      <c r="CC240" s="115"/>
      <c r="CD240" s="115"/>
      <c r="CE240" s="116"/>
      <c r="CG240" s="11">
        <v>46259</v>
      </c>
      <c r="CH240" s="33" t="s">
        <v>9</v>
      </c>
      <c r="CI240" s="114"/>
      <c r="CJ240" s="115"/>
      <c r="CK240" s="115"/>
      <c r="CL240" s="116"/>
      <c r="CN240" s="11">
        <v>46259</v>
      </c>
      <c r="CO240" s="33" t="s">
        <v>9</v>
      </c>
      <c r="CP240" s="114"/>
      <c r="CQ240" s="115"/>
      <c r="CR240" s="115"/>
      <c r="CS240" s="116"/>
      <c r="CU240" s="11">
        <v>46259</v>
      </c>
      <c r="CV240" s="33" t="s">
        <v>9</v>
      </c>
      <c r="CW240" s="114"/>
      <c r="CX240" s="115"/>
      <c r="CY240" s="115"/>
      <c r="CZ240" s="116"/>
      <c r="DB240" s="11">
        <v>46257</v>
      </c>
      <c r="DC240" s="33" t="s">
        <v>7</v>
      </c>
      <c r="DD240" s="114"/>
      <c r="DE240" s="115"/>
      <c r="DF240" s="115"/>
      <c r="DG240" s="116"/>
      <c r="DI240" s="11">
        <v>46259</v>
      </c>
      <c r="DJ240" s="33" t="s">
        <v>9</v>
      </c>
      <c r="DK240" s="114"/>
      <c r="DL240" s="115"/>
      <c r="DM240" s="115"/>
      <c r="DN240" s="116"/>
      <c r="DP240" s="11">
        <v>46257</v>
      </c>
      <c r="DQ240" s="33" t="s">
        <v>7</v>
      </c>
      <c r="DR240" s="114"/>
      <c r="DS240" s="115"/>
      <c r="DT240" s="115"/>
      <c r="DU240" s="116"/>
      <c r="DW240" s="11">
        <v>46259</v>
      </c>
      <c r="DX240" s="33" t="s">
        <v>9</v>
      </c>
      <c r="DY240" s="114"/>
      <c r="DZ240" s="115"/>
      <c r="EA240" s="115"/>
      <c r="EB240" s="116"/>
    </row>
    <row r="241" spans="1:132" x14ac:dyDescent="0.25">
      <c r="A241" s="11">
        <v>46260</v>
      </c>
      <c r="B241" s="33" t="s">
        <v>3</v>
      </c>
      <c r="C241" s="114"/>
      <c r="D241" s="115"/>
      <c r="E241" s="115"/>
      <c r="F241" s="116"/>
      <c r="H241" s="11">
        <v>46260</v>
      </c>
      <c r="I241" s="33" t="s">
        <v>3</v>
      </c>
      <c r="J241" s="114"/>
      <c r="K241" s="115"/>
      <c r="L241" s="115"/>
      <c r="M241" s="116"/>
      <c r="O241" s="11">
        <v>46260</v>
      </c>
      <c r="P241" s="33" t="s">
        <v>3</v>
      </c>
      <c r="Q241" s="114"/>
      <c r="R241" s="115"/>
      <c r="S241" s="115"/>
      <c r="T241" s="116"/>
      <c r="V241" s="11">
        <v>46259</v>
      </c>
      <c r="W241" s="33" t="s">
        <v>9</v>
      </c>
      <c r="X241" s="114"/>
      <c r="Y241" s="115"/>
      <c r="Z241" s="115"/>
      <c r="AA241" s="116"/>
      <c r="AC241" s="11">
        <v>46260</v>
      </c>
      <c r="AD241" s="33" t="s">
        <v>3</v>
      </c>
      <c r="AE241" s="114"/>
      <c r="AF241" s="115"/>
      <c r="AG241" s="115"/>
      <c r="AH241" s="116"/>
      <c r="AJ241" s="11">
        <v>46260</v>
      </c>
      <c r="AK241" s="33" t="s">
        <v>3</v>
      </c>
      <c r="AL241" s="114"/>
      <c r="AM241" s="115"/>
      <c r="AN241" s="115"/>
      <c r="AO241" s="116"/>
      <c r="AQ241" s="11">
        <v>46260</v>
      </c>
      <c r="AR241" s="33" t="s">
        <v>3</v>
      </c>
      <c r="AS241" s="114"/>
      <c r="AT241" s="115"/>
      <c r="AU241" s="115"/>
      <c r="AV241" s="116"/>
      <c r="AX241" s="11">
        <v>46259</v>
      </c>
      <c r="AY241" s="33" t="s">
        <v>9</v>
      </c>
      <c r="AZ241" s="114"/>
      <c r="BA241" s="115"/>
      <c r="BB241" s="115"/>
      <c r="BC241" s="116"/>
      <c r="BE241" s="11">
        <v>46260</v>
      </c>
      <c r="BF241" s="33" t="s">
        <v>3</v>
      </c>
      <c r="BG241" s="33"/>
      <c r="BH241" s="19"/>
      <c r="BI241" s="19"/>
      <c r="BJ241" s="20"/>
      <c r="BL241" s="11">
        <v>46260</v>
      </c>
      <c r="BM241" s="33" t="s">
        <v>3</v>
      </c>
      <c r="BN241" s="114"/>
      <c r="BO241" s="115"/>
      <c r="BP241" s="115"/>
      <c r="BQ241" s="116"/>
      <c r="BS241" s="11">
        <v>46260</v>
      </c>
      <c r="BT241" s="33" t="s">
        <v>3</v>
      </c>
      <c r="BU241" s="114"/>
      <c r="BV241" s="115"/>
      <c r="BW241" s="115"/>
      <c r="BX241" s="116"/>
      <c r="BZ241" s="11">
        <v>46259</v>
      </c>
      <c r="CA241" s="33" t="s">
        <v>9</v>
      </c>
      <c r="CB241" s="114"/>
      <c r="CC241" s="115"/>
      <c r="CD241" s="115"/>
      <c r="CE241" s="116"/>
      <c r="CG241" s="11">
        <v>46260</v>
      </c>
      <c r="CH241" s="33" t="s">
        <v>3</v>
      </c>
      <c r="CI241" s="114"/>
      <c r="CJ241" s="115"/>
      <c r="CK241" s="115"/>
      <c r="CL241" s="116"/>
      <c r="CN241" s="11">
        <v>46260</v>
      </c>
      <c r="CO241" s="33" t="s">
        <v>3</v>
      </c>
      <c r="CP241" s="114"/>
      <c r="CQ241" s="115"/>
      <c r="CR241" s="115"/>
      <c r="CS241" s="116"/>
      <c r="CU241" s="11">
        <v>46260</v>
      </c>
      <c r="CV241" s="33" t="s">
        <v>3</v>
      </c>
      <c r="CW241" s="114"/>
      <c r="CX241" s="115"/>
      <c r="CY241" s="115"/>
      <c r="CZ241" s="116"/>
      <c r="DB241" s="11">
        <v>46258</v>
      </c>
      <c r="DC241" s="33" t="s">
        <v>8</v>
      </c>
      <c r="DD241" s="114"/>
      <c r="DE241" s="115"/>
      <c r="DF241" s="115"/>
      <c r="DG241" s="116"/>
      <c r="DI241" s="11">
        <v>46260</v>
      </c>
      <c r="DJ241" s="33" t="s">
        <v>3</v>
      </c>
      <c r="DK241" s="114"/>
      <c r="DL241" s="115"/>
      <c r="DM241" s="115"/>
      <c r="DN241" s="116"/>
      <c r="DP241" s="11">
        <v>46258</v>
      </c>
      <c r="DQ241" s="33" t="s">
        <v>8</v>
      </c>
      <c r="DR241" s="114"/>
      <c r="DS241" s="115"/>
      <c r="DT241" s="115"/>
      <c r="DU241" s="116"/>
      <c r="DW241" s="11">
        <v>46260</v>
      </c>
      <c r="DX241" s="33" t="s">
        <v>3</v>
      </c>
      <c r="DY241" s="114"/>
      <c r="DZ241" s="115"/>
      <c r="EA241" s="115"/>
      <c r="EB241" s="116"/>
    </row>
    <row r="242" spans="1:132" x14ac:dyDescent="0.25">
      <c r="A242" s="11">
        <v>46261</v>
      </c>
      <c r="B242" s="33" t="s">
        <v>4</v>
      </c>
      <c r="C242" s="114"/>
      <c r="D242" s="115"/>
      <c r="E242" s="115"/>
      <c r="F242" s="116"/>
      <c r="H242" s="11">
        <v>46261</v>
      </c>
      <c r="I242" s="33" t="s">
        <v>4</v>
      </c>
      <c r="J242" s="114"/>
      <c r="K242" s="115"/>
      <c r="L242" s="115"/>
      <c r="M242" s="116"/>
      <c r="O242" s="11">
        <v>46261</v>
      </c>
      <c r="P242" s="33" t="s">
        <v>4</v>
      </c>
      <c r="Q242" s="114"/>
      <c r="R242" s="115"/>
      <c r="S242" s="115"/>
      <c r="T242" s="116"/>
      <c r="V242" s="11">
        <v>46260</v>
      </c>
      <c r="W242" s="33" t="s">
        <v>3</v>
      </c>
      <c r="X242" s="114"/>
      <c r="Y242" s="115"/>
      <c r="Z242" s="115"/>
      <c r="AA242" s="116"/>
      <c r="AC242" s="11">
        <v>46261</v>
      </c>
      <c r="AD242" s="33" t="s">
        <v>4</v>
      </c>
      <c r="AE242" s="114"/>
      <c r="AF242" s="115"/>
      <c r="AG242" s="115"/>
      <c r="AH242" s="116"/>
      <c r="AJ242" s="11">
        <v>46261</v>
      </c>
      <c r="AK242" s="33" t="s">
        <v>4</v>
      </c>
      <c r="AL242" s="114"/>
      <c r="AM242" s="115"/>
      <c r="AN242" s="115"/>
      <c r="AO242" s="116"/>
      <c r="AQ242" s="11">
        <v>46261</v>
      </c>
      <c r="AR242" s="33" t="s">
        <v>4</v>
      </c>
      <c r="AS242" s="114"/>
      <c r="AT242" s="115"/>
      <c r="AU242" s="115"/>
      <c r="AV242" s="116"/>
      <c r="AX242" s="11">
        <v>46260</v>
      </c>
      <c r="AY242" s="33" t="s">
        <v>3</v>
      </c>
      <c r="AZ242" s="114"/>
      <c r="BA242" s="115"/>
      <c r="BB242" s="115"/>
      <c r="BC242" s="116"/>
      <c r="BE242" s="11">
        <v>46261</v>
      </c>
      <c r="BF242" s="33" t="s">
        <v>4</v>
      </c>
      <c r="BG242" s="33"/>
      <c r="BH242" s="19"/>
      <c r="BI242" s="19"/>
      <c r="BJ242" s="20"/>
      <c r="BL242" s="11">
        <v>46261</v>
      </c>
      <c r="BM242" s="33" t="s">
        <v>4</v>
      </c>
      <c r="BN242" s="114"/>
      <c r="BO242" s="115"/>
      <c r="BP242" s="115"/>
      <c r="BQ242" s="116"/>
      <c r="BS242" s="11">
        <v>46261</v>
      </c>
      <c r="BT242" s="33" t="s">
        <v>4</v>
      </c>
      <c r="BU242" s="114"/>
      <c r="BV242" s="115"/>
      <c r="BW242" s="115"/>
      <c r="BX242" s="116"/>
      <c r="BZ242" s="11">
        <v>46260</v>
      </c>
      <c r="CA242" s="33" t="s">
        <v>3</v>
      </c>
      <c r="CB242" s="114"/>
      <c r="CC242" s="115"/>
      <c r="CD242" s="115"/>
      <c r="CE242" s="116"/>
      <c r="CG242" s="11">
        <v>46261</v>
      </c>
      <c r="CH242" s="33" t="s">
        <v>4</v>
      </c>
      <c r="CI242" s="114"/>
      <c r="CJ242" s="115"/>
      <c r="CK242" s="115"/>
      <c r="CL242" s="116"/>
      <c r="CN242" s="11">
        <v>46261</v>
      </c>
      <c r="CO242" s="33" t="s">
        <v>4</v>
      </c>
      <c r="CP242" s="114"/>
      <c r="CQ242" s="115"/>
      <c r="CR242" s="115"/>
      <c r="CS242" s="116"/>
      <c r="CU242" s="11">
        <v>46261</v>
      </c>
      <c r="CV242" s="33" t="s">
        <v>4</v>
      </c>
      <c r="CW242" s="114"/>
      <c r="CX242" s="115"/>
      <c r="CY242" s="115"/>
      <c r="CZ242" s="116"/>
      <c r="DB242" s="11">
        <v>46259</v>
      </c>
      <c r="DC242" s="33" t="s">
        <v>9</v>
      </c>
      <c r="DD242" s="114"/>
      <c r="DE242" s="115"/>
      <c r="DF242" s="115"/>
      <c r="DG242" s="116"/>
      <c r="DI242" s="11">
        <v>46261</v>
      </c>
      <c r="DJ242" s="33" t="s">
        <v>4</v>
      </c>
      <c r="DK242" s="114"/>
      <c r="DL242" s="115"/>
      <c r="DM242" s="115"/>
      <c r="DN242" s="116"/>
      <c r="DP242" s="11">
        <v>46259</v>
      </c>
      <c r="DQ242" s="33" t="s">
        <v>9</v>
      </c>
      <c r="DR242" s="114"/>
      <c r="DS242" s="115"/>
      <c r="DT242" s="115"/>
      <c r="DU242" s="116"/>
      <c r="DW242" s="11">
        <v>46261</v>
      </c>
      <c r="DX242" s="33" t="s">
        <v>4</v>
      </c>
      <c r="DY242" s="114"/>
      <c r="DZ242" s="115"/>
      <c r="EA242" s="115"/>
      <c r="EB242" s="116"/>
    </row>
    <row r="243" spans="1:132" x14ac:dyDescent="0.25">
      <c r="A243" s="11">
        <v>46262</v>
      </c>
      <c r="B243" s="33" t="s">
        <v>5</v>
      </c>
      <c r="C243" s="114"/>
      <c r="D243" s="115"/>
      <c r="E243" s="115"/>
      <c r="F243" s="116"/>
      <c r="H243" s="11">
        <v>46262</v>
      </c>
      <c r="I243" s="33" t="s">
        <v>5</v>
      </c>
      <c r="J243" s="114"/>
      <c r="K243" s="115"/>
      <c r="L243" s="115"/>
      <c r="M243" s="116"/>
      <c r="O243" s="11">
        <v>46262</v>
      </c>
      <c r="P243" s="33" t="s">
        <v>5</v>
      </c>
      <c r="Q243" s="114"/>
      <c r="R243" s="115"/>
      <c r="S243" s="115"/>
      <c r="T243" s="116"/>
      <c r="V243" s="11">
        <v>46261</v>
      </c>
      <c r="W243" s="33" t="s">
        <v>4</v>
      </c>
      <c r="X243" s="114"/>
      <c r="Y243" s="115"/>
      <c r="Z243" s="115"/>
      <c r="AA243" s="116"/>
      <c r="AC243" s="11">
        <v>46262</v>
      </c>
      <c r="AD243" s="33" t="s">
        <v>5</v>
      </c>
      <c r="AE243" s="114"/>
      <c r="AF243" s="115"/>
      <c r="AG243" s="115"/>
      <c r="AH243" s="116"/>
      <c r="AJ243" s="11">
        <v>46262</v>
      </c>
      <c r="AK243" s="33" t="s">
        <v>5</v>
      </c>
      <c r="AL243" s="114"/>
      <c r="AM243" s="115"/>
      <c r="AN243" s="115"/>
      <c r="AO243" s="116"/>
      <c r="AQ243" s="11">
        <v>46262</v>
      </c>
      <c r="AR243" s="33" t="s">
        <v>5</v>
      </c>
      <c r="AS243" s="114"/>
      <c r="AT243" s="115"/>
      <c r="AU243" s="115"/>
      <c r="AV243" s="116"/>
      <c r="AX243" s="11">
        <v>46261</v>
      </c>
      <c r="AY243" s="33" t="s">
        <v>4</v>
      </c>
      <c r="AZ243" s="114"/>
      <c r="BA243" s="115"/>
      <c r="BB243" s="115"/>
      <c r="BC243" s="116"/>
      <c r="BE243" s="11">
        <v>46262</v>
      </c>
      <c r="BF243" s="33" t="s">
        <v>5</v>
      </c>
      <c r="BG243" s="33"/>
      <c r="BH243" s="19"/>
      <c r="BI243" s="19"/>
      <c r="BJ243" s="20"/>
      <c r="BL243" s="11">
        <v>46262</v>
      </c>
      <c r="BM243" s="33" t="s">
        <v>5</v>
      </c>
      <c r="BN243" s="114"/>
      <c r="BO243" s="115"/>
      <c r="BP243" s="115"/>
      <c r="BQ243" s="116"/>
      <c r="BS243" s="11">
        <v>46262</v>
      </c>
      <c r="BT243" s="33" t="s">
        <v>5</v>
      </c>
      <c r="BU243" s="114"/>
      <c r="BV243" s="115"/>
      <c r="BW243" s="115"/>
      <c r="BX243" s="116"/>
      <c r="BZ243" s="11">
        <v>46261</v>
      </c>
      <c r="CA243" s="33" t="s">
        <v>4</v>
      </c>
      <c r="CB243" s="114"/>
      <c r="CC243" s="115"/>
      <c r="CD243" s="115"/>
      <c r="CE243" s="116"/>
      <c r="CG243" s="11">
        <v>46262</v>
      </c>
      <c r="CH243" s="33" t="s">
        <v>5</v>
      </c>
      <c r="CI243" s="114"/>
      <c r="CJ243" s="115"/>
      <c r="CK243" s="115"/>
      <c r="CL243" s="116"/>
      <c r="CN243" s="11">
        <v>46262</v>
      </c>
      <c r="CO243" s="33" t="s">
        <v>5</v>
      </c>
      <c r="CP243" s="114"/>
      <c r="CQ243" s="115"/>
      <c r="CR243" s="115"/>
      <c r="CS243" s="116"/>
      <c r="CU243" s="11">
        <v>46262</v>
      </c>
      <c r="CV243" s="33" t="s">
        <v>5</v>
      </c>
      <c r="CW243" s="114"/>
      <c r="CX243" s="115"/>
      <c r="CY243" s="115"/>
      <c r="CZ243" s="116"/>
      <c r="DB243" s="11">
        <v>46260</v>
      </c>
      <c r="DC243" s="33" t="s">
        <v>3</v>
      </c>
      <c r="DD243" s="114"/>
      <c r="DE243" s="115"/>
      <c r="DF243" s="115"/>
      <c r="DG243" s="116"/>
      <c r="DI243" s="11">
        <v>46262</v>
      </c>
      <c r="DJ243" s="33" t="s">
        <v>5</v>
      </c>
      <c r="DK243" s="114"/>
      <c r="DL243" s="115"/>
      <c r="DM243" s="115"/>
      <c r="DN243" s="116"/>
      <c r="DP243" s="11">
        <v>46260</v>
      </c>
      <c r="DQ243" s="33" t="s">
        <v>3</v>
      </c>
      <c r="DR243" s="114"/>
      <c r="DS243" s="115"/>
      <c r="DT243" s="115"/>
      <c r="DU243" s="116"/>
      <c r="DW243" s="11">
        <v>46262</v>
      </c>
      <c r="DX243" s="33" t="s">
        <v>5</v>
      </c>
      <c r="DY243" s="114"/>
      <c r="DZ243" s="115"/>
      <c r="EA243" s="115"/>
      <c r="EB243" s="116"/>
    </row>
    <row r="244" spans="1:132" x14ac:dyDescent="0.25">
      <c r="A244" s="11">
        <v>46263</v>
      </c>
      <c r="B244" s="33" t="s">
        <v>6</v>
      </c>
      <c r="C244" s="114"/>
      <c r="D244" s="115"/>
      <c r="E244" s="115"/>
      <c r="F244" s="116"/>
      <c r="H244" s="11">
        <v>46263</v>
      </c>
      <c r="I244" s="33" t="s">
        <v>6</v>
      </c>
      <c r="J244" s="114"/>
      <c r="K244" s="115"/>
      <c r="L244" s="115"/>
      <c r="M244" s="116"/>
      <c r="O244" s="11">
        <v>46263</v>
      </c>
      <c r="P244" s="33" t="s">
        <v>6</v>
      </c>
      <c r="Q244" s="114"/>
      <c r="R244" s="115"/>
      <c r="S244" s="115"/>
      <c r="T244" s="116"/>
      <c r="V244" s="11">
        <v>46262</v>
      </c>
      <c r="W244" s="33" t="s">
        <v>5</v>
      </c>
      <c r="X244" s="114"/>
      <c r="Y244" s="115"/>
      <c r="Z244" s="115"/>
      <c r="AA244" s="116"/>
      <c r="AC244" s="11">
        <v>46263</v>
      </c>
      <c r="AD244" s="33" t="s">
        <v>6</v>
      </c>
      <c r="AE244" s="114"/>
      <c r="AF244" s="115"/>
      <c r="AG244" s="115"/>
      <c r="AH244" s="116"/>
      <c r="AJ244" s="11">
        <v>46263</v>
      </c>
      <c r="AK244" s="33" t="s">
        <v>6</v>
      </c>
      <c r="AL244" s="114"/>
      <c r="AM244" s="115"/>
      <c r="AN244" s="115"/>
      <c r="AO244" s="116"/>
      <c r="AQ244" s="11">
        <v>46263</v>
      </c>
      <c r="AR244" s="33" t="s">
        <v>6</v>
      </c>
      <c r="AS244" s="114"/>
      <c r="AT244" s="115"/>
      <c r="AU244" s="115"/>
      <c r="AV244" s="116"/>
      <c r="AX244" s="11">
        <v>46262</v>
      </c>
      <c r="AY244" s="33" t="s">
        <v>5</v>
      </c>
      <c r="AZ244" s="114"/>
      <c r="BA244" s="115"/>
      <c r="BB244" s="115"/>
      <c r="BC244" s="116"/>
      <c r="BE244" s="11">
        <v>46263</v>
      </c>
      <c r="BF244" s="33" t="s">
        <v>6</v>
      </c>
      <c r="BG244" s="33"/>
      <c r="BH244" s="19"/>
      <c r="BI244" s="19"/>
      <c r="BJ244" s="20"/>
      <c r="BL244" s="11">
        <v>46263</v>
      </c>
      <c r="BM244" s="33" t="s">
        <v>6</v>
      </c>
      <c r="BN244" s="114"/>
      <c r="BO244" s="115"/>
      <c r="BP244" s="115"/>
      <c r="BQ244" s="116"/>
      <c r="BS244" s="11">
        <v>46263</v>
      </c>
      <c r="BT244" s="33" t="s">
        <v>6</v>
      </c>
      <c r="BU244" s="114"/>
      <c r="BV244" s="115"/>
      <c r="BW244" s="115"/>
      <c r="BX244" s="116"/>
      <c r="BZ244" s="11">
        <v>46262</v>
      </c>
      <c r="CA244" s="33" t="s">
        <v>5</v>
      </c>
      <c r="CB244" s="114"/>
      <c r="CC244" s="115"/>
      <c r="CD244" s="115"/>
      <c r="CE244" s="116"/>
      <c r="CG244" s="11">
        <v>46263</v>
      </c>
      <c r="CH244" s="33" t="s">
        <v>6</v>
      </c>
      <c r="CI244" s="114"/>
      <c r="CJ244" s="115"/>
      <c r="CK244" s="115"/>
      <c r="CL244" s="116"/>
      <c r="CN244" s="11">
        <v>46263</v>
      </c>
      <c r="CO244" s="33" t="s">
        <v>6</v>
      </c>
      <c r="CP244" s="114"/>
      <c r="CQ244" s="115"/>
      <c r="CR244" s="115"/>
      <c r="CS244" s="116"/>
      <c r="CU244" s="11">
        <v>46263</v>
      </c>
      <c r="CV244" s="33" t="s">
        <v>6</v>
      </c>
      <c r="CW244" s="114"/>
      <c r="CX244" s="115"/>
      <c r="CY244" s="115"/>
      <c r="CZ244" s="116"/>
      <c r="DB244" s="11">
        <v>46261</v>
      </c>
      <c r="DC244" s="33" t="s">
        <v>4</v>
      </c>
      <c r="DD244" s="114"/>
      <c r="DE244" s="115"/>
      <c r="DF244" s="115"/>
      <c r="DG244" s="116"/>
      <c r="DI244" s="11">
        <v>46263</v>
      </c>
      <c r="DJ244" s="33" t="s">
        <v>6</v>
      </c>
      <c r="DK244" s="114"/>
      <c r="DL244" s="115"/>
      <c r="DM244" s="115"/>
      <c r="DN244" s="116"/>
      <c r="DP244" s="11">
        <v>46261</v>
      </c>
      <c r="DQ244" s="33" t="s">
        <v>4</v>
      </c>
      <c r="DR244" s="114"/>
      <c r="DS244" s="115"/>
      <c r="DT244" s="115"/>
      <c r="DU244" s="116"/>
      <c r="DW244" s="11">
        <v>46263</v>
      </c>
      <c r="DX244" s="33" t="s">
        <v>6</v>
      </c>
      <c r="DY244" s="114"/>
      <c r="DZ244" s="115"/>
      <c r="EA244" s="115"/>
      <c r="EB244" s="116"/>
    </row>
    <row r="245" spans="1:132" x14ac:dyDescent="0.25">
      <c r="A245" s="11">
        <v>46264</v>
      </c>
      <c r="B245" s="33" t="s">
        <v>7</v>
      </c>
      <c r="C245" s="114"/>
      <c r="D245" s="115"/>
      <c r="E245" s="115"/>
      <c r="F245" s="116"/>
      <c r="H245" s="11">
        <v>46264</v>
      </c>
      <c r="I245" s="33" t="s">
        <v>7</v>
      </c>
      <c r="J245" s="114"/>
      <c r="K245" s="115"/>
      <c r="L245" s="115"/>
      <c r="M245" s="116"/>
      <c r="O245" s="11">
        <v>46264</v>
      </c>
      <c r="P245" s="33" t="s">
        <v>7</v>
      </c>
      <c r="Q245" s="114"/>
      <c r="R245" s="115"/>
      <c r="S245" s="115"/>
      <c r="T245" s="116"/>
      <c r="V245" s="11">
        <v>46263</v>
      </c>
      <c r="W245" s="33" t="s">
        <v>6</v>
      </c>
      <c r="X245" s="114"/>
      <c r="Y245" s="115"/>
      <c r="Z245" s="115"/>
      <c r="AA245" s="116"/>
      <c r="AC245" s="11">
        <v>46264</v>
      </c>
      <c r="AD245" s="33" t="s">
        <v>7</v>
      </c>
      <c r="AE245" s="114"/>
      <c r="AF245" s="115"/>
      <c r="AG245" s="115"/>
      <c r="AH245" s="116"/>
      <c r="AJ245" s="11">
        <v>46264</v>
      </c>
      <c r="AK245" s="33" t="s">
        <v>7</v>
      </c>
      <c r="AL245" s="114"/>
      <c r="AM245" s="115"/>
      <c r="AN245" s="115"/>
      <c r="AO245" s="116"/>
      <c r="AQ245" s="11">
        <v>46264</v>
      </c>
      <c r="AR245" s="33" t="s">
        <v>7</v>
      </c>
      <c r="AS245" s="114"/>
      <c r="AT245" s="115"/>
      <c r="AU245" s="115"/>
      <c r="AV245" s="116"/>
      <c r="AX245" s="11">
        <v>46263</v>
      </c>
      <c r="AY245" s="33" t="s">
        <v>6</v>
      </c>
      <c r="AZ245" s="114"/>
      <c r="BA245" s="115"/>
      <c r="BB245" s="115"/>
      <c r="BC245" s="116"/>
      <c r="BE245" s="11">
        <v>46264</v>
      </c>
      <c r="BF245" s="33" t="s">
        <v>7</v>
      </c>
      <c r="BG245" s="33"/>
      <c r="BH245" s="19"/>
      <c r="BI245" s="19"/>
      <c r="BJ245" s="20"/>
      <c r="BL245" s="11">
        <v>46264</v>
      </c>
      <c r="BM245" s="33" t="s">
        <v>7</v>
      </c>
      <c r="BN245" s="114"/>
      <c r="BO245" s="115"/>
      <c r="BP245" s="115"/>
      <c r="BQ245" s="116"/>
      <c r="BS245" s="11">
        <v>46264</v>
      </c>
      <c r="BT245" s="33" t="s">
        <v>7</v>
      </c>
      <c r="BU245" s="114"/>
      <c r="BV245" s="115"/>
      <c r="BW245" s="115"/>
      <c r="BX245" s="116"/>
      <c r="BZ245" s="11">
        <v>46263</v>
      </c>
      <c r="CA245" s="33" t="s">
        <v>6</v>
      </c>
      <c r="CB245" s="114"/>
      <c r="CC245" s="115"/>
      <c r="CD245" s="115"/>
      <c r="CE245" s="116"/>
      <c r="CG245" s="11">
        <v>46264</v>
      </c>
      <c r="CH245" s="33" t="s">
        <v>7</v>
      </c>
      <c r="CI245" s="114"/>
      <c r="CJ245" s="115"/>
      <c r="CK245" s="115"/>
      <c r="CL245" s="116"/>
      <c r="CN245" s="11">
        <v>46264</v>
      </c>
      <c r="CO245" s="33" t="s">
        <v>7</v>
      </c>
      <c r="CP245" s="114"/>
      <c r="CQ245" s="115"/>
      <c r="CR245" s="115"/>
      <c r="CS245" s="116"/>
      <c r="CU245" s="11">
        <v>46264</v>
      </c>
      <c r="CV245" s="33" t="s">
        <v>7</v>
      </c>
      <c r="CW245" s="114"/>
      <c r="CX245" s="115"/>
      <c r="CY245" s="115"/>
      <c r="CZ245" s="116"/>
      <c r="DB245" s="11">
        <v>46262</v>
      </c>
      <c r="DC245" s="33" t="s">
        <v>5</v>
      </c>
      <c r="DD245" s="114"/>
      <c r="DE245" s="115"/>
      <c r="DF245" s="115"/>
      <c r="DG245" s="116"/>
      <c r="DI245" s="11">
        <v>46264</v>
      </c>
      <c r="DJ245" s="33" t="s">
        <v>7</v>
      </c>
      <c r="DK245" s="114"/>
      <c r="DL245" s="115"/>
      <c r="DM245" s="115"/>
      <c r="DN245" s="116"/>
      <c r="DP245" s="11">
        <v>46262</v>
      </c>
      <c r="DQ245" s="33" t="s">
        <v>5</v>
      </c>
      <c r="DR245" s="114"/>
      <c r="DS245" s="115"/>
      <c r="DT245" s="115"/>
      <c r="DU245" s="116"/>
      <c r="DW245" s="11">
        <v>46264</v>
      </c>
      <c r="DX245" s="33" t="s">
        <v>7</v>
      </c>
      <c r="DY245" s="114"/>
      <c r="DZ245" s="115"/>
      <c r="EA245" s="115"/>
      <c r="EB245" s="116"/>
    </row>
    <row r="246" spans="1:132" x14ac:dyDescent="0.25">
      <c r="A246" s="11">
        <v>46265</v>
      </c>
      <c r="B246" s="33" t="s">
        <v>8</v>
      </c>
      <c r="C246" s="114"/>
      <c r="D246" s="115"/>
      <c r="E246" s="115"/>
      <c r="F246" s="116"/>
      <c r="H246" s="11">
        <v>46265</v>
      </c>
      <c r="I246" s="33" t="s">
        <v>8</v>
      </c>
      <c r="J246" s="114"/>
      <c r="K246" s="115"/>
      <c r="L246" s="115"/>
      <c r="M246" s="116"/>
      <c r="O246" s="11">
        <v>46265</v>
      </c>
      <c r="P246" s="33" t="s">
        <v>8</v>
      </c>
      <c r="Q246" s="114"/>
      <c r="R246" s="115"/>
      <c r="S246" s="115"/>
      <c r="T246" s="116"/>
      <c r="V246" s="11">
        <v>46264</v>
      </c>
      <c r="W246" s="33" t="s">
        <v>7</v>
      </c>
      <c r="X246" s="114"/>
      <c r="Y246" s="115"/>
      <c r="Z246" s="115"/>
      <c r="AA246" s="116"/>
      <c r="AC246" s="11">
        <v>46265</v>
      </c>
      <c r="AD246" s="33" t="s">
        <v>8</v>
      </c>
      <c r="AE246" s="114"/>
      <c r="AF246" s="115"/>
      <c r="AG246" s="115"/>
      <c r="AH246" s="116"/>
      <c r="AJ246" s="11">
        <v>46265</v>
      </c>
      <c r="AK246" s="33" t="s">
        <v>8</v>
      </c>
      <c r="AL246" s="114"/>
      <c r="AM246" s="115"/>
      <c r="AN246" s="115"/>
      <c r="AO246" s="116"/>
      <c r="AQ246" s="11">
        <v>46265</v>
      </c>
      <c r="AR246" s="33" t="s">
        <v>8</v>
      </c>
      <c r="AS246" s="114"/>
      <c r="AT246" s="115"/>
      <c r="AU246" s="115"/>
      <c r="AV246" s="116"/>
      <c r="AX246" s="11">
        <v>46264</v>
      </c>
      <c r="AY246" s="33" t="s">
        <v>7</v>
      </c>
      <c r="AZ246" s="114"/>
      <c r="BA246" s="115"/>
      <c r="BB246" s="115"/>
      <c r="BC246" s="116"/>
      <c r="BE246" s="11">
        <v>46265</v>
      </c>
      <c r="BF246" s="33" t="s">
        <v>8</v>
      </c>
      <c r="BG246" s="33"/>
      <c r="BH246" s="19"/>
      <c r="BI246" s="19"/>
      <c r="BJ246" s="20"/>
      <c r="BL246" s="11">
        <v>46265</v>
      </c>
      <c r="BM246" s="33" t="s">
        <v>8</v>
      </c>
      <c r="BN246" s="114"/>
      <c r="BO246" s="115"/>
      <c r="BP246" s="115"/>
      <c r="BQ246" s="116"/>
      <c r="BS246" s="11">
        <v>46265</v>
      </c>
      <c r="BT246" s="33" t="s">
        <v>8</v>
      </c>
      <c r="BU246" s="114"/>
      <c r="BV246" s="115"/>
      <c r="BW246" s="115"/>
      <c r="BX246" s="116"/>
      <c r="BZ246" s="11">
        <v>46264</v>
      </c>
      <c r="CA246" s="33" t="s">
        <v>7</v>
      </c>
      <c r="CB246" s="114"/>
      <c r="CC246" s="115"/>
      <c r="CD246" s="115"/>
      <c r="CE246" s="116"/>
      <c r="CG246" s="11">
        <v>46265</v>
      </c>
      <c r="CH246" s="33" t="s">
        <v>8</v>
      </c>
      <c r="CI246" s="114"/>
      <c r="CJ246" s="115"/>
      <c r="CK246" s="115"/>
      <c r="CL246" s="116"/>
      <c r="CN246" s="11">
        <v>46265</v>
      </c>
      <c r="CO246" s="33" t="s">
        <v>8</v>
      </c>
      <c r="CP246" s="114"/>
      <c r="CQ246" s="115"/>
      <c r="CR246" s="115"/>
      <c r="CS246" s="116"/>
      <c r="CU246" s="11">
        <v>46265</v>
      </c>
      <c r="CV246" s="33" t="s">
        <v>8</v>
      </c>
      <c r="CW246" s="114"/>
      <c r="CX246" s="115"/>
      <c r="CY246" s="115"/>
      <c r="CZ246" s="116"/>
      <c r="DB246" s="11">
        <v>46263</v>
      </c>
      <c r="DC246" s="33" t="s">
        <v>6</v>
      </c>
      <c r="DD246" s="114"/>
      <c r="DE246" s="115"/>
      <c r="DF246" s="115"/>
      <c r="DG246" s="116"/>
      <c r="DI246" s="11">
        <v>46265</v>
      </c>
      <c r="DJ246" s="33" t="s">
        <v>8</v>
      </c>
      <c r="DK246" s="114"/>
      <c r="DL246" s="115"/>
      <c r="DM246" s="115"/>
      <c r="DN246" s="116"/>
      <c r="DP246" s="11">
        <v>46263</v>
      </c>
      <c r="DQ246" s="33" t="s">
        <v>6</v>
      </c>
      <c r="DR246" s="114"/>
      <c r="DS246" s="115"/>
      <c r="DT246" s="115"/>
      <c r="DU246" s="116"/>
      <c r="DW246" s="11">
        <v>46265</v>
      </c>
      <c r="DX246" s="33" t="s">
        <v>8</v>
      </c>
      <c r="DY246" s="114"/>
      <c r="DZ246" s="115"/>
      <c r="EA246" s="115"/>
      <c r="EB246" s="116"/>
    </row>
    <row r="247" spans="1:132" x14ac:dyDescent="0.25">
      <c r="A247" s="11">
        <v>46266</v>
      </c>
      <c r="B247" s="33" t="s">
        <v>9</v>
      </c>
      <c r="C247" s="114"/>
      <c r="D247" s="115"/>
      <c r="E247" s="115"/>
      <c r="F247" s="116"/>
      <c r="H247" s="11">
        <v>46266</v>
      </c>
      <c r="I247" s="33" t="s">
        <v>9</v>
      </c>
      <c r="J247" s="114"/>
      <c r="K247" s="115"/>
      <c r="L247" s="115"/>
      <c r="M247" s="116"/>
      <c r="O247" s="11">
        <v>46266</v>
      </c>
      <c r="P247" s="33" t="s">
        <v>9</v>
      </c>
      <c r="Q247" s="114"/>
      <c r="R247" s="115"/>
      <c r="S247" s="115"/>
      <c r="T247" s="116"/>
      <c r="V247" s="11">
        <v>46265</v>
      </c>
      <c r="W247" s="33" t="s">
        <v>8</v>
      </c>
      <c r="X247" s="114"/>
      <c r="Y247" s="115"/>
      <c r="Z247" s="115"/>
      <c r="AA247" s="116"/>
      <c r="AC247" s="11">
        <v>46266</v>
      </c>
      <c r="AD247" s="33" t="s">
        <v>9</v>
      </c>
      <c r="AE247" s="114"/>
      <c r="AF247" s="115"/>
      <c r="AG247" s="115"/>
      <c r="AH247" s="116"/>
      <c r="AJ247" s="11">
        <v>46266</v>
      </c>
      <c r="AK247" s="33" t="s">
        <v>9</v>
      </c>
      <c r="AL247" s="114"/>
      <c r="AM247" s="115"/>
      <c r="AN247" s="115"/>
      <c r="AO247" s="116"/>
      <c r="AQ247" s="11">
        <v>46266</v>
      </c>
      <c r="AR247" s="33" t="s">
        <v>9</v>
      </c>
      <c r="AS247" s="114"/>
      <c r="AT247" s="115"/>
      <c r="AU247" s="115"/>
      <c r="AV247" s="116"/>
      <c r="AX247" s="11">
        <v>46265</v>
      </c>
      <c r="AY247" s="33" t="s">
        <v>8</v>
      </c>
      <c r="AZ247" s="114"/>
      <c r="BA247" s="115"/>
      <c r="BB247" s="115"/>
      <c r="BC247" s="116"/>
      <c r="BE247" s="11">
        <v>46266</v>
      </c>
      <c r="BF247" s="33" t="s">
        <v>9</v>
      </c>
      <c r="BG247" s="33"/>
      <c r="BH247" s="19"/>
      <c r="BI247" s="19"/>
      <c r="BJ247" s="20"/>
      <c r="BL247" s="11">
        <v>46266</v>
      </c>
      <c r="BM247" s="33" t="s">
        <v>9</v>
      </c>
      <c r="BN247" s="114"/>
      <c r="BO247" s="115"/>
      <c r="BP247" s="115"/>
      <c r="BQ247" s="116"/>
      <c r="BS247" s="11">
        <v>46266</v>
      </c>
      <c r="BT247" s="33" t="s">
        <v>9</v>
      </c>
      <c r="BU247" s="114"/>
      <c r="BV247" s="115"/>
      <c r="BW247" s="115"/>
      <c r="BX247" s="116"/>
      <c r="BZ247" s="11">
        <v>46265</v>
      </c>
      <c r="CA247" s="33" t="s">
        <v>8</v>
      </c>
      <c r="CB247" s="114"/>
      <c r="CC247" s="115"/>
      <c r="CD247" s="115"/>
      <c r="CE247" s="116"/>
      <c r="CG247" s="11">
        <v>46266</v>
      </c>
      <c r="CH247" s="33" t="s">
        <v>9</v>
      </c>
      <c r="CI247" s="114"/>
      <c r="CJ247" s="115"/>
      <c r="CK247" s="115"/>
      <c r="CL247" s="116"/>
      <c r="CN247" s="11">
        <v>46266</v>
      </c>
      <c r="CO247" s="33" t="s">
        <v>9</v>
      </c>
      <c r="CP247" s="114"/>
      <c r="CQ247" s="115"/>
      <c r="CR247" s="115"/>
      <c r="CS247" s="116"/>
      <c r="CU247" s="11">
        <v>46266</v>
      </c>
      <c r="CV247" s="33" t="s">
        <v>9</v>
      </c>
      <c r="CW247" s="114"/>
      <c r="CX247" s="115"/>
      <c r="CY247" s="115"/>
      <c r="CZ247" s="116"/>
      <c r="DB247" s="11">
        <v>46264</v>
      </c>
      <c r="DC247" s="33" t="s">
        <v>7</v>
      </c>
      <c r="DD247" s="114"/>
      <c r="DE247" s="115"/>
      <c r="DF247" s="115"/>
      <c r="DG247" s="116"/>
      <c r="DI247" s="11">
        <v>46266</v>
      </c>
      <c r="DJ247" s="33" t="s">
        <v>9</v>
      </c>
      <c r="DK247" s="114"/>
      <c r="DL247" s="115"/>
      <c r="DM247" s="115"/>
      <c r="DN247" s="116"/>
      <c r="DP247" s="11">
        <v>46264</v>
      </c>
      <c r="DQ247" s="33" t="s">
        <v>7</v>
      </c>
      <c r="DR247" s="114"/>
      <c r="DS247" s="115"/>
      <c r="DT247" s="115"/>
      <c r="DU247" s="116"/>
      <c r="DW247" s="11">
        <v>46266</v>
      </c>
      <c r="DX247" s="33" t="s">
        <v>9</v>
      </c>
      <c r="DY247" s="114"/>
      <c r="DZ247" s="115"/>
      <c r="EA247" s="115"/>
      <c r="EB247" s="116"/>
    </row>
    <row r="248" spans="1:132" x14ac:dyDescent="0.25">
      <c r="A248" s="11">
        <v>46267</v>
      </c>
      <c r="B248" s="33" t="s">
        <v>3</v>
      </c>
      <c r="C248" s="114"/>
      <c r="D248" s="115"/>
      <c r="E248" s="115"/>
      <c r="F248" s="116"/>
      <c r="H248" s="11">
        <v>46267</v>
      </c>
      <c r="I248" s="33" t="s">
        <v>3</v>
      </c>
      <c r="J248" s="114"/>
      <c r="K248" s="115"/>
      <c r="L248" s="115"/>
      <c r="M248" s="116"/>
      <c r="O248" s="11">
        <v>46267</v>
      </c>
      <c r="P248" s="33" t="s">
        <v>3</v>
      </c>
      <c r="Q248" s="114"/>
      <c r="R248" s="115"/>
      <c r="S248" s="115"/>
      <c r="T248" s="116"/>
      <c r="V248" s="11">
        <v>46266</v>
      </c>
      <c r="W248" s="33" t="s">
        <v>9</v>
      </c>
      <c r="X248" s="114"/>
      <c r="Y248" s="115"/>
      <c r="Z248" s="115"/>
      <c r="AA248" s="116"/>
      <c r="AC248" s="11">
        <v>46267</v>
      </c>
      <c r="AD248" s="33" t="s">
        <v>3</v>
      </c>
      <c r="AE248" s="114"/>
      <c r="AF248" s="115"/>
      <c r="AG248" s="115"/>
      <c r="AH248" s="116"/>
      <c r="AJ248" s="11">
        <v>46267</v>
      </c>
      <c r="AK248" s="33" t="s">
        <v>3</v>
      </c>
      <c r="AL248" s="114"/>
      <c r="AM248" s="115"/>
      <c r="AN248" s="115"/>
      <c r="AO248" s="116"/>
      <c r="AQ248" s="11">
        <v>46267</v>
      </c>
      <c r="AR248" s="33" t="s">
        <v>3</v>
      </c>
      <c r="AS248" s="114"/>
      <c r="AT248" s="115"/>
      <c r="AU248" s="115"/>
      <c r="AV248" s="116"/>
      <c r="AX248" s="11">
        <v>46266</v>
      </c>
      <c r="AY248" s="33" t="s">
        <v>9</v>
      </c>
      <c r="AZ248" s="114"/>
      <c r="BA248" s="115"/>
      <c r="BB248" s="115"/>
      <c r="BC248" s="116"/>
      <c r="BE248" s="11">
        <v>46267</v>
      </c>
      <c r="BF248" s="33" t="s">
        <v>3</v>
      </c>
      <c r="BG248" s="33"/>
      <c r="BH248" s="19"/>
      <c r="BI248" s="19"/>
      <c r="BJ248" s="20"/>
      <c r="BL248" s="11">
        <v>46267</v>
      </c>
      <c r="BM248" s="33" t="s">
        <v>3</v>
      </c>
      <c r="BN248" s="114"/>
      <c r="BO248" s="115"/>
      <c r="BP248" s="115"/>
      <c r="BQ248" s="116"/>
      <c r="BS248" s="11">
        <v>46267</v>
      </c>
      <c r="BT248" s="33" t="s">
        <v>3</v>
      </c>
      <c r="BU248" s="114"/>
      <c r="BV248" s="115"/>
      <c r="BW248" s="115"/>
      <c r="BX248" s="116"/>
      <c r="BZ248" s="11">
        <v>46266</v>
      </c>
      <c r="CA248" s="33" t="s">
        <v>9</v>
      </c>
      <c r="CB248" s="114"/>
      <c r="CC248" s="115"/>
      <c r="CD248" s="115"/>
      <c r="CE248" s="116"/>
      <c r="CG248" s="11">
        <v>46267</v>
      </c>
      <c r="CH248" s="33" t="s">
        <v>3</v>
      </c>
      <c r="CI248" s="114"/>
      <c r="CJ248" s="115"/>
      <c r="CK248" s="115"/>
      <c r="CL248" s="116"/>
      <c r="CN248" s="11">
        <v>46267</v>
      </c>
      <c r="CO248" s="33" t="s">
        <v>3</v>
      </c>
      <c r="CP248" s="114"/>
      <c r="CQ248" s="115"/>
      <c r="CR248" s="115"/>
      <c r="CS248" s="116"/>
      <c r="CU248" s="11">
        <v>46267</v>
      </c>
      <c r="CV248" s="33" t="s">
        <v>3</v>
      </c>
      <c r="CW248" s="114"/>
      <c r="CX248" s="115"/>
      <c r="CY248" s="115"/>
      <c r="CZ248" s="116"/>
      <c r="DB248" s="11">
        <v>46265</v>
      </c>
      <c r="DC248" s="33" t="s">
        <v>8</v>
      </c>
      <c r="DD248" s="114"/>
      <c r="DE248" s="115"/>
      <c r="DF248" s="115"/>
      <c r="DG248" s="116"/>
      <c r="DI248" s="11">
        <v>46267</v>
      </c>
      <c r="DJ248" s="33" t="s">
        <v>3</v>
      </c>
      <c r="DK248" s="114"/>
      <c r="DL248" s="115"/>
      <c r="DM248" s="115"/>
      <c r="DN248" s="116"/>
      <c r="DP248" s="11">
        <v>46265</v>
      </c>
      <c r="DQ248" s="33" t="s">
        <v>8</v>
      </c>
      <c r="DR248" s="114"/>
      <c r="DS248" s="115"/>
      <c r="DT248" s="115"/>
      <c r="DU248" s="116"/>
      <c r="DW248" s="11">
        <v>46267</v>
      </c>
      <c r="DX248" s="33" t="s">
        <v>3</v>
      </c>
      <c r="DY248" s="114"/>
      <c r="DZ248" s="115"/>
      <c r="EA248" s="115"/>
      <c r="EB248" s="116"/>
    </row>
    <row r="249" spans="1:132" x14ac:dyDescent="0.25">
      <c r="A249" s="11">
        <v>46268</v>
      </c>
      <c r="B249" s="33" t="s">
        <v>4</v>
      </c>
      <c r="C249" s="114"/>
      <c r="D249" s="115"/>
      <c r="E249" s="115"/>
      <c r="F249" s="116"/>
      <c r="H249" s="11">
        <v>46268</v>
      </c>
      <c r="I249" s="33" t="s">
        <v>4</v>
      </c>
      <c r="J249" s="114"/>
      <c r="K249" s="115"/>
      <c r="L249" s="115"/>
      <c r="M249" s="116"/>
      <c r="O249" s="11">
        <v>46268</v>
      </c>
      <c r="P249" s="33" t="s">
        <v>4</v>
      </c>
      <c r="Q249" s="114"/>
      <c r="R249" s="115"/>
      <c r="S249" s="115"/>
      <c r="T249" s="116"/>
      <c r="V249" s="11">
        <v>46267</v>
      </c>
      <c r="W249" s="33" t="s">
        <v>3</v>
      </c>
      <c r="X249" s="114"/>
      <c r="Y249" s="115"/>
      <c r="Z249" s="115"/>
      <c r="AA249" s="116"/>
      <c r="AC249" s="11">
        <v>46268</v>
      </c>
      <c r="AD249" s="33" t="s">
        <v>4</v>
      </c>
      <c r="AE249" s="114"/>
      <c r="AF249" s="115"/>
      <c r="AG249" s="115"/>
      <c r="AH249" s="116"/>
      <c r="AJ249" s="11">
        <v>46268</v>
      </c>
      <c r="AK249" s="33" t="s">
        <v>4</v>
      </c>
      <c r="AL249" s="114"/>
      <c r="AM249" s="115"/>
      <c r="AN249" s="115"/>
      <c r="AO249" s="116"/>
      <c r="AQ249" s="11">
        <v>46268</v>
      </c>
      <c r="AR249" s="33" t="s">
        <v>4</v>
      </c>
      <c r="AS249" s="114"/>
      <c r="AT249" s="115"/>
      <c r="AU249" s="115"/>
      <c r="AV249" s="116"/>
      <c r="AX249" s="11">
        <v>46267</v>
      </c>
      <c r="AY249" s="33" t="s">
        <v>3</v>
      </c>
      <c r="AZ249" s="114"/>
      <c r="BA249" s="115"/>
      <c r="BB249" s="115"/>
      <c r="BC249" s="116"/>
      <c r="BE249" s="11">
        <v>46268</v>
      </c>
      <c r="BF249" s="33" t="s">
        <v>4</v>
      </c>
      <c r="BG249" s="33"/>
      <c r="BH249" s="19"/>
      <c r="BI249" s="19"/>
      <c r="BJ249" s="20"/>
      <c r="BL249" s="11">
        <v>46268</v>
      </c>
      <c r="BM249" s="33" t="s">
        <v>4</v>
      </c>
      <c r="BN249" s="114"/>
      <c r="BO249" s="115"/>
      <c r="BP249" s="115"/>
      <c r="BQ249" s="116"/>
      <c r="BS249" s="11">
        <v>46268</v>
      </c>
      <c r="BT249" s="33" t="s">
        <v>4</v>
      </c>
      <c r="BU249" s="114"/>
      <c r="BV249" s="115"/>
      <c r="BW249" s="115"/>
      <c r="BX249" s="116"/>
      <c r="BZ249" s="11">
        <v>46267</v>
      </c>
      <c r="CA249" s="33" t="s">
        <v>3</v>
      </c>
      <c r="CB249" s="114"/>
      <c r="CC249" s="115"/>
      <c r="CD249" s="115"/>
      <c r="CE249" s="116"/>
      <c r="CG249" s="11">
        <v>46268</v>
      </c>
      <c r="CH249" s="33" t="s">
        <v>4</v>
      </c>
      <c r="CI249" s="114"/>
      <c r="CJ249" s="115"/>
      <c r="CK249" s="115"/>
      <c r="CL249" s="116"/>
      <c r="CN249" s="11">
        <v>46268</v>
      </c>
      <c r="CO249" s="33" t="s">
        <v>4</v>
      </c>
      <c r="CP249" s="114"/>
      <c r="CQ249" s="115"/>
      <c r="CR249" s="115"/>
      <c r="CS249" s="116"/>
      <c r="CU249" s="11">
        <v>46268</v>
      </c>
      <c r="CV249" s="33" t="s">
        <v>4</v>
      </c>
      <c r="CW249" s="114"/>
      <c r="CX249" s="115"/>
      <c r="CY249" s="115"/>
      <c r="CZ249" s="116"/>
      <c r="DB249" s="11">
        <v>46266</v>
      </c>
      <c r="DC249" s="33" t="s">
        <v>9</v>
      </c>
      <c r="DD249" s="114"/>
      <c r="DE249" s="115"/>
      <c r="DF249" s="115"/>
      <c r="DG249" s="116"/>
      <c r="DI249" s="11">
        <v>46268</v>
      </c>
      <c r="DJ249" s="33" t="s">
        <v>4</v>
      </c>
      <c r="DK249" s="114"/>
      <c r="DL249" s="115"/>
      <c r="DM249" s="115"/>
      <c r="DN249" s="116"/>
      <c r="DP249" s="11">
        <v>46266</v>
      </c>
      <c r="DQ249" s="33" t="s">
        <v>9</v>
      </c>
      <c r="DR249" s="114"/>
      <c r="DS249" s="115"/>
      <c r="DT249" s="115"/>
      <c r="DU249" s="116"/>
      <c r="DW249" s="11">
        <v>46268</v>
      </c>
      <c r="DX249" s="33" t="s">
        <v>4</v>
      </c>
      <c r="DY249" s="114"/>
      <c r="DZ249" s="115"/>
      <c r="EA249" s="115"/>
      <c r="EB249" s="116"/>
    </row>
    <row r="250" spans="1:132" x14ac:dyDescent="0.25">
      <c r="A250" s="11">
        <v>46269</v>
      </c>
      <c r="B250" s="33" t="s">
        <v>5</v>
      </c>
      <c r="C250" s="114"/>
      <c r="D250" s="115"/>
      <c r="E250" s="115"/>
      <c r="F250" s="116"/>
      <c r="H250" s="11">
        <v>46269</v>
      </c>
      <c r="I250" s="33" t="s">
        <v>5</v>
      </c>
      <c r="J250" s="114"/>
      <c r="K250" s="115"/>
      <c r="L250" s="115"/>
      <c r="M250" s="116"/>
      <c r="O250" s="11">
        <v>46269</v>
      </c>
      <c r="P250" s="33" t="s">
        <v>5</v>
      </c>
      <c r="Q250" s="114"/>
      <c r="R250" s="115"/>
      <c r="S250" s="115"/>
      <c r="T250" s="116"/>
      <c r="V250" s="11">
        <v>46268</v>
      </c>
      <c r="W250" s="33" t="s">
        <v>4</v>
      </c>
      <c r="X250" s="114"/>
      <c r="Y250" s="115"/>
      <c r="Z250" s="115"/>
      <c r="AA250" s="116"/>
      <c r="AC250" s="11">
        <v>46269</v>
      </c>
      <c r="AD250" s="33" t="s">
        <v>5</v>
      </c>
      <c r="AE250" s="114"/>
      <c r="AF250" s="115"/>
      <c r="AG250" s="115"/>
      <c r="AH250" s="116"/>
      <c r="AJ250" s="11">
        <v>46269</v>
      </c>
      <c r="AK250" s="33" t="s">
        <v>5</v>
      </c>
      <c r="AL250" s="114"/>
      <c r="AM250" s="115"/>
      <c r="AN250" s="115"/>
      <c r="AO250" s="116"/>
      <c r="AQ250" s="11">
        <v>46269</v>
      </c>
      <c r="AR250" s="33" t="s">
        <v>5</v>
      </c>
      <c r="AS250" s="114"/>
      <c r="AT250" s="115"/>
      <c r="AU250" s="115"/>
      <c r="AV250" s="116"/>
      <c r="AX250" s="11">
        <v>46268</v>
      </c>
      <c r="AY250" s="33" t="s">
        <v>4</v>
      </c>
      <c r="AZ250" s="114"/>
      <c r="BA250" s="115"/>
      <c r="BB250" s="115"/>
      <c r="BC250" s="116"/>
      <c r="BE250" s="11">
        <v>46269</v>
      </c>
      <c r="BF250" s="33" t="s">
        <v>5</v>
      </c>
      <c r="BG250" s="33"/>
      <c r="BH250" s="19"/>
      <c r="BI250" s="19"/>
      <c r="BJ250" s="20"/>
      <c r="BL250" s="11">
        <v>46269</v>
      </c>
      <c r="BM250" s="33" t="s">
        <v>5</v>
      </c>
      <c r="BN250" s="114"/>
      <c r="BO250" s="115"/>
      <c r="BP250" s="115"/>
      <c r="BQ250" s="116"/>
      <c r="BS250" s="11">
        <v>46269</v>
      </c>
      <c r="BT250" s="33" t="s">
        <v>5</v>
      </c>
      <c r="BU250" s="114"/>
      <c r="BV250" s="115"/>
      <c r="BW250" s="115"/>
      <c r="BX250" s="116"/>
      <c r="BZ250" s="11">
        <v>46268</v>
      </c>
      <c r="CA250" s="33" t="s">
        <v>4</v>
      </c>
      <c r="CB250" s="114"/>
      <c r="CC250" s="115"/>
      <c r="CD250" s="115"/>
      <c r="CE250" s="116"/>
      <c r="CG250" s="11">
        <v>46269</v>
      </c>
      <c r="CH250" s="33" t="s">
        <v>5</v>
      </c>
      <c r="CI250" s="114"/>
      <c r="CJ250" s="115"/>
      <c r="CK250" s="115"/>
      <c r="CL250" s="116"/>
      <c r="CN250" s="11">
        <v>46269</v>
      </c>
      <c r="CO250" s="33" t="s">
        <v>5</v>
      </c>
      <c r="CP250" s="114"/>
      <c r="CQ250" s="115"/>
      <c r="CR250" s="115"/>
      <c r="CS250" s="116"/>
      <c r="CU250" s="11">
        <v>46269</v>
      </c>
      <c r="CV250" s="33" t="s">
        <v>5</v>
      </c>
      <c r="CW250" s="114"/>
      <c r="CX250" s="115"/>
      <c r="CY250" s="115"/>
      <c r="CZ250" s="116"/>
      <c r="DB250" s="11">
        <v>46267</v>
      </c>
      <c r="DC250" s="33" t="s">
        <v>3</v>
      </c>
      <c r="DD250" s="114"/>
      <c r="DE250" s="115"/>
      <c r="DF250" s="115"/>
      <c r="DG250" s="116"/>
      <c r="DI250" s="11">
        <v>46269</v>
      </c>
      <c r="DJ250" s="33" t="s">
        <v>5</v>
      </c>
      <c r="DK250" s="114"/>
      <c r="DL250" s="115"/>
      <c r="DM250" s="115"/>
      <c r="DN250" s="116"/>
      <c r="DP250" s="11">
        <v>46267</v>
      </c>
      <c r="DQ250" s="33" t="s">
        <v>3</v>
      </c>
      <c r="DR250" s="114"/>
      <c r="DS250" s="115"/>
      <c r="DT250" s="115"/>
      <c r="DU250" s="116"/>
      <c r="DW250" s="11">
        <v>46269</v>
      </c>
      <c r="DX250" s="33" t="s">
        <v>5</v>
      </c>
      <c r="DY250" s="114"/>
      <c r="DZ250" s="115"/>
      <c r="EA250" s="115"/>
      <c r="EB250" s="116"/>
    </row>
    <row r="251" spans="1:132" x14ac:dyDescent="0.25">
      <c r="A251" s="11">
        <v>46270</v>
      </c>
      <c r="B251" s="33" t="s">
        <v>6</v>
      </c>
      <c r="C251" s="114"/>
      <c r="D251" s="115"/>
      <c r="E251" s="115"/>
      <c r="F251" s="116"/>
      <c r="H251" s="11">
        <v>46270</v>
      </c>
      <c r="I251" s="33" t="s">
        <v>6</v>
      </c>
      <c r="J251" s="114"/>
      <c r="K251" s="115"/>
      <c r="L251" s="115"/>
      <c r="M251" s="116"/>
      <c r="O251" s="11">
        <v>46270</v>
      </c>
      <c r="P251" s="33" t="s">
        <v>6</v>
      </c>
      <c r="Q251" s="114"/>
      <c r="R251" s="115"/>
      <c r="S251" s="115"/>
      <c r="T251" s="116"/>
      <c r="V251" s="11">
        <v>46269</v>
      </c>
      <c r="W251" s="33" t="s">
        <v>5</v>
      </c>
      <c r="X251" s="114"/>
      <c r="Y251" s="115"/>
      <c r="Z251" s="115"/>
      <c r="AA251" s="116"/>
      <c r="AC251" s="11">
        <v>46270</v>
      </c>
      <c r="AD251" s="33" t="s">
        <v>6</v>
      </c>
      <c r="AE251" s="114"/>
      <c r="AF251" s="115"/>
      <c r="AG251" s="115"/>
      <c r="AH251" s="116"/>
      <c r="AJ251" s="11">
        <v>46270</v>
      </c>
      <c r="AK251" s="33" t="s">
        <v>6</v>
      </c>
      <c r="AL251" s="114"/>
      <c r="AM251" s="115"/>
      <c r="AN251" s="115"/>
      <c r="AO251" s="116"/>
      <c r="AQ251" s="11">
        <v>46270</v>
      </c>
      <c r="AR251" s="33" t="s">
        <v>6</v>
      </c>
      <c r="AS251" s="114"/>
      <c r="AT251" s="115"/>
      <c r="AU251" s="115"/>
      <c r="AV251" s="116"/>
      <c r="AX251" s="11">
        <v>46269</v>
      </c>
      <c r="AY251" s="33" t="s">
        <v>5</v>
      </c>
      <c r="AZ251" s="114"/>
      <c r="BA251" s="115"/>
      <c r="BB251" s="115"/>
      <c r="BC251" s="116"/>
      <c r="BE251" s="11">
        <v>46270</v>
      </c>
      <c r="BF251" s="33" t="s">
        <v>6</v>
      </c>
      <c r="BG251" s="33"/>
      <c r="BH251" s="19"/>
      <c r="BI251" s="19"/>
      <c r="BJ251" s="20"/>
      <c r="BL251" s="11">
        <v>46270</v>
      </c>
      <c r="BM251" s="33" t="s">
        <v>6</v>
      </c>
      <c r="BN251" s="114"/>
      <c r="BO251" s="115"/>
      <c r="BP251" s="115"/>
      <c r="BQ251" s="116"/>
      <c r="BS251" s="11">
        <v>46270</v>
      </c>
      <c r="BT251" s="33" t="s">
        <v>6</v>
      </c>
      <c r="BU251" s="114"/>
      <c r="BV251" s="115"/>
      <c r="BW251" s="115"/>
      <c r="BX251" s="116"/>
      <c r="BZ251" s="11">
        <v>46269</v>
      </c>
      <c r="CA251" s="33" t="s">
        <v>5</v>
      </c>
      <c r="CB251" s="114"/>
      <c r="CC251" s="115"/>
      <c r="CD251" s="115"/>
      <c r="CE251" s="116"/>
      <c r="CG251" s="11">
        <v>46270</v>
      </c>
      <c r="CH251" s="33" t="s">
        <v>6</v>
      </c>
      <c r="CI251" s="114"/>
      <c r="CJ251" s="115"/>
      <c r="CK251" s="115"/>
      <c r="CL251" s="116"/>
      <c r="CN251" s="11">
        <v>46270</v>
      </c>
      <c r="CO251" s="33" t="s">
        <v>6</v>
      </c>
      <c r="CP251" s="114"/>
      <c r="CQ251" s="115"/>
      <c r="CR251" s="115"/>
      <c r="CS251" s="116"/>
      <c r="CU251" s="11">
        <v>46270</v>
      </c>
      <c r="CV251" s="33" t="s">
        <v>6</v>
      </c>
      <c r="CW251" s="114"/>
      <c r="CX251" s="115"/>
      <c r="CY251" s="115"/>
      <c r="CZ251" s="116"/>
      <c r="DB251" s="11">
        <v>46268</v>
      </c>
      <c r="DC251" s="33" t="s">
        <v>4</v>
      </c>
      <c r="DD251" s="114"/>
      <c r="DE251" s="115"/>
      <c r="DF251" s="115"/>
      <c r="DG251" s="116"/>
      <c r="DI251" s="11">
        <v>46270</v>
      </c>
      <c r="DJ251" s="33" t="s">
        <v>6</v>
      </c>
      <c r="DK251" s="114"/>
      <c r="DL251" s="115"/>
      <c r="DM251" s="115"/>
      <c r="DN251" s="116"/>
      <c r="DP251" s="11">
        <v>46268</v>
      </c>
      <c r="DQ251" s="33" t="s">
        <v>4</v>
      </c>
      <c r="DR251" s="114"/>
      <c r="DS251" s="115"/>
      <c r="DT251" s="115"/>
      <c r="DU251" s="116"/>
      <c r="DW251" s="11">
        <v>46270</v>
      </c>
      <c r="DX251" s="33" t="s">
        <v>6</v>
      </c>
      <c r="DY251" s="114"/>
      <c r="DZ251" s="115"/>
      <c r="EA251" s="115"/>
      <c r="EB251" s="116"/>
    </row>
    <row r="252" spans="1:132" x14ac:dyDescent="0.25">
      <c r="A252" s="11">
        <v>46271</v>
      </c>
      <c r="B252" s="33" t="s">
        <v>7</v>
      </c>
      <c r="C252" s="114"/>
      <c r="D252" s="115"/>
      <c r="E252" s="115"/>
      <c r="F252" s="116"/>
      <c r="H252" s="11">
        <v>46271</v>
      </c>
      <c r="I252" s="33" t="s">
        <v>7</v>
      </c>
      <c r="J252" s="114"/>
      <c r="K252" s="115"/>
      <c r="L252" s="115"/>
      <c r="M252" s="116"/>
      <c r="O252" s="11">
        <v>46271</v>
      </c>
      <c r="P252" s="33" t="s">
        <v>7</v>
      </c>
      <c r="Q252" s="114"/>
      <c r="R252" s="115"/>
      <c r="S252" s="115"/>
      <c r="T252" s="116"/>
      <c r="V252" s="11">
        <v>46270</v>
      </c>
      <c r="W252" s="33" t="s">
        <v>6</v>
      </c>
      <c r="X252" s="114"/>
      <c r="Y252" s="115"/>
      <c r="Z252" s="115"/>
      <c r="AA252" s="116"/>
      <c r="AC252" s="11">
        <v>46271</v>
      </c>
      <c r="AD252" s="33" t="s">
        <v>7</v>
      </c>
      <c r="AE252" s="114"/>
      <c r="AF252" s="115"/>
      <c r="AG252" s="115"/>
      <c r="AH252" s="116"/>
      <c r="AJ252" s="11">
        <v>46271</v>
      </c>
      <c r="AK252" s="33" t="s">
        <v>7</v>
      </c>
      <c r="AL252" s="114"/>
      <c r="AM252" s="115"/>
      <c r="AN252" s="115"/>
      <c r="AO252" s="116"/>
      <c r="AQ252" s="11">
        <v>46271</v>
      </c>
      <c r="AR252" s="33" t="s">
        <v>7</v>
      </c>
      <c r="AS252" s="114"/>
      <c r="AT252" s="115"/>
      <c r="AU252" s="115"/>
      <c r="AV252" s="116"/>
      <c r="AX252" s="11">
        <v>46270</v>
      </c>
      <c r="AY252" s="33" t="s">
        <v>6</v>
      </c>
      <c r="AZ252" s="114"/>
      <c r="BA252" s="115"/>
      <c r="BB252" s="115"/>
      <c r="BC252" s="116"/>
      <c r="BE252" s="11">
        <v>46271</v>
      </c>
      <c r="BF252" s="33" t="s">
        <v>7</v>
      </c>
      <c r="BG252" s="33"/>
      <c r="BH252" s="19"/>
      <c r="BI252" s="19"/>
      <c r="BJ252" s="20"/>
      <c r="BL252" s="11">
        <v>46271</v>
      </c>
      <c r="BM252" s="33" t="s">
        <v>7</v>
      </c>
      <c r="BN252" s="114"/>
      <c r="BO252" s="115"/>
      <c r="BP252" s="115"/>
      <c r="BQ252" s="116"/>
      <c r="BS252" s="11">
        <v>46271</v>
      </c>
      <c r="BT252" s="33" t="s">
        <v>7</v>
      </c>
      <c r="BU252" s="114"/>
      <c r="BV252" s="115"/>
      <c r="BW252" s="115"/>
      <c r="BX252" s="116"/>
      <c r="BZ252" s="11">
        <v>46270</v>
      </c>
      <c r="CA252" s="33" t="s">
        <v>6</v>
      </c>
      <c r="CB252" s="114"/>
      <c r="CC252" s="115"/>
      <c r="CD252" s="115"/>
      <c r="CE252" s="116"/>
      <c r="CG252" s="11">
        <v>46271</v>
      </c>
      <c r="CH252" s="33" t="s">
        <v>7</v>
      </c>
      <c r="CI252" s="114"/>
      <c r="CJ252" s="115"/>
      <c r="CK252" s="115"/>
      <c r="CL252" s="116"/>
      <c r="CN252" s="11">
        <v>46271</v>
      </c>
      <c r="CO252" s="33" t="s">
        <v>7</v>
      </c>
      <c r="CP252" s="114"/>
      <c r="CQ252" s="115"/>
      <c r="CR252" s="115"/>
      <c r="CS252" s="116"/>
      <c r="CU252" s="11">
        <v>46271</v>
      </c>
      <c r="CV252" s="33" t="s">
        <v>7</v>
      </c>
      <c r="CW252" s="114"/>
      <c r="CX252" s="115"/>
      <c r="CY252" s="115"/>
      <c r="CZ252" s="116"/>
      <c r="DB252" s="11">
        <v>46269</v>
      </c>
      <c r="DC252" s="33" t="s">
        <v>5</v>
      </c>
      <c r="DD252" s="114"/>
      <c r="DE252" s="115"/>
      <c r="DF252" s="115"/>
      <c r="DG252" s="116"/>
      <c r="DI252" s="11">
        <v>46271</v>
      </c>
      <c r="DJ252" s="33" t="s">
        <v>7</v>
      </c>
      <c r="DK252" s="114"/>
      <c r="DL252" s="115"/>
      <c r="DM252" s="115"/>
      <c r="DN252" s="116"/>
      <c r="DP252" s="11">
        <v>46269</v>
      </c>
      <c r="DQ252" s="33" t="s">
        <v>5</v>
      </c>
      <c r="DR252" s="114"/>
      <c r="DS252" s="115"/>
      <c r="DT252" s="115"/>
      <c r="DU252" s="116"/>
      <c r="DW252" s="11">
        <v>46271</v>
      </c>
      <c r="DX252" s="33" t="s">
        <v>7</v>
      </c>
      <c r="DY252" s="114"/>
      <c r="DZ252" s="115"/>
      <c r="EA252" s="115"/>
      <c r="EB252" s="116"/>
    </row>
    <row r="253" spans="1:132" x14ac:dyDescent="0.25">
      <c r="A253" s="11">
        <v>46272</v>
      </c>
      <c r="B253" s="33" t="s">
        <v>8</v>
      </c>
      <c r="C253" s="114" t="s">
        <v>60</v>
      </c>
      <c r="D253" s="115"/>
      <c r="E253" s="115"/>
      <c r="F253" s="116"/>
      <c r="H253" s="11">
        <v>46272</v>
      </c>
      <c r="I253" s="33" t="s">
        <v>8</v>
      </c>
      <c r="J253" s="114" t="s">
        <v>60</v>
      </c>
      <c r="K253" s="115"/>
      <c r="L253" s="115"/>
      <c r="M253" s="116"/>
      <c r="O253" s="11">
        <v>46272</v>
      </c>
      <c r="P253" s="33" t="s">
        <v>8</v>
      </c>
      <c r="Q253" s="114" t="s">
        <v>60</v>
      </c>
      <c r="R253" s="115"/>
      <c r="S253" s="115"/>
      <c r="T253" s="116"/>
      <c r="V253" s="11">
        <v>46271</v>
      </c>
      <c r="W253" s="33" t="s">
        <v>7</v>
      </c>
      <c r="X253" s="114"/>
      <c r="Y253" s="115"/>
      <c r="Z253" s="115"/>
      <c r="AA253" s="116"/>
      <c r="AC253" s="11">
        <v>46272</v>
      </c>
      <c r="AD253" s="33" t="s">
        <v>8</v>
      </c>
      <c r="AE253" s="114" t="s">
        <v>60</v>
      </c>
      <c r="AF253" s="115"/>
      <c r="AG253" s="115"/>
      <c r="AH253" s="116"/>
      <c r="AJ253" s="11">
        <v>46272</v>
      </c>
      <c r="AK253" s="33" t="s">
        <v>8</v>
      </c>
      <c r="AL253" s="114" t="s">
        <v>60</v>
      </c>
      <c r="AM253" s="115"/>
      <c r="AN253" s="115"/>
      <c r="AO253" s="116"/>
      <c r="AQ253" s="11">
        <v>46272</v>
      </c>
      <c r="AR253" s="33" t="s">
        <v>8</v>
      </c>
      <c r="AS253" s="114" t="s">
        <v>60</v>
      </c>
      <c r="AT253" s="115"/>
      <c r="AU253" s="115"/>
      <c r="AV253" s="116"/>
      <c r="AX253" s="11">
        <v>46271</v>
      </c>
      <c r="AY253" s="33" t="s">
        <v>7</v>
      </c>
      <c r="AZ253" s="114"/>
      <c r="BA253" s="115"/>
      <c r="BB253" s="115"/>
      <c r="BC253" s="116"/>
      <c r="BE253" s="11">
        <v>46272</v>
      </c>
      <c r="BF253" s="33" t="s">
        <v>8</v>
      </c>
      <c r="BG253" s="33" t="s">
        <v>60</v>
      </c>
      <c r="BH253" s="19"/>
      <c r="BI253" s="19"/>
      <c r="BJ253" s="20"/>
      <c r="BL253" s="11">
        <v>46272</v>
      </c>
      <c r="BM253" s="33" t="s">
        <v>8</v>
      </c>
      <c r="BN253" s="114" t="s">
        <v>60</v>
      </c>
      <c r="BO253" s="115"/>
      <c r="BP253" s="115"/>
      <c r="BQ253" s="116"/>
      <c r="BS253" s="11">
        <v>46272</v>
      </c>
      <c r="BT253" s="33" t="s">
        <v>8</v>
      </c>
      <c r="BU253" s="114" t="s">
        <v>60</v>
      </c>
      <c r="BV253" s="115"/>
      <c r="BW253" s="115"/>
      <c r="BX253" s="116"/>
      <c r="BZ253" s="11">
        <v>46271</v>
      </c>
      <c r="CA253" s="33" t="s">
        <v>7</v>
      </c>
      <c r="CB253" s="114"/>
      <c r="CC253" s="115"/>
      <c r="CD253" s="115"/>
      <c r="CE253" s="116"/>
      <c r="CG253" s="11">
        <v>46272</v>
      </c>
      <c r="CH253" s="33" t="s">
        <v>8</v>
      </c>
      <c r="CI253" s="114" t="s">
        <v>60</v>
      </c>
      <c r="CJ253" s="115"/>
      <c r="CK253" s="115"/>
      <c r="CL253" s="116"/>
      <c r="CN253" s="11">
        <v>46272</v>
      </c>
      <c r="CO253" s="33" t="s">
        <v>8</v>
      </c>
      <c r="CP253" s="114" t="s">
        <v>60</v>
      </c>
      <c r="CQ253" s="115"/>
      <c r="CR253" s="115"/>
      <c r="CS253" s="116"/>
      <c r="CU253" s="11">
        <v>46272</v>
      </c>
      <c r="CV253" s="33" t="s">
        <v>8</v>
      </c>
      <c r="CW253" s="114" t="s">
        <v>60</v>
      </c>
      <c r="CX253" s="115"/>
      <c r="CY253" s="115"/>
      <c r="CZ253" s="116"/>
      <c r="DB253" s="11">
        <v>46270</v>
      </c>
      <c r="DC253" s="33" t="s">
        <v>6</v>
      </c>
      <c r="DD253" s="114"/>
      <c r="DE253" s="115"/>
      <c r="DF253" s="115"/>
      <c r="DG253" s="116"/>
      <c r="DI253" s="11">
        <v>46272</v>
      </c>
      <c r="DJ253" s="33" t="s">
        <v>8</v>
      </c>
      <c r="DK253" s="114" t="s">
        <v>60</v>
      </c>
      <c r="DL253" s="115"/>
      <c r="DM253" s="115"/>
      <c r="DN253" s="116"/>
      <c r="DP253" s="11">
        <v>46270</v>
      </c>
      <c r="DQ253" s="33" t="s">
        <v>6</v>
      </c>
      <c r="DR253" s="114"/>
      <c r="DS253" s="115"/>
      <c r="DT253" s="115"/>
      <c r="DU253" s="116"/>
      <c r="DW253" s="11">
        <v>46272</v>
      </c>
      <c r="DX253" s="33" t="s">
        <v>8</v>
      </c>
      <c r="DY253" s="114" t="s">
        <v>60</v>
      </c>
      <c r="DZ253" s="115"/>
      <c r="EA253" s="115"/>
      <c r="EB253" s="116"/>
    </row>
    <row r="254" spans="1:132" x14ac:dyDescent="0.25">
      <c r="A254" s="11">
        <v>46273</v>
      </c>
      <c r="B254" s="33" t="s">
        <v>9</v>
      </c>
      <c r="C254" s="114"/>
      <c r="D254" s="115"/>
      <c r="E254" s="115"/>
      <c r="F254" s="116"/>
      <c r="H254" s="11">
        <v>46273</v>
      </c>
      <c r="I254" s="33" t="s">
        <v>9</v>
      </c>
      <c r="J254" s="114"/>
      <c r="K254" s="115"/>
      <c r="L254" s="115"/>
      <c r="M254" s="116"/>
      <c r="O254" s="11">
        <v>46273</v>
      </c>
      <c r="P254" s="33" t="s">
        <v>9</v>
      </c>
      <c r="Q254" s="114"/>
      <c r="R254" s="115"/>
      <c r="S254" s="115"/>
      <c r="T254" s="116"/>
      <c r="V254" s="11">
        <v>46272</v>
      </c>
      <c r="W254" s="33" t="s">
        <v>8</v>
      </c>
      <c r="X254" s="114" t="s">
        <v>60</v>
      </c>
      <c r="Y254" s="115"/>
      <c r="Z254" s="115"/>
      <c r="AA254" s="116"/>
      <c r="AC254" s="11">
        <v>46273</v>
      </c>
      <c r="AD254" s="33" t="s">
        <v>9</v>
      </c>
      <c r="AE254" s="114"/>
      <c r="AF254" s="115"/>
      <c r="AG254" s="115"/>
      <c r="AH254" s="116"/>
      <c r="AJ254" s="11">
        <v>46273</v>
      </c>
      <c r="AK254" s="33" t="s">
        <v>9</v>
      </c>
      <c r="AL254" s="114"/>
      <c r="AM254" s="115"/>
      <c r="AN254" s="115"/>
      <c r="AO254" s="116"/>
      <c r="AQ254" s="11">
        <v>46273</v>
      </c>
      <c r="AR254" s="33" t="s">
        <v>9</v>
      </c>
      <c r="AS254" s="114"/>
      <c r="AT254" s="115"/>
      <c r="AU254" s="115"/>
      <c r="AV254" s="116"/>
      <c r="AX254" s="11">
        <v>46272</v>
      </c>
      <c r="AY254" s="33" t="s">
        <v>8</v>
      </c>
      <c r="AZ254" s="114" t="s">
        <v>60</v>
      </c>
      <c r="BA254" s="115"/>
      <c r="BB254" s="115"/>
      <c r="BC254" s="116"/>
      <c r="BE254" s="11">
        <v>46273</v>
      </c>
      <c r="BF254" s="33" t="s">
        <v>9</v>
      </c>
      <c r="BG254" s="33"/>
      <c r="BH254" s="19"/>
      <c r="BI254" s="19"/>
      <c r="BJ254" s="20"/>
      <c r="BL254" s="11">
        <v>46273</v>
      </c>
      <c r="BM254" s="33" t="s">
        <v>9</v>
      </c>
      <c r="BN254" s="114"/>
      <c r="BO254" s="115"/>
      <c r="BP254" s="115"/>
      <c r="BQ254" s="116"/>
      <c r="BS254" s="11">
        <v>46273</v>
      </c>
      <c r="BT254" s="33" t="s">
        <v>9</v>
      </c>
      <c r="BU254" s="114"/>
      <c r="BV254" s="115"/>
      <c r="BW254" s="115"/>
      <c r="BX254" s="116"/>
      <c r="BZ254" s="11">
        <v>46272</v>
      </c>
      <c r="CA254" s="33" t="s">
        <v>8</v>
      </c>
      <c r="CB254" s="114" t="s">
        <v>60</v>
      </c>
      <c r="CC254" s="115"/>
      <c r="CD254" s="115"/>
      <c r="CE254" s="116"/>
      <c r="CG254" s="11">
        <v>46273</v>
      </c>
      <c r="CH254" s="33" t="s">
        <v>9</v>
      </c>
      <c r="CI254" s="114"/>
      <c r="CJ254" s="115"/>
      <c r="CK254" s="115"/>
      <c r="CL254" s="116"/>
      <c r="CN254" s="11">
        <v>46273</v>
      </c>
      <c r="CO254" s="33" t="s">
        <v>9</v>
      </c>
      <c r="CP254" s="114"/>
      <c r="CQ254" s="115"/>
      <c r="CR254" s="115"/>
      <c r="CS254" s="116"/>
      <c r="CU254" s="11">
        <v>46273</v>
      </c>
      <c r="CV254" s="33" t="s">
        <v>9</v>
      </c>
      <c r="CW254" s="114"/>
      <c r="CX254" s="115"/>
      <c r="CY254" s="115"/>
      <c r="CZ254" s="116"/>
      <c r="DB254" s="11">
        <v>46271</v>
      </c>
      <c r="DC254" s="33" t="s">
        <v>7</v>
      </c>
      <c r="DD254" s="114"/>
      <c r="DE254" s="115"/>
      <c r="DF254" s="115"/>
      <c r="DG254" s="116"/>
      <c r="DI254" s="11">
        <v>46273</v>
      </c>
      <c r="DJ254" s="33" t="s">
        <v>9</v>
      </c>
      <c r="DK254" s="114"/>
      <c r="DL254" s="115"/>
      <c r="DM254" s="115"/>
      <c r="DN254" s="116"/>
      <c r="DP254" s="11">
        <v>46271</v>
      </c>
      <c r="DQ254" s="33" t="s">
        <v>7</v>
      </c>
      <c r="DR254" s="114"/>
      <c r="DS254" s="115"/>
      <c r="DT254" s="115"/>
      <c r="DU254" s="116"/>
      <c r="DW254" s="11">
        <v>46273</v>
      </c>
      <c r="DX254" s="33" t="s">
        <v>9</v>
      </c>
      <c r="DY254" s="114"/>
      <c r="DZ254" s="115"/>
      <c r="EA254" s="115"/>
      <c r="EB254" s="116"/>
    </row>
    <row r="255" spans="1:132" x14ac:dyDescent="0.25">
      <c r="A255" s="11">
        <v>46274</v>
      </c>
      <c r="B255" s="33" t="s">
        <v>3</v>
      </c>
      <c r="C255" s="114"/>
      <c r="D255" s="115"/>
      <c r="E255" s="115"/>
      <c r="F255" s="116"/>
      <c r="H255" s="11">
        <v>46274</v>
      </c>
      <c r="I255" s="33" t="s">
        <v>3</v>
      </c>
      <c r="J255" s="114"/>
      <c r="K255" s="115"/>
      <c r="L255" s="115"/>
      <c r="M255" s="116"/>
      <c r="O255" s="11">
        <v>46274</v>
      </c>
      <c r="P255" s="33" t="s">
        <v>3</v>
      </c>
      <c r="Q255" s="114"/>
      <c r="R255" s="115"/>
      <c r="S255" s="115"/>
      <c r="T255" s="116"/>
      <c r="V255" s="11">
        <v>46273</v>
      </c>
      <c r="W255" s="33" t="s">
        <v>9</v>
      </c>
      <c r="X255" s="114"/>
      <c r="Y255" s="115"/>
      <c r="Z255" s="115"/>
      <c r="AA255" s="116"/>
      <c r="AC255" s="11">
        <v>46274</v>
      </c>
      <c r="AD255" s="33" t="s">
        <v>3</v>
      </c>
      <c r="AE255" s="114"/>
      <c r="AF255" s="115"/>
      <c r="AG255" s="115"/>
      <c r="AH255" s="116"/>
      <c r="AJ255" s="11">
        <v>46274</v>
      </c>
      <c r="AK255" s="33" t="s">
        <v>3</v>
      </c>
      <c r="AL255" s="114"/>
      <c r="AM255" s="115"/>
      <c r="AN255" s="115"/>
      <c r="AO255" s="116"/>
      <c r="AQ255" s="11">
        <v>46274</v>
      </c>
      <c r="AR255" s="33" t="s">
        <v>3</v>
      </c>
      <c r="AS255" s="114"/>
      <c r="AT255" s="115"/>
      <c r="AU255" s="115"/>
      <c r="AV255" s="116"/>
      <c r="AX255" s="11">
        <v>46273</v>
      </c>
      <c r="AY255" s="33" t="s">
        <v>9</v>
      </c>
      <c r="AZ255" s="114"/>
      <c r="BA255" s="115"/>
      <c r="BB255" s="115"/>
      <c r="BC255" s="116"/>
      <c r="BE255" s="11">
        <v>46274</v>
      </c>
      <c r="BF255" s="33" t="s">
        <v>3</v>
      </c>
      <c r="BG255" s="33"/>
      <c r="BH255" s="19"/>
      <c r="BI255" s="19"/>
      <c r="BJ255" s="20"/>
      <c r="BL255" s="11">
        <v>46274</v>
      </c>
      <c r="BM255" s="33" t="s">
        <v>3</v>
      </c>
      <c r="BN255" s="114"/>
      <c r="BO255" s="115"/>
      <c r="BP255" s="115"/>
      <c r="BQ255" s="116"/>
      <c r="BS255" s="11">
        <v>46274</v>
      </c>
      <c r="BT255" s="33" t="s">
        <v>3</v>
      </c>
      <c r="BU255" s="114"/>
      <c r="BV255" s="115"/>
      <c r="BW255" s="115"/>
      <c r="BX255" s="116"/>
      <c r="BZ255" s="11">
        <v>46273</v>
      </c>
      <c r="CA255" s="33" t="s">
        <v>9</v>
      </c>
      <c r="CB255" s="114"/>
      <c r="CC255" s="115"/>
      <c r="CD255" s="115"/>
      <c r="CE255" s="116"/>
      <c r="CG255" s="11">
        <v>46274</v>
      </c>
      <c r="CH255" s="33" t="s">
        <v>3</v>
      </c>
      <c r="CI255" s="114"/>
      <c r="CJ255" s="115"/>
      <c r="CK255" s="115"/>
      <c r="CL255" s="116"/>
      <c r="CN255" s="11">
        <v>46274</v>
      </c>
      <c r="CO255" s="33" t="s">
        <v>3</v>
      </c>
      <c r="CP255" s="114"/>
      <c r="CQ255" s="115"/>
      <c r="CR255" s="115"/>
      <c r="CS255" s="116"/>
      <c r="CU255" s="11">
        <v>46274</v>
      </c>
      <c r="CV255" s="33" t="s">
        <v>3</v>
      </c>
      <c r="CW255" s="114"/>
      <c r="CX255" s="115"/>
      <c r="CY255" s="115"/>
      <c r="CZ255" s="116"/>
      <c r="DB255" s="11">
        <v>46272</v>
      </c>
      <c r="DC255" s="33" t="s">
        <v>8</v>
      </c>
      <c r="DD255" s="114" t="s">
        <v>60</v>
      </c>
      <c r="DE255" s="115"/>
      <c r="DF255" s="115"/>
      <c r="DG255" s="116"/>
      <c r="DI255" s="11">
        <v>46274</v>
      </c>
      <c r="DJ255" s="33" t="s">
        <v>3</v>
      </c>
      <c r="DK255" s="114"/>
      <c r="DL255" s="115"/>
      <c r="DM255" s="115"/>
      <c r="DN255" s="116"/>
      <c r="DP255" s="11">
        <v>46272</v>
      </c>
      <c r="DQ255" s="33" t="s">
        <v>8</v>
      </c>
      <c r="DR255" s="114" t="s">
        <v>60</v>
      </c>
      <c r="DS255" s="115"/>
      <c r="DT255" s="115"/>
      <c r="DU255" s="116"/>
      <c r="DW255" s="11">
        <v>46274</v>
      </c>
      <c r="DX255" s="33" t="s">
        <v>3</v>
      </c>
      <c r="DY255" s="114"/>
      <c r="DZ255" s="115"/>
      <c r="EA255" s="115"/>
      <c r="EB255" s="116"/>
    </row>
    <row r="256" spans="1:132" x14ac:dyDescent="0.25">
      <c r="A256" s="11">
        <v>46275</v>
      </c>
      <c r="B256" s="33" t="s">
        <v>4</v>
      </c>
      <c r="C256" s="114"/>
      <c r="D256" s="115"/>
      <c r="E256" s="115"/>
      <c r="F256" s="116"/>
      <c r="H256" s="11">
        <v>46275</v>
      </c>
      <c r="I256" s="33" t="s">
        <v>4</v>
      </c>
      <c r="J256" s="114"/>
      <c r="K256" s="115"/>
      <c r="L256" s="115"/>
      <c r="M256" s="116"/>
      <c r="O256" s="11">
        <v>46275</v>
      </c>
      <c r="P256" s="33" t="s">
        <v>4</v>
      </c>
      <c r="Q256" s="114"/>
      <c r="R256" s="115"/>
      <c r="S256" s="115"/>
      <c r="T256" s="116"/>
      <c r="V256" s="11">
        <v>46274</v>
      </c>
      <c r="W256" s="33" t="s">
        <v>3</v>
      </c>
      <c r="X256" s="114"/>
      <c r="Y256" s="115"/>
      <c r="Z256" s="115"/>
      <c r="AA256" s="116"/>
      <c r="AC256" s="11">
        <v>46275</v>
      </c>
      <c r="AD256" s="33" t="s">
        <v>4</v>
      </c>
      <c r="AE256" s="114"/>
      <c r="AF256" s="115"/>
      <c r="AG256" s="115"/>
      <c r="AH256" s="116"/>
      <c r="AJ256" s="11">
        <v>46275</v>
      </c>
      <c r="AK256" s="33" t="s">
        <v>4</v>
      </c>
      <c r="AL256" s="114"/>
      <c r="AM256" s="115"/>
      <c r="AN256" s="115"/>
      <c r="AO256" s="116"/>
      <c r="AQ256" s="11">
        <v>46275</v>
      </c>
      <c r="AR256" s="33" t="s">
        <v>4</v>
      </c>
      <c r="AS256" s="114"/>
      <c r="AT256" s="115"/>
      <c r="AU256" s="115"/>
      <c r="AV256" s="116"/>
      <c r="AX256" s="11">
        <v>46274</v>
      </c>
      <c r="AY256" s="33" t="s">
        <v>3</v>
      </c>
      <c r="AZ256" s="114"/>
      <c r="BA256" s="115"/>
      <c r="BB256" s="115"/>
      <c r="BC256" s="116"/>
      <c r="BE256" s="11">
        <v>46275</v>
      </c>
      <c r="BF256" s="33" t="s">
        <v>4</v>
      </c>
      <c r="BG256" s="33"/>
      <c r="BH256" s="19"/>
      <c r="BI256" s="19"/>
      <c r="BJ256" s="20"/>
      <c r="BL256" s="11">
        <v>46275</v>
      </c>
      <c r="BM256" s="33" t="s">
        <v>4</v>
      </c>
      <c r="BN256" s="114"/>
      <c r="BO256" s="115"/>
      <c r="BP256" s="115"/>
      <c r="BQ256" s="116"/>
      <c r="BS256" s="11">
        <v>46275</v>
      </c>
      <c r="BT256" s="33" t="s">
        <v>4</v>
      </c>
      <c r="BU256" s="114"/>
      <c r="BV256" s="115"/>
      <c r="BW256" s="115"/>
      <c r="BX256" s="116"/>
      <c r="BZ256" s="11">
        <v>46274</v>
      </c>
      <c r="CA256" s="33" t="s">
        <v>3</v>
      </c>
      <c r="CB256" s="114"/>
      <c r="CC256" s="115"/>
      <c r="CD256" s="115"/>
      <c r="CE256" s="116"/>
      <c r="CG256" s="11">
        <v>46275</v>
      </c>
      <c r="CH256" s="33" t="s">
        <v>4</v>
      </c>
      <c r="CI256" s="114"/>
      <c r="CJ256" s="115"/>
      <c r="CK256" s="115"/>
      <c r="CL256" s="116"/>
      <c r="CN256" s="11">
        <v>46275</v>
      </c>
      <c r="CO256" s="33" t="s">
        <v>4</v>
      </c>
      <c r="CP256" s="114"/>
      <c r="CQ256" s="115"/>
      <c r="CR256" s="115"/>
      <c r="CS256" s="116"/>
      <c r="CU256" s="11">
        <v>46275</v>
      </c>
      <c r="CV256" s="33" t="s">
        <v>4</v>
      </c>
      <c r="CW256" s="114"/>
      <c r="CX256" s="115"/>
      <c r="CY256" s="115"/>
      <c r="CZ256" s="116"/>
      <c r="DB256" s="11">
        <v>46273</v>
      </c>
      <c r="DC256" s="33" t="s">
        <v>9</v>
      </c>
      <c r="DD256" s="114"/>
      <c r="DE256" s="115"/>
      <c r="DF256" s="115"/>
      <c r="DG256" s="116"/>
      <c r="DI256" s="11">
        <v>46275</v>
      </c>
      <c r="DJ256" s="33" t="s">
        <v>4</v>
      </c>
      <c r="DK256" s="114"/>
      <c r="DL256" s="115"/>
      <c r="DM256" s="115"/>
      <c r="DN256" s="116"/>
      <c r="DP256" s="11">
        <v>46273</v>
      </c>
      <c r="DQ256" s="33" t="s">
        <v>9</v>
      </c>
      <c r="DR256" s="114"/>
      <c r="DS256" s="115"/>
      <c r="DT256" s="115"/>
      <c r="DU256" s="116"/>
      <c r="DW256" s="11">
        <v>46275</v>
      </c>
      <c r="DX256" s="33" t="s">
        <v>4</v>
      </c>
      <c r="DY256" s="114"/>
      <c r="DZ256" s="115"/>
      <c r="EA256" s="115"/>
      <c r="EB256" s="116"/>
    </row>
    <row r="257" spans="1:132" x14ac:dyDescent="0.25">
      <c r="A257" s="11">
        <v>46276</v>
      </c>
      <c r="B257" s="33" t="s">
        <v>5</v>
      </c>
      <c r="C257" s="114"/>
      <c r="D257" s="115"/>
      <c r="E257" s="115"/>
      <c r="F257" s="116"/>
      <c r="H257" s="11">
        <v>46276</v>
      </c>
      <c r="I257" s="33" t="s">
        <v>5</v>
      </c>
      <c r="J257" s="114"/>
      <c r="K257" s="115"/>
      <c r="L257" s="115"/>
      <c r="M257" s="116"/>
      <c r="O257" s="11">
        <v>46276</v>
      </c>
      <c r="P257" s="33" t="s">
        <v>5</v>
      </c>
      <c r="Q257" s="114"/>
      <c r="R257" s="115"/>
      <c r="S257" s="115"/>
      <c r="T257" s="116"/>
      <c r="V257" s="11">
        <v>46275</v>
      </c>
      <c r="W257" s="33" t="s">
        <v>4</v>
      </c>
      <c r="X257" s="114"/>
      <c r="Y257" s="115"/>
      <c r="Z257" s="115"/>
      <c r="AA257" s="116"/>
      <c r="AC257" s="11">
        <v>46276</v>
      </c>
      <c r="AD257" s="33" t="s">
        <v>5</v>
      </c>
      <c r="AE257" s="114"/>
      <c r="AF257" s="115"/>
      <c r="AG257" s="115"/>
      <c r="AH257" s="116"/>
      <c r="AJ257" s="11">
        <v>46276</v>
      </c>
      <c r="AK257" s="33" t="s">
        <v>5</v>
      </c>
      <c r="AL257" s="114"/>
      <c r="AM257" s="115"/>
      <c r="AN257" s="115"/>
      <c r="AO257" s="116"/>
      <c r="AQ257" s="11">
        <v>46276</v>
      </c>
      <c r="AR257" s="33" t="s">
        <v>5</v>
      </c>
      <c r="AS257" s="114"/>
      <c r="AT257" s="115"/>
      <c r="AU257" s="115"/>
      <c r="AV257" s="116"/>
      <c r="AX257" s="11">
        <v>46275</v>
      </c>
      <c r="AY257" s="33" t="s">
        <v>4</v>
      </c>
      <c r="AZ257" s="114"/>
      <c r="BA257" s="115"/>
      <c r="BB257" s="115"/>
      <c r="BC257" s="116"/>
      <c r="BE257" s="11">
        <v>46276</v>
      </c>
      <c r="BF257" s="33" t="s">
        <v>5</v>
      </c>
      <c r="BG257" s="33"/>
      <c r="BH257" s="19"/>
      <c r="BI257" s="19"/>
      <c r="BJ257" s="20"/>
      <c r="BL257" s="11">
        <v>46276</v>
      </c>
      <c r="BM257" s="33" t="s">
        <v>5</v>
      </c>
      <c r="BN257" s="114"/>
      <c r="BO257" s="115"/>
      <c r="BP257" s="115"/>
      <c r="BQ257" s="116"/>
      <c r="BS257" s="11">
        <v>46276</v>
      </c>
      <c r="BT257" s="33" t="s">
        <v>5</v>
      </c>
      <c r="BU257" s="114"/>
      <c r="BV257" s="115"/>
      <c r="BW257" s="115"/>
      <c r="BX257" s="116"/>
      <c r="BZ257" s="11">
        <v>46275</v>
      </c>
      <c r="CA257" s="33" t="s">
        <v>4</v>
      </c>
      <c r="CB257" s="114"/>
      <c r="CC257" s="115"/>
      <c r="CD257" s="115"/>
      <c r="CE257" s="116"/>
      <c r="CG257" s="11">
        <v>46276</v>
      </c>
      <c r="CH257" s="33" t="s">
        <v>5</v>
      </c>
      <c r="CI257" s="114"/>
      <c r="CJ257" s="115"/>
      <c r="CK257" s="115"/>
      <c r="CL257" s="116"/>
      <c r="CN257" s="11">
        <v>46276</v>
      </c>
      <c r="CO257" s="33" t="s">
        <v>5</v>
      </c>
      <c r="CP257" s="114"/>
      <c r="CQ257" s="115"/>
      <c r="CR257" s="115"/>
      <c r="CS257" s="116"/>
      <c r="CU257" s="11">
        <v>46276</v>
      </c>
      <c r="CV257" s="33" t="s">
        <v>5</v>
      </c>
      <c r="CW257" s="114"/>
      <c r="CX257" s="115"/>
      <c r="CY257" s="115"/>
      <c r="CZ257" s="116"/>
      <c r="DB257" s="11">
        <v>46274</v>
      </c>
      <c r="DC257" s="33" t="s">
        <v>3</v>
      </c>
      <c r="DD257" s="114"/>
      <c r="DE257" s="115"/>
      <c r="DF257" s="115"/>
      <c r="DG257" s="116"/>
      <c r="DI257" s="11">
        <v>46276</v>
      </c>
      <c r="DJ257" s="33" t="s">
        <v>5</v>
      </c>
      <c r="DK257" s="114"/>
      <c r="DL257" s="115"/>
      <c r="DM257" s="115"/>
      <c r="DN257" s="116"/>
      <c r="DP257" s="11">
        <v>46274</v>
      </c>
      <c r="DQ257" s="33" t="s">
        <v>3</v>
      </c>
      <c r="DR257" s="114"/>
      <c r="DS257" s="115"/>
      <c r="DT257" s="115"/>
      <c r="DU257" s="116"/>
      <c r="DW257" s="11">
        <v>46276</v>
      </c>
      <c r="DX257" s="33" t="s">
        <v>5</v>
      </c>
      <c r="DY257" s="114"/>
      <c r="DZ257" s="115"/>
      <c r="EA257" s="115"/>
      <c r="EB257" s="116"/>
    </row>
    <row r="258" spans="1:132" x14ac:dyDescent="0.25">
      <c r="A258" s="11">
        <v>46277</v>
      </c>
      <c r="B258" s="33" t="s">
        <v>6</v>
      </c>
      <c r="C258" s="114"/>
      <c r="D258" s="115"/>
      <c r="E258" s="115"/>
      <c r="F258" s="116"/>
      <c r="G258" s="104"/>
      <c r="H258" s="11">
        <v>46277</v>
      </c>
      <c r="I258" s="33" t="s">
        <v>6</v>
      </c>
      <c r="J258" s="114"/>
      <c r="K258" s="115"/>
      <c r="L258" s="115"/>
      <c r="M258" s="116"/>
      <c r="O258" s="11">
        <v>46277</v>
      </c>
      <c r="P258" s="33" t="s">
        <v>6</v>
      </c>
      <c r="Q258" s="114"/>
      <c r="R258" s="115"/>
      <c r="S258" s="115"/>
      <c r="T258" s="116"/>
      <c r="V258" s="11">
        <v>46276</v>
      </c>
      <c r="W258" s="33" t="s">
        <v>5</v>
      </c>
      <c r="X258" s="114"/>
      <c r="Y258" s="115"/>
      <c r="Z258" s="115"/>
      <c r="AA258" s="116"/>
      <c r="AC258" s="11">
        <v>46277</v>
      </c>
      <c r="AD258" s="33" t="s">
        <v>6</v>
      </c>
      <c r="AE258" s="114"/>
      <c r="AF258" s="115"/>
      <c r="AG258" s="115"/>
      <c r="AH258" s="116"/>
      <c r="AJ258" s="11">
        <v>46277</v>
      </c>
      <c r="AK258" s="33" t="s">
        <v>6</v>
      </c>
      <c r="AL258" s="114"/>
      <c r="AM258" s="115"/>
      <c r="AN258" s="115"/>
      <c r="AO258" s="116"/>
      <c r="AQ258" s="11">
        <v>46277</v>
      </c>
      <c r="AR258" s="33" t="s">
        <v>6</v>
      </c>
      <c r="AS258" s="114"/>
      <c r="AT258" s="115"/>
      <c r="AU258" s="115"/>
      <c r="AV258" s="116"/>
      <c r="AX258" s="11">
        <v>46276</v>
      </c>
      <c r="AY258" s="33" t="s">
        <v>5</v>
      </c>
      <c r="AZ258" s="114"/>
      <c r="BA258" s="115"/>
      <c r="BB258" s="115"/>
      <c r="BC258" s="116"/>
      <c r="BE258" s="11">
        <v>46277</v>
      </c>
      <c r="BF258" s="33" t="s">
        <v>6</v>
      </c>
      <c r="BG258" s="33"/>
      <c r="BH258" s="19"/>
      <c r="BI258" s="19"/>
      <c r="BJ258" s="20"/>
      <c r="BL258" s="11">
        <v>46277</v>
      </c>
      <c r="BM258" s="33" t="s">
        <v>6</v>
      </c>
      <c r="BN258" s="114"/>
      <c r="BO258" s="115"/>
      <c r="BP258" s="115"/>
      <c r="BQ258" s="116"/>
      <c r="BS258" s="11">
        <v>46277</v>
      </c>
      <c r="BT258" s="33" t="s">
        <v>6</v>
      </c>
      <c r="BU258" s="114"/>
      <c r="BV258" s="115"/>
      <c r="BW258" s="115"/>
      <c r="BX258" s="116"/>
      <c r="BZ258" s="11">
        <v>46276</v>
      </c>
      <c r="CA258" s="33" t="s">
        <v>5</v>
      </c>
      <c r="CB258" s="114"/>
      <c r="CC258" s="115"/>
      <c r="CD258" s="115"/>
      <c r="CE258" s="116"/>
      <c r="CG258" s="11">
        <v>46277</v>
      </c>
      <c r="CH258" s="33" t="s">
        <v>6</v>
      </c>
      <c r="CI258" s="114"/>
      <c r="CJ258" s="115"/>
      <c r="CK258" s="115"/>
      <c r="CL258" s="116"/>
      <c r="CN258" s="11">
        <v>46277</v>
      </c>
      <c r="CO258" s="33" t="s">
        <v>6</v>
      </c>
      <c r="CP258" s="114"/>
      <c r="CQ258" s="115"/>
      <c r="CR258" s="115"/>
      <c r="CS258" s="116"/>
      <c r="CU258" s="11">
        <v>46277</v>
      </c>
      <c r="CV258" s="33" t="s">
        <v>6</v>
      </c>
      <c r="CW258" s="114"/>
      <c r="CX258" s="115"/>
      <c r="CY258" s="115"/>
      <c r="CZ258" s="116"/>
      <c r="DB258" s="11">
        <v>46275</v>
      </c>
      <c r="DC258" s="33" t="s">
        <v>4</v>
      </c>
      <c r="DD258" s="114"/>
      <c r="DE258" s="115"/>
      <c r="DF258" s="115"/>
      <c r="DG258" s="116"/>
      <c r="DI258" s="11">
        <v>46277</v>
      </c>
      <c r="DJ258" s="33" t="s">
        <v>6</v>
      </c>
      <c r="DK258" s="114"/>
      <c r="DL258" s="115"/>
      <c r="DM258" s="115"/>
      <c r="DN258" s="116"/>
      <c r="DP258" s="11">
        <v>46275</v>
      </c>
      <c r="DQ258" s="33" t="s">
        <v>4</v>
      </c>
      <c r="DR258" s="114"/>
      <c r="DS258" s="115"/>
      <c r="DT258" s="115"/>
      <c r="DU258" s="116"/>
      <c r="DW258" s="11">
        <v>46277</v>
      </c>
      <c r="DX258" s="33" t="s">
        <v>6</v>
      </c>
      <c r="DY258" s="114"/>
      <c r="DZ258" s="115"/>
      <c r="EA258" s="115"/>
      <c r="EB258" s="116"/>
    </row>
    <row r="259" spans="1:132" x14ac:dyDescent="0.25">
      <c r="A259" s="11">
        <v>46278</v>
      </c>
      <c r="B259" s="33" t="s">
        <v>7</v>
      </c>
      <c r="C259" s="114"/>
      <c r="D259" s="115"/>
      <c r="E259" s="115"/>
      <c r="F259" s="116"/>
      <c r="G259" s="104"/>
      <c r="H259" s="11">
        <v>46278</v>
      </c>
      <c r="I259" s="33" t="s">
        <v>7</v>
      </c>
      <c r="J259" s="114"/>
      <c r="K259" s="115"/>
      <c r="L259" s="115"/>
      <c r="M259" s="116"/>
      <c r="O259" s="11">
        <v>46278</v>
      </c>
      <c r="P259" s="33" t="s">
        <v>7</v>
      </c>
      <c r="Q259" s="114"/>
      <c r="R259" s="115"/>
      <c r="S259" s="115"/>
      <c r="T259" s="116"/>
      <c r="V259" s="11">
        <v>46277</v>
      </c>
      <c r="W259" s="33" t="s">
        <v>6</v>
      </c>
      <c r="X259" s="114"/>
      <c r="Y259" s="115"/>
      <c r="Z259" s="115"/>
      <c r="AA259" s="116"/>
      <c r="AC259" s="11">
        <v>46278</v>
      </c>
      <c r="AD259" s="33" t="s">
        <v>7</v>
      </c>
      <c r="AE259" s="114"/>
      <c r="AF259" s="115"/>
      <c r="AG259" s="115"/>
      <c r="AH259" s="116"/>
      <c r="AJ259" s="11">
        <v>46278</v>
      </c>
      <c r="AK259" s="33" t="s">
        <v>7</v>
      </c>
      <c r="AL259" s="114"/>
      <c r="AM259" s="115"/>
      <c r="AN259" s="115"/>
      <c r="AO259" s="116"/>
      <c r="AQ259" s="11">
        <v>46278</v>
      </c>
      <c r="AR259" s="33" t="s">
        <v>7</v>
      </c>
      <c r="AS259" s="114"/>
      <c r="AT259" s="115"/>
      <c r="AU259" s="115"/>
      <c r="AV259" s="116"/>
      <c r="AX259" s="11">
        <v>46277</v>
      </c>
      <c r="AY259" s="33" t="s">
        <v>6</v>
      </c>
      <c r="AZ259" s="114"/>
      <c r="BA259" s="115"/>
      <c r="BB259" s="115"/>
      <c r="BC259" s="116"/>
      <c r="BE259" s="11">
        <v>46278</v>
      </c>
      <c r="BF259" s="33" t="s">
        <v>7</v>
      </c>
      <c r="BG259" s="33"/>
      <c r="BH259" s="19"/>
      <c r="BI259" s="19"/>
      <c r="BJ259" s="20"/>
      <c r="BL259" s="11">
        <v>46278</v>
      </c>
      <c r="BM259" s="33" t="s">
        <v>7</v>
      </c>
      <c r="BN259" s="114"/>
      <c r="BO259" s="115"/>
      <c r="BP259" s="115"/>
      <c r="BQ259" s="116"/>
      <c r="BS259" s="11">
        <v>46278</v>
      </c>
      <c r="BT259" s="33" t="s">
        <v>7</v>
      </c>
      <c r="BU259" s="114"/>
      <c r="BV259" s="115"/>
      <c r="BW259" s="115"/>
      <c r="BX259" s="116"/>
      <c r="BZ259" s="11">
        <v>46277</v>
      </c>
      <c r="CA259" s="33" t="s">
        <v>6</v>
      </c>
      <c r="CB259" s="114"/>
      <c r="CC259" s="115"/>
      <c r="CD259" s="115"/>
      <c r="CE259" s="116"/>
      <c r="CG259" s="11">
        <v>46278</v>
      </c>
      <c r="CH259" s="33" t="s">
        <v>7</v>
      </c>
      <c r="CI259" s="114"/>
      <c r="CJ259" s="115"/>
      <c r="CK259" s="115"/>
      <c r="CL259" s="116"/>
      <c r="CN259" s="11">
        <v>46278</v>
      </c>
      <c r="CO259" s="33" t="s">
        <v>7</v>
      </c>
      <c r="CP259" s="114"/>
      <c r="CQ259" s="115"/>
      <c r="CR259" s="115"/>
      <c r="CS259" s="116"/>
      <c r="CU259" s="11">
        <v>46278</v>
      </c>
      <c r="CV259" s="33" t="s">
        <v>7</v>
      </c>
      <c r="CW259" s="114"/>
      <c r="CX259" s="115"/>
      <c r="CY259" s="115"/>
      <c r="CZ259" s="116"/>
      <c r="DB259" s="11">
        <v>46276</v>
      </c>
      <c r="DC259" s="33" t="s">
        <v>5</v>
      </c>
      <c r="DD259" s="114"/>
      <c r="DE259" s="115"/>
      <c r="DF259" s="115"/>
      <c r="DG259" s="116"/>
      <c r="DI259" s="11">
        <v>46278</v>
      </c>
      <c r="DJ259" s="33" t="s">
        <v>7</v>
      </c>
      <c r="DK259" s="114"/>
      <c r="DL259" s="115"/>
      <c r="DM259" s="115"/>
      <c r="DN259" s="116"/>
      <c r="DP259" s="11">
        <v>46276</v>
      </c>
      <c r="DQ259" s="33" t="s">
        <v>5</v>
      </c>
      <c r="DR259" s="114"/>
      <c r="DS259" s="115"/>
      <c r="DT259" s="115"/>
      <c r="DU259" s="116"/>
      <c r="DW259" s="11">
        <v>46278</v>
      </c>
      <c r="DX259" s="33" t="s">
        <v>7</v>
      </c>
      <c r="DY259" s="114"/>
      <c r="DZ259" s="115"/>
      <c r="EA259" s="115"/>
      <c r="EB259" s="116"/>
    </row>
    <row r="260" spans="1:132" x14ac:dyDescent="0.25">
      <c r="A260" s="11">
        <v>46279</v>
      </c>
      <c r="B260" s="33" t="s">
        <v>8</v>
      </c>
      <c r="C260" s="114"/>
      <c r="D260" s="115"/>
      <c r="E260" s="115"/>
      <c r="F260" s="116"/>
      <c r="H260" s="11">
        <v>46279</v>
      </c>
      <c r="I260" s="33" t="s">
        <v>8</v>
      </c>
      <c r="J260" s="114"/>
      <c r="K260" s="115"/>
      <c r="L260" s="115"/>
      <c r="M260" s="116"/>
      <c r="O260" s="11">
        <v>46279</v>
      </c>
      <c r="P260" s="33" t="s">
        <v>8</v>
      </c>
      <c r="Q260" s="114"/>
      <c r="R260" s="115"/>
      <c r="S260" s="115"/>
      <c r="T260" s="116"/>
      <c r="V260" s="11">
        <v>46278</v>
      </c>
      <c r="W260" s="33" t="s">
        <v>7</v>
      </c>
      <c r="X260" s="114"/>
      <c r="Y260" s="115"/>
      <c r="Z260" s="115"/>
      <c r="AA260" s="116"/>
      <c r="AC260" s="11">
        <v>46279</v>
      </c>
      <c r="AD260" s="33" t="s">
        <v>8</v>
      </c>
      <c r="AE260" s="114"/>
      <c r="AF260" s="115"/>
      <c r="AG260" s="115"/>
      <c r="AH260" s="116"/>
      <c r="AJ260" s="11">
        <v>46279</v>
      </c>
      <c r="AK260" s="33" t="s">
        <v>8</v>
      </c>
      <c r="AL260" s="114"/>
      <c r="AM260" s="115"/>
      <c r="AN260" s="115"/>
      <c r="AO260" s="116"/>
      <c r="AQ260" s="11">
        <v>46279</v>
      </c>
      <c r="AR260" s="33" t="s">
        <v>8</v>
      </c>
      <c r="AS260" s="114"/>
      <c r="AT260" s="115"/>
      <c r="AU260" s="115"/>
      <c r="AV260" s="116"/>
      <c r="AX260" s="11">
        <v>46278</v>
      </c>
      <c r="AY260" s="33" t="s">
        <v>7</v>
      </c>
      <c r="AZ260" s="114"/>
      <c r="BA260" s="115"/>
      <c r="BB260" s="115"/>
      <c r="BC260" s="116"/>
      <c r="BE260" s="11">
        <v>46279</v>
      </c>
      <c r="BF260" s="33" t="s">
        <v>8</v>
      </c>
      <c r="BG260" s="33"/>
      <c r="BH260" s="19"/>
      <c r="BI260" s="19"/>
      <c r="BJ260" s="20"/>
      <c r="BL260" s="11">
        <v>46279</v>
      </c>
      <c r="BM260" s="33" t="s">
        <v>8</v>
      </c>
      <c r="BN260" s="114"/>
      <c r="BO260" s="115"/>
      <c r="BP260" s="115"/>
      <c r="BQ260" s="116"/>
      <c r="BS260" s="11">
        <v>46279</v>
      </c>
      <c r="BT260" s="33" t="s">
        <v>8</v>
      </c>
      <c r="BU260" s="114"/>
      <c r="BV260" s="115"/>
      <c r="BW260" s="115"/>
      <c r="BX260" s="116"/>
      <c r="BZ260" s="11">
        <v>46278</v>
      </c>
      <c r="CA260" s="33" t="s">
        <v>7</v>
      </c>
      <c r="CB260" s="114"/>
      <c r="CC260" s="115"/>
      <c r="CD260" s="115"/>
      <c r="CE260" s="116"/>
      <c r="CG260" s="11">
        <v>46279</v>
      </c>
      <c r="CH260" s="33" t="s">
        <v>8</v>
      </c>
      <c r="CI260" s="114"/>
      <c r="CJ260" s="115"/>
      <c r="CK260" s="115"/>
      <c r="CL260" s="116"/>
      <c r="CN260" s="11">
        <v>46279</v>
      </c>
      <c r="CO260" s="33" t="s">
        <v>8</v>
      </c>
      <c r="CP260" s="114"/>
      <c r="CQ260" s="115"/>
      <c r="CR260" s="115"/>
      <c r="CS260" s="116"/>
      <c r="CU260" s="11">
        <v>46279</v>
      </c>
      <c r="CV260" s="33" t="s">
        <v>8</v>
      </c>
      <c r="CW260" s="114"/>
      <c r="CX260" s="115"/>
      <c r="CY260" s="115"/>
      <c r="CZ260" s="116"/>
      <c r="DB260" s="11">
        <v>46277</v>
      </c>
      <c r="DC260" s="33" t="s">
        <v>6</v>
      </c>
      <c r="DD260" s="114"/>
      <c r="DE260" s="115"/>
      <c r="DF260" s="115"/>
      <c r="DG260" s="116"/>
      <c r="DI260" s="11">
        <v>46279</v>
      </c>
      <c r="DJ260" s="33" t="s">
        <v>8</v>
      </c>
      <c r="DK260" s="114"/>
      <c r="DL260" s="115"/>
      <c r="DM260" s="115"/>
      <c r="DN260" s="116"/>
      <c r="DP260" s="11">
        <v>46277</v>
      </c>
      <c r="DQ260" s="33" t="s">
        <v>6</v>
      </c>
      <c r="DR260" s="114"/>
      <c r="DS260" s="115"/>
      <c r="DT260" s="115"/>
      <c r="DU260" s="116"/>
      <c r="DW260" s="11">
        <v>46279</v>
      </c>
      <c r="DX260" s="33" t="s">
        <v>8</v>
      </c>
      <c r="DY260" s="114"/>
      <c r="DZ260" s="115"/>
      <c r="EA260" s="115"/>
      <c r="EB260" s="116"/>
    </row>
    <row r="261" spans="1:132" x14ac:dyDescent="0.25">
      <c r="A261" s="11">
        <v>46280</v>
      </c>
      <c r="B261" s="33" t="s">
        <v>9</v>
      </c>
      <c r="C261" s="114"/>
      <c r="D261" s="115"/>
      <c r="E261" s="115"/>
      <c r="F261" s="116"/>
      <c r="H261" s="11">
        <v>46280</v>
      </c>
      <c r="I261" s="33" t="s">
        <v>9</v>
      </c>
      <c r="J261" s="114"/>
      <c r="K261" s="115"/>
      <c r="L261" s="115"/>
      <c r="M261" s="116"/>
      <c r="O261" s="11">
        <v>46280</v>
      </c>
      <c r="P261" s="33" t="s">
        <v>9</v>
      </c>
      <c r="Q261" s="114"/>
      <c r="R261" s="115"/>
      <c r="S261" s="115"/>
      <c r="T261" s="116"/>
      <c r="V261" s="11">
        <v>46279</v>
      </c>
      <c r="W261" s="33" t="s">
        <v>8</v>
      </c>
      <c r="X261" s="114"/>
      <c r="Y261" s="115"/>
      <c r="Z261" s="115"/>
      <c r="AA261" s="116"/>
      <c r="AC261" s="11">
        <v>46280</v>
      </c>
      <c r="AD261" s="33" t="s">
        <v>9</v>
      </c>
      <c r="AE261" s="114"/>
      <c r="AF261" s="115"/>
      <c r="AG261" s="115"/>
      <c r="AH261" s="116"/>
      <c r="AJ261" s="11">
        <v>46280</v>
      </c>
      <c r="AK261" s="33" t="s">
        <v>9</v>
      </c>
      <c r="AL261" s="114"/>
      <c r="AM261" s="115"/>
      <c r="AN261" s="115"/>
      <c r="AO261" s="116"/>
      <c r="AQ261" s="11">
        <v>46280</v>
      </c>
      <c r="AR261" s="33" t="s">
        <v>9</v>
      </c>
      <c r="AS261" s="114"/>
      <c r="AT261" s="115"/>
      <c r="AU261" s="115"/>
      <c r="AV261" s="116"/>
      <c r="AX261" s="11">
        <v>46279</v>
      </c>
      <c r="AY261" s="33" t="s">
        <v>8</v>
      </c>
      <c r="AZ261" s="114"/>
      <c r="BA261" s="115"/>
      <c r="BB261" s="115"/>
      <c r="BC261" s="116"/>
      <c r="BE261" s="11">
        <v>46280</v>
      </c>
      <c r="BF261" s="33" t="s">
        <v>9</v>
      </c>
      <c r="BG261" s="33"/>
      <c r="BH261" s="19"/>
      <c r="BI261" s="19"/>
      <c r="BJ261" s="20"/>
      <c r="BL261" s="11">
        <v>46280</v>
      </c>
      <c r="BM261" s="33" t="s">
        <v>9</v>
      </c>
      <c r="BN261" s="114"/>
      <c r="BO261" s="115"/>
      <c r="BP261" s="115"/>
      <c r="BQ261" s="116"/>
      <c r="BS261" s="11">
        <v>46280</v>
      </c>
      <c r="BT261" s="33" t="s">
        <v>9</v>
      </c>
      <c r="BU261" s="114"/>
      <c r="BV261" s="115"/>
      <c r="BW261" s="115"/>
      <c r="BX261" s="116"/>
      <c r="BZ261" s="11">
        <v>46279</v>
      </c>
      <c r="CA261" s="33" t="s">
        <v>8</v>
      </c>
      <c r="CB261" s="114"/>
      <c r="CC261" s="115"/>
      <c r="CD261" s="115"/>
      <c r="CE261" s="116"/>
      <c r="CG261" s="11">
        <v>46280</v>
      </c>
      <c r="CH261" s="33" t="s">
        <v>9</v>
      </c>
      <c r="CI261" s="114"/>
      <c r="CJ261" s="115"/>
      <c r="CK261" s="115"/>
      <c r="CL261" s="116"/>
      <c r="CN261" s="11">
        <v>46280</v>
      </c>
      <c r="CO261" s="33" t="s">
        <v>9</v>
      </c>
      <c r="CP261" s="114"/>
      <c r="CQ261" s="115"/>
      <c r="CR261" s="115"/>
      <c r="CS261" s="116"/>
      <c r="CU261" s="11">
        <v>46280</v>
      </c>
      <c r="CV261" s="33" t="s">
        <v>9</v>
      </c>
      <c r="CW261" s="114"/>
      <c r="CX261" s="115"/>
      <c r="CY261" s="115"/>
      <c r="CZ261" s="116"/>
      <c r="DB261" s="11">
        <v>46278</v>
      </c>
      <c r="DC261" s="33" t="s">
        <v>7</v>
      </c>
      <c r="DD261" s="114"/>
      <c r="DE261" s="115"/>
      <c r="DF261" s="115"/>
      <c r="DG261" s="116"/>
      <c r="DI261" s="11">
        <v>46280</v>
      </c>
      <c r="DJ261" s="33" t="s">
        <v>9</v>
      </c>
      <c r="DK261" s="114"/>
      <c r="DL261" s="115"/>
      <c r="DM261" s="115"/>
      <c r="DN261" s="116"/>
      <c r="DP261" s="11">
        <v>46278</v>
      </c>
      <c r="DQ261" s="33" t="s">
        <v>7</v>
      </c>
      <c r="DR261" s="114"/>
      <c r="DS261" s="115"/>
      <c r="DT261" s="115"/>
      <c r="DU261" s="116"/>
      <c r="DW261" s="11">
        <v>46280</v>
      </c>
      <c r="DX261" s="33" t="s">
        <v>9</v>
      </c>
      <c r="DY261" s="114"/>
      <c r="DZ261" s="115"/>
      <c r="EA261" s="115"/>
      <c r="EB261" s="116"/>
    </row>
    <row r="262" spans="1:132" x14ac:dyDescent="0.25">
      <c r="A262" s="11">
        <v>46281</v>
      </c>
      <c r="B262" s="33" t="s">
        <v>3</v>
      </c>
      <c r="C262" s="114"/>
      <c r="D262" s="115"/>
      <c r="E262" s="115"/>
      <c r="F262" s="116"/>
      <c r="H262" s="11">
        <v>46281</v>
      </c>
      <c r="I262" s="33" t="s">
        <v>3</v>
      </c>
      <c r="J262" s="114"/>
      <c r="K262" s="115"/>
      <c r="L262" s="115"/>
      <c r="M262" s="116"/>
      <c r="O262" s="11">
        <v>46281</v>
      </c>
      <c r="P262" s="33" t="s">
        <v>3</v>
      </c>
      <c r="Q262" s="114"/>
      <c r="R262" s="115"/>
      <c r="S262" s="115"/>
      <c r="T262" s="116"/>
      <c r="V262" s="11">
        <v>46280</v>
      </c>
      <c r="W262" s="33" t="s">
        <v>9</v>
      </c>
      <c r="X262" s="114"/>
      <c r="Y262" s="115"/>
      <c r="Z262" s="115"/>
      <c r="AA262" s="116"/>
      <c r="AC262" s="11">
        <v>46281</v>
      </c>
      <c r="AD262" s="33" t="s">
        <v>3</v>
      </c>
      <c r="AE262" s="114"/>
      <c r="AF262" s="115"/>
      <c r="AG262" s="115"/>
      <c r="AH262" s="116"/>
      <c r="AJ262" s="11">
        <v>46281</v>
      </c>
      <c r="AK262" s="33" t="s">
        <v>3</v>
      </c>
      <c r="AL262" s="114"/>
      <c r="AM262" s="115"/>
      <c r="AN262" s="115"/>
      <c r="AO262" s="116"/>
      <c r="AQ262" s="11">
        <v>46281</v>
      </c>
      <c r="AR262" s="33" t="s">
        <v>3</v>
      </c>
      <c r="AS262" s="114"/>
      <c r="AT262" s="115"/>
      <c r="AU262" s="115"/>
      <c r="AV262" s="116"/>
      <c r="AX262" s="11">
        <v>46280</v>
      </c>
      <c r="AY262" s="33" t="s">
        <v>9</v>
      </c>
      <c r="AZ262" s="114"/>
      <c r="BA262" s="115"/>
      <c r="BB262" s="115"/>
      <c r="BC262" s="116"/>
      <c r="BE262" s="11">
        <v>46281</v>
      </c>
      <c r="BF262" s="33" t="s">
        <v>3</v>
      </c>
      <c r="BG262" s="33"/>
      <c r="BH262" s="19"/>
      <c r="BI262" s="19"/>
      <c r="BJ262" s="20"/>
      <c r="BL262" s="11">
        <v>46281</v>
      </c>
      <c r="BM262" s="33" t="s">
        <v>3</v>
      </c>
      <c r="BN262" s="114"/>
      <c r="BO262" s="115"/>
      <c r="BP262" s="115"/>
      <c r="BQ262" s="116"/>
      <c r="BS262" s="11">
        <v>46281</v>
      </c>
      <c r="BT262" s="33" t="s">
        <v>3</v>
      </c>
      <c r="BU262" s="114"/>
      <c r="BV262" s="115"/>
      <c r="BW262" s="115"/>
      <c r="BX262" s="116"/>
      <c r="BZ262" s="11">
        <v>46280</v>
      </c>
      <c r="CA262" s="33" t="s">
        <v>9</v>
      </c>
      <c r="CB262" s="114"/>
      <c r="CC262" s="115"/>
      <c r="CD262" s="115"/>
      <c r="CE262" s="116"/>
      <c r="CG262" s="11">
        <v>46281</v>
      </c>
      <c r="CH262" s="33" t="s">
        <v>3</v>
      </c>
      <c r="CI262" s="114"/>
      <c r="CJ262" s="115"/>
      <c r="CK262" s="115"/>
      <c r="CL262" s="116"/>
      <c r="CN262" s="11">
        <v>46281</v>
      </c>
      <c r="CO262" s="33" t="s">
        <v>3</v>
      </c>
      <c r="CP262" s="114"/>
      <c r="CQ262" s="115"/>
      <c r="CR262" s="115"/>
      <c r="CS262" s="116"/>
      <c r="CU262" s="11">
        <v>46281</v>
      </c>
      <c r="CV262" s="33" t="s">
        <v>3</v>
      </c>
      <c r="CW262" s="114"/>
      <c r="CX262" s="115"/>
      <c r="CY262" s="115"/>
      <c r="CZ262" s="116"/>
      <c r="DB262" s="11">
        <v>46279</v>
      </c>
      <c r="DC262" s="33" t="s">
        <v>8</v>
      </c>
      <c r="DD262" s="114"/>
      <c r="DE262" s="115"/>
      <c r="DF262" s="115"/>
      <c r="DG262" s="116"/>
      <c r="DI262" s="11">
        <v>46281</v>
      </c>
      <c r="DJ262" s="33" t="s">
        <v>3</v>
      </c>
      <c r="DK262" s="114"/>
      <c r="DL262" s="115"/>
      <c r="DM262" s="115"/>
      <c r="DN262" s="116"/>
      <c r="DP262" s="11">
        <v>46279</v>
      </c>
      <c r="DQ262" s="33" t="s">
        <v>8</v>
      </c>
      <c r="DR262" s="114"/>
      <c r="DS262" s="115"/>
      <c r="DT262" s="115"/>
      <c r="DU262" s="116"/>
      <c r="DW262" s="11">
        <v>46281</v>
      </c>
      <c r="DX262" s="33" t="s">
        <v>3</v>
      </c>
      <c r="DY262" s="114"/>
      <c r="DZ262" s="115"/>
      <c r="EA262" s="115"/>
      <c r="EB262" s="116"/>
    </row>
    <row r="263" spans="1:132" x14ac:dyDescent="0.25">
      <c r="A263" s="11">
        <v>46282</v>
      </c>
      <c r="B263" s="33" t="s">
        <v>4</v>
      </c>
      <c r="C263" s="114"/>
      <c r="D263" s="115"/>
      <c r="E263" s="115"/>
      <c r="F263" s="116"/>
      <c r="H263" s="11">
        <v>46282</v>
      </c>
      <c r="I263" s="33" t="s">
        <v>4</v>
      </c>
      <c r="J263" s="114"/>
      <c r="K263" s="115"/>
      <c r="L263" s="115"/>
      <c r="M263" s="116"/>
      <c r="O263" s="11">
        <v>46282</v>
      </c>
      <c r="P263" s="33" t="s">
        <v>4</v>
      </c>
      <c r="Q263" s="114"/>
      <c r="R263" s="115"/>
      <c r="S263" s="115"/>
      <c r="T263" s="116"/>
      <c r="V263" s="11">
        <v>46281</v>
      </c>
      <c r="W263" s="33" t="s">
        <v>3</v>
      </c>
      <c r="X263" s="114"/>
      <c r="Y263" s="115"/>
      <c r="Z263" s="115"/>
      <c r="AA263" s="116"/>
      <c r="AC263" s="11">
        <v>46282</v>
      </c>
      <c r="AD263" s="33" t="s">
        <v>4</v>
      </c>
      <c r="AE263" s="114"/>
      <c r="AF263" s="115"/>
      <c r="AG263" s="115"/>
      <c r="AH263" s="116"/>
      <c r="AJ263" s="11">
        <v>46282</v>
      </c>
      <c r="AK263" s="33" t="s">
        <v>4</v>
      </c>
      <c r="AL263" s="114"/>
      <c r="AM263" s="115"/>
      <c r="AN263" s="115"/>
      <c r="AO263" s="116"/>
      <c r="AQ263" s="11">
        <v>46282</v>
      </c>
      <c r="AR263" s="33" t="s">
        <v>4</v>
      </c>
      <c r="AS263" s="114"/>
      <c r="AT263" s="115"/>
      <c r="AU263" s="115"/>
      <c r="AV263" s="116"/>
      <c r="AX263" s="11">
        <v>46281</v>
      </c>
      <c r="AY263" s="33" t="s">
        <v>3</v>
      </c>
      <c r="AZ263" s="114"/>
      <c r="BA263" s="115"/>
      <c r="BB263" s="115"/>
      <c r="BC263" s="116"/>
      <c r="BE263" s="11">
        <v>46282</v>
      </c>
      <c r="BF263" s="33" t="s">
        <v>4</v>
      </c>
      <c r="BG263" s="33"/>
      <c r="BH263" s="19"/>
      <c r="BI263" s="19"/>
      <c r="BJ263" s="20"/>
      <c r="BL263" s="11">
        <v>46282</v>
      </c>
      <c r="BM263" s="33" t="s">
        <v>4</v>
      </c>
      <c r="BN263" s="114"/>
      <c r="BO263" s="115"/>
      <c r="BP263" s="115"/>
      <c r="BQ263" s="116"/>
      <c r="BS263" s="11">
        <v>46282</v>
      </c>
      <c r="BT263" s="33" t="s">
        <v>4</v>
      </c>
      <c r="BU263" s="114"/>
      <c r="BV263" s="115"/>
      <c r="BW263" s="115"/>
      <c r="BX263" s="116"/>
      <c r="BZ263" s="11">
        <v>46281</v>
      </c>
      <c r="CA263" s="33" t="s">
        <v>3</v>
      </c>
      <c r="CB263" s="114"/>
      <c r="CC263" s="115"/>
      <c r="CD263" s="115"/>
      <c r="CE263" s="116"/>
      <c r="CG263" s="11">
        <v>46282</v>
      </c>
      <c r="CH263" s="33" t="s">
        <v>4</v>
      </c>
      <c r="CI263" s="114"/>
      <c r="CJ263" s="115"/>
      <c r="CK263" s="115"/>
      <c r="CL263" s="116"/>
      <c r="CN263" s="11">
        <v>46282</v>
      </c>
      <c r="CO263" s="33" t="s">
        <v>4</v>
      </c>
      <c r="CP263" s="114"/>
      <c r="CQ263" s="115"/>
      <c r="CR263" s="115"/>
      <c r="CS263" s="116"/>
      <c r="CU263" s="11">
        <v>46282</v>
      </c>
      <c r="CV263" s="33" t="s">
        <v>4</v>
      </c>
      <c r="CW263" s="114"/>
      <c r="CX263" s="115"/>
      <c r="CY263" s="115"/>
      <c r="CZ263" s="116"/>
      <c r="DB263" s="11">
        <v>46280</v>
      </c>
      <c r="DC263" s="33" t="s">
        <v>9</v>
      </c>
      <c r="DD263" s="114"/>
      <c r="DE263" s="115"/>
      <c r="DF263" s="115"/>
      <c r="DG263" s="116"/>
      <c r="DI263" s="11">
        <v>46282</v>
      </c>
      <c r="DJ263" s="33" t="s">
        <v>4</v>
      </c>
      <c r="DK263" s="114"/>
      <c r="DL263" s="115"/>
      <c r="DM263" s="115"/>
      <c r="DN263" s="116"/>
      <c r="DP263" s="11">
        <v>46280</v>
      </c>
      <c r="DQ263" s="33" t="s">
        <v>9</v>
      </c>
      <c r="DR263" s="114"/>
      <c r="DS263" s="115"/>
      <c r="DT263" s="115"/>
      <c r="DU263" s="116"/>
      <c r="DW263" s="11">
        <v>46282</v>
      </c>
      <c r="DX263" s="33" t="s">
        <v>4</v>
      </c>
      <c r="DY263" s="114"/>
      <c r="DZ263" s="115"/>
      <c r="EA263" s="115"/>
      <c r="EB263" s="116"/>
    </row>
    <row r="264" spans="1:132" x14ac:dyDescent="0.25">
      <c r="A264" s="11">
        <v>46283</v>
      </c>
      <c r="B264" s="33" t="s">
        <v>5</v>
      </c>
      <c r="C264" s="114"/>
      <c r="D264" s="115"/>
      <c r="E264" s="115"/>
      <c r="F264" s="116"/>
      <c r="H264" s="11">
        <v>46283</v>
      </c>
      <c r="I264" s="33" t="s">
        <v>5</v>
      </c>
      <c r="J264" s="114"/>
      <c r="K264" s="115"/>
      <c r="L264" s="115"/>
      <c r="M264" s="116"/>
      <c r="O264" s="11">
        <v>46283</v>
      </c>
      <c r="P264" s="33" t="s">
        <v>5</v>
      </c>
      <c r="Q264" s="114"/>
      <c r="R264" s="115"/>
      <c r="S264" s="115"/>
      <c r="T264" s="116"/>
      <c r="V264" s="11">
        <v>46282</v>
      </c>
      <c r="W264" s="33" t="s">
        <v>4</v>
      </c>
      <c r="X264" s="114"/>
      <c r="Y264" s="115"/>
      <c r="Z264" s="115"/>
      <c r="AA264" s="116"/>
      <c r="AC264" s="11">
        <v>46283</v>
      </c>
      <c r="AD264" s="33" t="s">
        <v>5</v>
      </c>
      <c r="AE264" s="114"/>
      <c r="AF264" s="115"/>
      <c r="AG264" s="115"/>
      <c r="AH264" s="116"/>
      <c r="AJ264" s="11">
        <v>46283</v>
      </c>
      <c r="AK264" s="33" t="s">
        <v>5</v>
      </c>
      <c r="AL264" s="114"/>
      <c r="AM264" s="115"/>
      <c r="AN264" s="115"/>
      <c r="AO264" s="116"/>
      <c r="AQ264" s="11">
        <v>46283</v>
      </c>
      <c r="AR264" s="33" t="s">
        <v>5</v>
      </c>
      <c r="AS264" s="114"/>
      <c r="AT264" s="115"/>
      <c r="AU264" s="115"/>
      <c r="AV264" s="116"/>
      <c r="AX264" s="11">
        <v>46282</v>
      </c>
      <c r="AY264" s="33" t="s">
        <v>4</v>
      </c>
      <c r="AZ264" s="114"/>
      <c r="BA264" s="115"/>
      <c r="BB264" s="115"/>
      <c r="BC264" s="116"/>
      <c r="BE264" s="11">
        <v>46283</v>
      </c>
      <c r="BF264" s="33" t="s">
        <v>5</v>
      </c>
      <c r="BG264" s="33"/>
      <c r="BH264" s="19"/>
      <c r="BI264" s="19"/>
      <c r="BJ264" s="20"/>
      <c r="BL264" s="11">
        <v>46283</v>
      </c>
      <c r="BM264" s="33" t="s">
        <v>5</v>
      </c>
      <c r="BN264" s="114"/>
      <c r="BO264" s="115"/>
      <c r="BP264" s="115"/>
      <c r="BQ264" s="116"/>
      <c r="BS264" s="11">
        <v>46283</v>
      </c>
      <c r="BT264" s="33" t="s">
        <v>5</v>
      </c>
      <c r="BU264" s="114"/>
      <c r="BV264" s="115"/>
      <c r="BW264" s="115"/>
      <c r="BX264" s="116"/>
      <c r="BZ264" s="11">
        <v>46282</v>
      </c>
      <c r="CA264" s="33" t="s">
        <v>4</v>
      </c>
      <c r="CB264" s="114"/>
      <c r="CC264" s="115"/>
      <c r="CD264" s="115"/>
      <c r="CE264" s="116"/>
      <c r="CG264" s="11">
        <v>46283</v>
      </c>
      <c r="CH264" s="33" t="s">
        <v>5</v>
      </c>
      <c r="CI264" s="114"/>
      <c r="CJ264" s="115"/>
      <c r="CK264" s="115"/>
      <c r="CL264" s="116"/>
      <c r="CN264" s="11">
        <v>46283</v>
      </c>
      <c r="CO264" s="33" t="s">
        <v>5</v>
      </c>
      <c r="CP264" s="114"/>
      <c r="CQ264" s="115"/>
      <c r="CR264" s="115"/>
      <c r="CS264" s="116"/>
      <c r="CU264" s="11">
        <v>46283</v>
      </c>
      <c r="CV264" s="33" t="s">
        <v>5</v>
      </c>
      <c r="CW264" s="114"/>
      <c r="CX264" s="115"/>
      <c r="CY264" s="115"/>
      <c r="CZ264" s="116"/>
      <c r="DB264" s="11">
        <v>46281</v>
      </c>
      <c r="DC264" s="33" t="s">
        <v>3</v>
      </c>
      <c r="DD264" s="114"/>
      <c r="DE264" s="115"/>
      <c r="DF264" s="115"/>
      <c r="DG264" s="116"/>
      <c r="DI264" s="11">
        <v>46283</v>
      </c>
      <c r="DJ264" s="33" t="s">
        <v>5</v>
      </c>
      <c r="DK264" s="114"/>
      <c r="DL264" s="115"/>
      <c r="DM264" s="115"/>
      <c r="DN264" s="116"/>
      <c r="DP264" s="11">
        <v>46281</v>
      </c>
      <c r="DQ264" s="33" t="s">
        <v>3</v>
      </c>
      <c r="DR264" s="114"/>
      <c r="DS264" s="115"/>
      <c r="DT264" s="115"/>
      <c r="DU264" s="116"/>
      <c r="DW264" s="11">
        <v>46283</v>
      </c>
      <c r="DX264" s="33" t="s">
        <v>5</v>
      </c>
      <c r="DY264" s="114"/>
      <c r="DZ264" s="115"/>
      <c r="EA264" s="115"/>
      <c r="EB264" s="116"/>
    </row>
    <row r="265" spans="1:132" x14ac:dyDescent="0.25">
      <c r="A265" s="11">
        <v>46284</v>
      </c>
      <c r="B265" s="33" t="s">
        <v>6</v>
      </c>
      <c r="C265" s="114"/>
      <c r="D265" s="115"/>
      <c r="E265" s="115"/>
      <c r="F265" s="116"/>
      <c r="H265" s="11">
        <v>46284</v>
      </c>
      <c r="I265" s="33" t="s">
        <v>6</v>
      </c>
      <c r="J265" s="114"/>
      <c r="K265" s="115"/>
      <c r="L265" s="115"/>
      <c r="M265" s="116"/>
      <c r="O265" s="11">
        <v>46284</v>
      </c>
      <c r="P265" s="33" t="s">
        <v>6</v>
      </c>
      <c r="Q265" s="114"/>
      <c r="R265" s="115"/>
      <c r="S265" s="115"/>
      <c r="T265" s="116"/>
      <c r="V265" s="11">
        <v>46283</v>
      </c>
      <c r="W265" s="33" t="s">
        <v>5</v>
      </c>
      <c r="X265" s="114"/>
      <c r="Y265" s="115"/>
      <c r="Z265" s="115"/>
      <c r="AA265" s="116"/>
      <c r="AC265" s="11">
        <v>46284</v>
      </c>
      <c r="AD265" s="33" t="s">
        <v>6</v>
      </c>
      <c r="AE265" s="114"/>
      <c r="AF265" s="115"/>
      <c r="AG265" s="115"/>
      <c r="AH265" s="116"/>
      <c r="AJ265" s="11">
        <v>46284</v>
      </c>
      <c r="AK265" s="33" t="s">
        <v>6</v>
      </c>
      <c r="AL265" s="114"/>
      <c r="AM265" s="115"/>
      <c r="AN265" s="115"/>
      <c r="AO265" s="116"/>
      <c r="AQ265" s="11">
        <v>46284</v>
      </c>
      <c r="AR265" s="33" t="s">
        <v>6</v>
      </c>
      <c r="AS265" s="114"/>
      <c r="AT265" s="115"/>
      <c r="AU265" s="115"/>
      <c r="AV265" s="116"/>
      <c r="AX265" s="11">
        <v>46283</v>
      </c>
      <c r="AY265" s="33" t="s">
        <v>5</v>
      </c>
      <c r="AZ265" s="114"/>
      <c r="BA265" s="115"/>
      <c r="BB265" s="115"/>
      <c r="BC265" s="116"/>
      <c r="BE265" s="11">
        <v>46284</v>
      </c>
      <c r="BF265" s="33" t="s">
        <v>6</v>
      </c>
      <c r="BG265" s="33"/>
      <c r="BH265" s="19"/>
      <c r="BI265" s="19"/>
      <c r="BJ265" s="20"/>
      <c r="BL265" s="11">
        <v>46284</v>
      </c>
      <c r="BM265" s="33" t="s">
        <v>6</v>
      </c>
      <c r="BN265" s="114"/>
      <c r="BO265" s="115"/>
      <c r="BP265" s="115"/>
      <c r="BQ265" s="116"/>
      <c r="BS265" s="11">
        <v>46284</v>
      </c>
      <c r="BT265" s="33" t="s">
        <v>6</v>
      </c>
      <c r="BU265" s="114"/>
      <c r="BV265" s="115"/>
      <c r="BW265" s="115"/>
      <c r="BX265" s="116"/>
      <c r="BZ265" s="11">
        <v>46283</v>
      </c>
      <c r="CA265" s="33" t="s">
        <v>5</v>
      </c>
      <c r="CB265" s="114"/>
      <c r="CC265" s="115"/>
      <c r="CD265" s="115"/>
      <c r="CE265" s="116"/>
      <c r="CG265" s="11">
        <v>46284</v>
      </c>
      <c r="CH265" s="33" t="s">
        <v>6</v>
      </c>
      <c r="CI265" s="114"/>
      <c r="CJ265" s="115"/>
      <c r="CK265" s="115"/>
      <c r="CL265" s="116"/>
      <c r="CN265" s="11">
        <v>46284</v>
      </c>
      <c r="CO265" s="33" t="s">
        <v>6</v>
      </c>
      <c r="CP265" s="114"/>
      <c r="CQ265" s="115"/>
      <c r="CR265" s="115"/>
      <c r="CS265" s="116"/>
      <c r="CU265" s="11">
        <v>46284</v>
      </c>
      <c r="CV265" s="33" t="s">
        <v>6</v>
      </c>
      <c r="CW265" s="114"/>
      <c r="CX265" s="115"/>
      <c r="CY265" s="115"/>
      <c r="CZ265" s="116"/>
      <c r="DB265" s="11">
        <v>46282</v>
      </c>
      <c r="DC265" s="33" t="s">
        <v>4</v>
      </c>
      <c r="DD265" s="114"/>
      <c r="DE265" s="115"/>
      <c r="DF265" s="115"/>
      <c r="DG265" s="116"/>
      <c r="DI265" s="11">
        <v>46284</v>
      </c>
      <c r="DJ265" s="33" t="s">
        <v>6</v>
      </c>
      <c r="DK265" s="114"/>
      <c r="DL265" s="115"/>
      <c r="DM265" s="115"/>
      <c r="DN265" s="116"/>
      <c r="DP265" s="11">
        <v>46282</v>
      </c>
      <c r="DQ265" s="33" t="s">
        <v>4</v>
      </c>
      <c r="DR265" s="114"/>
      <c r="DS265" s="115"/>
      <c r="DT265" s="115"/>
      <c r="DU265" s="116"/>
      <c r="DW265" s="11">
        <v>46284</v>
      </c>
      <c r="DX265" s="33" t="s">
        <v>6</v>
      </c>
      <c r="DY265" s="114"/>
      <c r="DZ265" s="115"/>
      <c r="EA265" s="115"/>
      <c r="EB265" s="116"/>
    </row>
    <row r="266" spans="1:132" x14ac:dyDescent="0.25">
      <c r="A266" s="11">
        <v>46285</v>
      </c>
      <c r="B266" s="33" t="s">
        <v>7</v>
      </c>
      <c r="C266" s="114"/>
      <c r="D266" s="115"/>
      <c r="E266" s="115"/>
      <c r="F266" s="116"/>
      <c r="H266" s="11">
        <v>46285</v>
      </c>
      <c r="I266" s="33" t="s">
        <v>7</v>
      </c>
      <c r="J266" s="114"/>
      <c r="K266" s="115"/>
      <c r="L266" s="115"/>
      <c r="M266" s="116"/>
      <c r="O266" s="11">
        <v>46285</v>
      </c>
      <c r="P266" s="33" t="s">
        <v>7</v>
      </c>
      <c r="Q266" s="114"/>
      <c r="R266" s="115"/>
      <c r="S266" s="115"/>
      <c r="T266" s="116"/>
      <c r="V266" s="11">
        <v>46284</v>
      </c>
      <c r="W266" s="33" t="s">
        <v>6</v>
      </c>
      <c r="X266" s="114"/>
      <c r="Y266" s="115"/>
      <c r="Z266" s="115"/>
      <c r="AA266" s="116"/>
      <c r="AC266" s="11">
        <v>46285</v>
      </c>
      <c r="AD266" s="33" t="s">
        <v>7</v>
      </c>
      <c r="AE266" s="114"/>
      <c r="AF266" s="115"/>
      <c r="AG266" s="115"/>
      <c r="AH266" s="116"/>
      <c r="AJ266" s="11">
        <v>46285</v>
      </c>
      <c r="AK266" s="33" t="s">
        <v>7</v>
      </c>
      <c r="AL266" s="114"/>
      <c r="AM266" s="115"/>
      <c r="AN266" s="115"/>
      <c r="AO266" s="116"/>
      <c r="AQ266" s="11">
        <v>46285</v>
      </c>
      <c r="AR266" s="33" t="s">
        <v>7</v>
      </c>
      <c r="AS266" s="114"/>
      <c r="AT266" s="115"/>
      <c r="AU266" s="115"/>
      <c r="AV266" s="116"/>
      <c r="AX266" s="11">
        <v>46284</v>
      </c>
      <c r="AY266" s="33" t="s">
        <v>6</v>
      </c>
      <c r="AZ266" s="114"/>
      <c r="BA266" s="115"/>
      <c r="BB266" s="115"/>
      <c r="BC266" s="116"/>
      <c r="BE266" s="11">
        <v>46285</v>
      </c>
      <c r="BF266" s="33" t="s">
        <v>7</v>
      </c>
      <c r="BG266" s="33"/>
      <c r="BH266" s="19"/>
      <c r="BI266" s="19"/>
      <c r="BJ266" s="20"/>
      <c r="BL266" s="11">
        <v>46285</v>
      </c>
      <c r="BM266" s="33" t="s">
        <v>7</v>
      </c>
      <c r="BN266" s="114"/>
      <c r="BO266" s="115"/>
      <c r="BP266" s="115"/>
      <c r="BQ266" s="116"/>
      <c r="BS266" s="11">
        <v>46285</v>
      </c>
      <c r="BT266" s="33" t="s">
        <v>7</v>
      </c>
      <c r="BU266" s="114"/>
      <c r="BV266" s="115"/>
      <c r="BW266" s="115"/>
      <c r="BX266" s="116"/>
      <c r="BZ266" s="11">
        <v>46284</v>
      </c>
      <c r="CA266" s="33" t="s">
        <v>6</v>
      </c>
      <c r="CB266" s="114"/>
      <c r="CC266" s="115"/>
      <c r="CD266" s="115"/>
      <c r="CE266" s="116"/>
      <c r="CG266" s="11">
        <v>46285</v>
      </c>
      <c r="CH266" s="33" t="s">
        <v>7</v>
      </c>
      <c r="CI266" s="114"/>
      <c r="CJ266" s="115"/>
      <c r="CK266" s="115"/>
      <c r="CL266" s="116"/>
      <c r="CN266" s="11">
        <v>46285</v>
      </c>
      <c r="CO266" s="33" t="s">
        <v>7</v>
      </c>
      <c r="CP266" s="114"/>
      <c r="CQ266" s="115"/>
      <c r="CR266" s="115"/>
      <c r="CS266" s="116"/>
      <c r="CU266" s="11">
        <v>46285</v>
      </c>
      <c r="CV266" s="33" t="s">
        <v>7</v>
      </c>
      <c r="CW266" s="114"/>
      <c r="CX266" s="115"/>
      <c r="CY266" s="115"/>
      <c r="CZ266" s="116"/>
      <c r="DB266" s="11">
        <v>46283</v>
      </c>
      <c r="DC266" s="33" t="s">
        <v>5</v>
      </c>
      <c r="DD266" s="114"/>
      <c r="DE266" s="115"/>
      <c r="DF266" s="115"/>
      <c r="DG266" s="116"/>
      <c r="DI266" s="11">
        <v>46285</v>
      </c>
      <c r="DJ266" s="33" t="s">
        <v>7</v>
      </c>
      <c r="DK266" s="114"/>
      <c r="DL266" s="115"/>
      <c r="DM266" s="115"/>
      <c r="DN266" s="116"/>
      <c r="DP266" s="11">
        <v>46283</v>
      </c>
      <c r="DQ266" s="33" t="s">
        <v>5</v>
      </c>
      <c r="DR266" s="114"/>
      <c r="DS266" s="115"/>
      <c r="DT266" s="115"/>
      <c r="DU266" s="116"/>
      <c r="DW266" s="11">
        <v>46285</v>
      </c>
      <c r="DX266" s="33" t="s">
        <v>7</v>
      </c>
      <c r="DY266" s="114"/>
      <c r="DZ266" s="115"/>
      <c r="EA266" s="115"/>
      <c r="EB266" s="116"/>
    </row>
    <row r="267" spans="1:132" x14ac:dyDescent="0.25">
      <c r="A267" s="11">
        <v>46286</v>
      </c>
      <c r="B267" s="33" t="s">
        <v>8</v>
      </c>
      <c r="C267" s="114"/>
      <c r="D267" s="115"/>
      <c r="E267" s="115"/>
      <c r="F267" s="116"/>
      <c r="H267" s="11">
        <v>46286</v>
      </c>
      <c r="I267" s="33" t="s">
        <v>8</v>
      </c>
      <c r="J267" s="114"/>
      <c r="K267" s="115"/>
      <c r="L267" s="115"/>
      <c r="M267" s="116"/>
      <c r="O267" s="11">
        <v>46286</v>
      </c>
      <c r="P267" s="33" t="s">
        <v>8</v>
      </c>
      <c r="Q267" s="114"/>
      <c r="R267" s="115"/>
      <c r="S267" s="115"/>
      <c r="T267" s="116"/>
      <c r="V267" s="11">
        <v>46285</v>
      </c>
      <c r="W267" s="33" t="s">
        <v>7</v>
      </c>
      <c r="X267" s="114"/>
      <c r="Y267" s="115"/>
      <c r="Z267" s="115"/>
      <c r="AA267" s="116"/>
      <c r="AC267" s="11">
        <v>46286</v>
      </c>
      <c r="AD267" s="33" t="s">
        <v>8</v>
      </c>
      <c r="AE267" s="114"/>
      <c r="AF267" s="115"/>
      <c r="AG267" s="115"/>
      <c r="AH267" s="116"/>
      <c r="AJ267" s="11">
        <v>46286</v>
      </c>
      <c r="AK267" s="33" t="s">
        <v>8</v>
      </c>
      <c r="AL267" s="114"/>
      <c r="AM267" s="115"/>
      <c r="AN267" s="115"/>
      <c r="AO267" s="116"/>
      <c r="AQ267" s="11">
        <v>46286</v>
      </c>
      <c r="AR267" s="33" t="s">
        <v>8</v>
      </c>
      <c r="AS267" s="114"/>
      <c r="AT267" s="115"/>
      <c r="AU267" s="115"/>
      <c r="AV267" s="116"/>
      <c r="AX267" s="11">
        <v>46285</v>
      </c>
      <c r="AY267" s="33" t="s">
        <v>7</v>
      </c>
      <c r="AZ267" s="114"/>
      <c r="BA267" s="115"/>
      <c r="BB267" s="115"/>
      <c r="BC267" s="116"/>
      <c r="BE267" s="11">
        <v>46286</v>
      </c>
      <c r="BF267" s="33" t="s">
        <v>8</v>
      </c>
      <c r="BG267" s="33"/>
      <c r="BH267" s="19"/>
      <c r="BI267" s="19"/>
      <c r="BJ267" s="20"/>
      <c r="BL267" s="11">
        <v>46286</v>
      </c>
      <c r="BM267" s="33" t="s">
        <v>8</v>
      </c>
      <c r="BN267" s="114"/>
      <c r="BO267" s="115"/>
      <c r="BP267" s="115"/>
      <c r="BQ267" s="116"/>
      <c r="BS267" s="11">
        <v>46286</v>
      </c>
      <c r="BT267" s="33" t="s">
        <v>8</v>
      </c>
      <c r="BU267" s="114"/>
      <c r="BV267" s="115"/>
      <c r="BW267" s="115"/>
      <c r="BX267" s="116"/>
      <c r="BZ267" s="11">
        <v>46285</v>
      </c>
      <c r="CA267" s="33" t="s">
        <v>7</v>
      </c>
      <c r="CB267" s="114"/>
      <c r="CC267" s="115"/>
      <c r="CD267" s="115"/>
      <c r="CE267" s="116"/>
      <c r="CG267" s="11">
        <v>46286</v>
      </c>
      <c r="CH267" s="33" t="s">
        <v>8</v>
      </c>
      <c r="CI267" s="114"/>
      <c r="CJ267" s="115"/>
      <c r="CK267" s="115"/>
      <c r="CL267" s="116"/>
      <c r="CN267" s="11">
        <v>46286</v>
      </c>
      <c r="CO267" s="33" t="s">
        <v>8</v>
      </c>
      <c r="CP267" s="114"/>
      <c r="CQ267" s="115"/>
      <c r="CR267" s="115"/>
      <c r="CS267" s="116"/>
      <c r="CU267" s="11">
        <v>46286</v>
      </c>
      <c r="CV267" s="33" t="s">
        <v>8</v>
      </c>
      <c r="CW267" s="114"/>
      <c r="CX267" s="115"/>
      <c r="CY267" s="115"/>
      <c r="CZ267" s="116"/>
      <c r="DB267" s="11">
        <v>46284</v>
      </c>
      <c r="DC267" s="33" t="s">
        <v>6</v>
      </c>
      <c r="DD267" s="114"/>
      <c r="DE267" s="115"/>
      <c r="DF267" s="115"/>
      <c r="DG267" s="116"/>
      <c r="DI267" s="11">
        <v>46286</v>
      </c>
      <c r="DJ267" s="33" t="s">
        <v>8</v>
      </c>
      <c r="DK267" s="114"/>
      <c r="DL267" s="115"/>
      <c r="DM267" s="115"/>
      <c r="DN267" s="116"/>
      <c r="DP267" s="11">
        <v>46284</v>
      </c>
      <c r="DQ267" s="33" t="s">
        <v>6</v>
      </c>
      <c r="DR267" s="114"/>
      <c r="DS267" s="115"/>
      <c r="DT267" s="115"/>
      <c r="DU267" s="116"/>
      <c r="DW267" s="11">
        <v>46286</v>
      </c>
      <c r="DX267" s="33" t="s">
        <v>8</v>
      </c>
      <c r="DY267" s="114"/>
      <c r="DZ267" s="115"/>
      <c r="EA267" s="115"/>
      <c r="EB267" s="116"/>
    </row>
    <row r="268" spans="1:132" x14ac:dyDescent="0.25">
      <c r="A268" s="11">
        <v>46287</v>
      </c>
      <c r="B268" s="33" t="s">
        <v>9</v>
      </c>
      <c r="C268" s="114"/>
      <c r="D268" s="115"/>
      <c r="E268" s="115"/>
      <c r="F268" s="116"/>
      <c r="H268" s="11">
        <v>46287</v>
      </c>
      <c r="I268" s="33" t="s">
        <v>9</v>
      </c>
      <c r="J268" s="114"/>
      <c r="K268" s="115"/>
      <c r="L268" s="115"/>
      <c r="M268" s="116"/>
      <c r="O268" s="11">
        <v>46287</v>
      </c>
      <c r="P268" s="33" t="s">
        <v>9</v>
      </c>
      <c r="Q268" s="114"/>
      <c r="R268" s="115"/>
      <c r="S268" s="115"/>
      <c r="T268" s="116"/>
      <c r="V268" s="11">
        <v>46286</v>
      </c>
      <c r="W268" s="33" t="s">
        <v>8</v>
      </c>
      <c r="X268" s="114"/>
      <c r="Y268" s="115"/>
      <c r="Z268" s="115"/>
      <c r="AA268" s="116"/>
      <c r="AC268" s="11">
        <v>46287</v>
      </c>
      <c r="AD268" s="33" t="s">
        <v>9</v>
      </c>
      <c r="AE268" s="114"/>
      <c r="AF268" s="115"/>
      <c r="AG268" s="115"/>
      <c r="AH268" s="116"/>
      <c r="AJ268" s="11">
        <v>46287</v>
      </c>
      <c r="AK268" s="33" t="s">
        <v>9</v>
      </c>
      <c r="AL268" s="114"/>
      <c r="AM268" s="115"/>
      <c r="AN268" s="115"/>
      <c r="AO268" s="116"/>
      <c r="AQ268" s="11">
        <v>46287</v>
      </c>
      <c r="AR268" s="33" t="s">
        <v>9</v>
      </c>
      <c r="AS268" s="114"/>
      <c r="AT268" s="115"/>
      <c r="AU268" s="115"/>
      <c r="AV268" s="116"/>
      <c r="AX268" s="11">
        <v>46286</v>
      </c>
      <c r="AY268" s="33" t="s">
        <v>8</v>
      </c>
      <c r="AZ268" s="114"/>
      <c r="BA268" s="115"/>
      <c r="BB268" s="115"/>
      <c r="BC268" s="116"/>
      <c r="BE268" s="11">
        <v>46287</v>
      </c>
      <c r="BF268" s="33" t="s">
        <v>9</v>
      </c>
      <c r="BG268" s="33"/>
      <c r="BH268" s="19"/>
      <c r="BI268" s="19"/>
      <c r="BJ268" s="20"/>
      <c r="BL268" s="11">
        <v>46287</v>
      </c>
      <c r="BM268" s="33" t="s">
        <v>9</v>
      </c>
      <c r="BN268" s="114"/>
      <c r="BO268" s="115"/>
      <c r="BP268" s="115"/>
      <c r="BQ268" s="116"/>
      <c r="BS268" s="11">
        <v>46287</v>
      </c>
      <c r="BT268" s="33" t="s">
        <v>9</v>
      </c>
      <c r="BU268" s="114"/>
      <c r="BV268" s="115"/>
      <c r="BW268" s="115"/>
      <c r="BX268" s="116"/>
      <c r="BZ268" s="11">
        <v>46286</v>
      </c>
      <c r="CA268" s="33" t="s">
        <v>8</v>
      </c>
      <c r="CB268" s="114"/>
      <c r="CC268" s="115"/>
      <c r="CD268" s="115"/>
      <c r="CE268" s="116"/>
      <c r="CG268" s="11">
        <v>46287</v>
      </c>
      <c r="CH268" s="33" t="s">
        <v>9</v>
      </c>
      <c r="CI268" s="114"/>
      <c r="CJ268" s="115"/>
      <c r="CK268" s="115"/>
      <c r="CL268" s="116"/>
      <c r="CN268" s="11">
        <v>46287</v>
      </c>
      <c r="CO268" s="33" t="s">
        <v>9</v>
      </c>
      <c r="CP268" s="114"/>
      <c r="CQ268" s="115"/>
      <c r="CR268" s="115"/>
      <c r="CS268" s="116"/>
      <c r="CU268" s="11">
        <v>46287</v>
      </c>
      <c r="CV268" s="33" t="s">
        <v>9</v>
      </c>
      <c r="CW268" s="114"/>
      <c r="CX268" s="115"/>
      <c r="CY268" s="115"/>
      <c r="CZ268" s="116"/>
      <c r="DB268" s="11">
        <v>46285</v>
      </c>
      <c r="DC268" s="33" t="s">
        <v>7</v>
      </c>
      <c r="DD268" s="114"/>
      <c r="DE268" s="115"/>
      <c r="DF268" s="115"/>
      <c r="DG268" s="116"/>
      <c r="DI268" s="11">
        <v>46287</v>
      </c>
      <c r="DJ268" s="33" t="s">
        <v>9</v>
      </c>
      <c r="DK268" s="114"/>
      <c r="DL268" s="115"/>
      <c r="DM268" s="115"/>
      <c r="DN268" s="116"/>
      <c r="DP268" s="11">
        <v>46285</v>
      </c>
      <c r="DQ268" s="33" t="s">
        <v>7</v>
      </c>
      <c r="DR268" s="114"/>
      <c r="DS268" s="115"/>
      <c r="DT268" s="115"/>
      <c r="DU268" s="116"/>
      <c r="DW268" s="11">
        <v>46287</v>
      </c>
      <c r="DX268" s="33" t="s">
        <v>9</v>
      </c>
      <c r="DY268" s="114"/>
      <c r="DZ268" s="115"/>
      <c r="EA268" s="115"/>
      <c r="EB268" s="116"/>
    </row>
    <row r="269" spans="1:132" x14ac:dyDescent="0.25">
      <c r="A269" s="11">
        <v>46288</v>
      </c>
      <c r="B269" s="33" t="s">
        <v>3</v>
      </c>
      <c r="C269" s="114"/>
      <c r="D269" s="115"/>
      <c r="E269" s="115"/>
      <c r="F269" s="116"/>
      <c r="H269" s="11">
        <v>46288</v>
      </c>
      <c r="I269" s="33" t="s">
        <v>3</v>
      </c>
      <c r="J269" s="114"/>
      <c r="K269" s="115"/>
      <c r="L269" s="115"/>
      <c r="M269" s="116"/>
      <c r="O269" s="11">
        <v>46288</v>
      </c>
      <c r="P269" s="33" t="s">
        <v>3</v>
      </c>
      <c r="Q269" s="114"/>
      <c r="R269" s="115"/>
      <c r="S269" s="115"/>
      <c r="T269" s="116"/>
      <c r="V269" s="11">
        <v>46287</v>
      </c>
      <c r="W269" s="33" t="s">
        <v>9</v>
      </c>
      <c r="X269" s="114"/>
      <c r="Y269" s="115"/>
      <c r="Z269" s="115"/>
      <c r="AA269" s="116"/>
      <c r="AC269" s="11">
        <v>46288</v>
      </c>
      <c r="AD269" s="33" t="s">
        <v>3</v>
      </c>
      <c r="AE269" s="114"/>
      <c r="AF269" s="115"/>
      <c r="AG269" s="115"/>
      <c r="AH269" s="116"/>
      <c r="AJ269" s="11">
        <v>46288</v>
      </c>
      <c r="AK269" s="33" t="s">
        <v>3</v>
      </c>
      <c r="AL269" s="114"/>
      <c r="AM269" s="115"/>
      <c r="AN269" s="115"/>
      <c r="AO269" s="116"/>
      <c r="AQ269" s="11">
        <v>46288</v>
      </c>
      <c r="AR269" s="33" t="s">
        <v>3</v>
      </c>
      <c r="AS269" s="114"/>
      <c r="AT269" s="115"/>
      <c r="AU269" s="115"/>
      <c r="AV269" s="116"/>
      <c r="AX269" s="11">
        <v>46287</v>
      </c>
      <c r="AY269" s="33" t="s">
        <v>9</v>
      </c>
      <c r="AZ269" s="114"/>
      <c r="BA269" s="115"/>
      <c r="BB269" s="115"/>
      <c r="BC269" s="116"/>
      <c r="BE269" s="11">
        <v>46288</v>
      </c>
      <c r="BF269" s="33" t="s">
        <v>3</v>
      </c>
      <c r="BG269" s="33"/>
      <c r="BH269" s="19"/>
      <c r="BI269" s="19"/>
      <c r="BJ269" s="20"/>
      <c r="BL269" s="11">
        <v>46288</v>
      </c>
      <c r="BM269" s="33" t="s">
        <v>3</v>
      </c>
      <c r="BN269" s="114"/>
      <c r="BO269" s="115"/>
      <c r="BP269" s="115"/>
      <c r="BQ269" s="116"/>
      <c r="BS269" s="11">
        <v>46288</v>
      </c>
      <c r="BT269" s="33" t="s">
        <v>3</v>
      </c>
      <c r="BU269" s="114"/>
      <c r="BV269" s="115"/>
      <c r="BW269" s="115"/>
      <c r="BX269" s="116"/>
      <c r="BZ269" s="11">
        <v>46287</v>
      </c>
      <c r="CA269" s="33" t="s">
        <v>9</v>
      </c>
      <c r="CB269" s="114"/>
      <c r="CC269" s="115"/>
      <c r="CD269" s="115"/>
      <c r="CE269" s="116"/>
      <c r="CG269" s="11">
        <v>46288</v>
      </c>
      <c r="CH269" s="33" t="s">
        <v>3</v>
      </c>
      <c r="CI269" s="114"/>
      <c r="CJ269" s="115"/>
      <c r="CK269" s="115"/>
      <c r="CL269" s="116"/>
      <c r="CN269" s="11">
        <v>46288</v>
      </c>
      <c r="CO269" s="33" t="s">
        <v>3</v>
      </c>
      <c r="CP269" s="114"/>
      <c r="CQ269" s="115"/>
      <c r="CR269" s="115"/>
      <c r="CS269" s="116"/>
      <c r="CU269" s="11">
        <v>46288</v>
      </c>
      <c r="CV269" s="33" t="s">
        <v>3</v>
      </c>
      <c r="CW269" s="114"/>
      <c r="CX269" s="115"/>
      <c r="CY269" s="115"/>
      <c r="CZ269" s="116"/>
      <c r="DB269" s="11">
        <v>46286</v>
      </c>
      <c r="DC269" s="33" t="s">
        <v>8</v>
      </c>
      <c r="DD269" s="114"/>
      <c r="DE269" s="115"/>
      <c r="DF269" s="115"/>
      <c r="DG269" s="116"/>
      <c r="DI269" s="11">
        <v>46288</v>
      </c>
      <c r="DJ269" s="33" t="s">
        <v>3</v>
      </c>
      <c r="DK269" s="114"/>
      <c r="DL269" s="115"/>
      <c r="DM269" s="115"/>
      <c r="DN269" s="116"/>
      <c r="DP269" s="11">
        <v>46286</v>
      </c>
      <c r="DQ269" s="33" t="s">
        <v>8</v>
      </c>
      <c r="DR269" s="114"/>
      <c r="DS269" s="115"/>
      <c r="DT269" s="115"/>
      <c r="DU269" s="116"/>
      <c r="DW269" s="11">
        <v>46288</v>
      </c>
      <c r="DX269" s="33" t="s">
        <v>3</v>
      </c>
      <c r="DY269" s="114"/>
      <c r="DZ269" s="115"/>
      <c r="EA269" s="115"/>
      <c r="EB269" s="116"/>
    </row>
    <row r="270" spans="1:132" x14ac:dyDescent="0.25">
      <c r="A270" s="11">
        <v>46289</v>
      </c>
      <c r="B270" s="33" t="s">
        <v>4</v>
      </c>
      <c r="C270" s="114"/>
      <c r="D270" s="115"/>
      <c r="E270" s="115"/>
      <c r="F270" s="116"/>
      <c r="H270" s="11">
        <v>46289</v>
      </c>
      <c r="I270" s="33" t="s">
        <v>4</v>
      </c>
      <c r="J270" s="114"/>
      <c r="K270" s="115"/>
      <c r="L270" s="115"/>
      <c r="M270" s="116"/>
      <c r="O270" s="11">
        <v>46289</v>
      </c>
      <c r="P270" s="33" t="s">
        <v>4</v>
      </c>
      <c r="Q270" s="114"/>
      <c r="R270" s="115"/>
      <c r="S270" s="115"/>
      <c r="T270" s="116"/>
      <c r="V270" s="11">
        <v>46288</v>
      </c>
      <c r="W270" s="33" t="s">
        <v>3</v>
      </c>
      <c r="X270" s="114"/>
      <c r="Y270" s="115"/>
      <c r="Z270" s="115"/>
      <c r="AA270" s="116"/>
      <c r="AC270" s="11">
        <v>46289</v>
      </c>
      <c r="AD270" s="33" t="s">
        <v>4</v>
      </c>
      <c r="AE270" s="114"/>
      <c r="AF270" s="115"/>
      <c r="AG270" s="115"/>
      <c r="AH270" s="116"/>
      <c r="AJ270" s="11">
        <v>46289</v>
      </c>
      <c r="AK270" s="33" t="s">
        <v>4</v>
      </c>
      <c r="AL270" s="114"/>
      <c r="AM270" s="115"/>
      <c r="AN270" s="115"/>
      <c r="AO270" s="116"/>
      <c r="AQ270" s="11">
        <v>46289</v>
      </c>
      <c r="AR270" s="33" t="s">
        <v>4</v>
      </c>
      <c r="AS270" s="114"/>
      <c r="AT270" s="115"/>
      <c r="AU270" s="115"/>
      <c r="AV270" s="116"/>
      <c r="AX270" s="11">
        <v>46288</v>
      </c>
      <c r="AY270" s="33" t="s">
        <v>3</v>
      </c>
      <c r="AZ270" s="114"/>
      <c r="BA270" s="115"/>
      <c r="BB270" s="115"/>
      <c r="BC270" s="116"/>
      <c r="BE270" s="11">
        <v>46289</v>
      </c>
      <c r="BF270" s="33" t="s">
        <v>4</v>
      </c>
      <c r="BG270" s="33"/>
      <c r="BH270" s="19"/>
      <c r="BI270" s="19"/>
      <c r="BJ270" s="20"/>
      <c r="BL270" s="11">
        <v>46289</v>
      </c>
      <c r="BM270" s="33" t="s">
        <v>4</v>
      </c>
      <c r="BN270" s="114"/>
      <c r="BO270" s="115"/>
      <c r="BP270" s="115"/>
      <c r="BQ270" s="116"/>
      <c r="BS270" s="11">
        <v>46289</v>
      </c>
      <c r="BT270" s="33" t="s">
        <v>4</v>
      </c>
      <c r="BU270" s="114"/>
      <c r="BV270" s="115"/>
      <c r="BW270" s="115"/>
      <c r="BX270" s="116"/>
      <c r="BZ270" s="11">
        <v>46288</v>
      </c>
      <c r="CA270" s="33" t="s">
        <v>3</v>
      </c>
      <c r="CB270" s="114"/>
      <c r="CC270" s="115"/>
      <c r="CD270" s="115"/>
      <c r="CE270" s="116"/>
      <c r="CG270" s="11">
        <v>46289</v>
      </c>
      <c r="CH270" s="33" t="s">
        <v>4</v>
      </c>
      <c r="CI270" s="114"/>
      <c r="CJ270" s="115"/>
      <c r="CK270" s="115"/>
      <c r="CL270" s="116"/>
      <c r="CN270" s="11">
        <v>46289</v>
      </c>
      <c r="CO270" s="33" t="s">
        <v>4</v>
      </c>
      <c r="CP270" s="114"/>
      <c r="CQ270" s="115"/>
      <c r="CR270" s="115"/>
      <c r="CS270" s="116"/>
      <c r="CU270" s="11">
        <v>46289</v>
      </c>
      <c r="CV270" s="33" t="s">
        <v>4</v>
      </c>
      <c r="CW270" s="114"/>
      <c r="CX270" s="115"/>
      <c r="CY270" s="115"/>
      <c r="CZ270" s="116"/>
      <c r="DB270" s="11">
        <v>46287</v>
      </c>
      <c r="DC270" s="33" t="s">
        <v>9</v>
      </c>
      <c r="DD270" s="114"/>
      <c r="DE270" s="115"/>
      <c r="DF270" s="115"/>
      <c r="DG270" s="116"/>
      <c r="DI270" s="11">
        <v>46289</v>
      </c>
      <c r="DJ270" s="33" t="s">
        <v>4</v>
      </c>
      <c r="DK270" s="114"/>
      <c r="DL270" s="115"/>
      <c r="DM270" s="115"/>
      <c r="DN270" s="116"/>
      <c r="DP270" s="11">
        <v>46287</v>
      </c>
      <c r="DQ270" s="33" t="s">
        <v>9</v>
      </c>
      <c r="DR270" s="114"/>
      <c r="DS270" s="115"/>
      <c r="DT270" s="115"/>
      <c r="DU270" s="116"/>
      <c r="DW270" s="11">
        <v>46289</v>
      </c>
      <c r="DX270" s="33" t="s">
        <v>4</v>
      </c>
      <c r="DY270" s="114"/>
      <c r="DZ270" s="115"/>
      <c r="EA270" s="115"/>
      <c r="EB270" s="116"/>
    </row>
    <row r="271" spans="1:132" x14ac:dyDescent="0.25">
      <c r="A271" s="11">
        <v>46290</v>
      </c>
      <c r="B271" s="66" t="s">
        <v>5</v>
      </c>
      <c r="C271" s="117"/>
      <c r="D271" s="115"/>
      <c r="E271" s="115"/>
      <c r="F271" s="116"/>
      <c r="H271" s="11">
        <v>46290</v>
      </c>
      <c r="I271" s="66" t="s">
        <v>5</v>
      </c>
      <c r="J271" s="117"/>
      <c r="K271" s="115"/>
      <c r="L271" s="115"/>
      <c r="M271" s="116"/>
      <c r="O271" s="11">
        <v>46290</v>
      </c>
      <c r="P271" s="66" t="s">
        <v>5</v>
      </c>
      <c r="Q271" s="117"/>
      <c r="R271" s="115"/>
      <c r="S271" s="115"/>
      <c r="T271" s="116"/>
      <c r="V271" s="11">
        <v>46289</v>
      </c>
      <c r="W271" s="33" t="s">
        <v>4</v>
      </c>
      <c r="X271" s="114"/>
      <c r="Y271" s="115"/>
      <c r="Z271" s="115"/>
      <c r="AA271" s="116"/>
      <c r="AC271" s="11">
        <v>46290</v>
      </c>
      <c r="AD271" s="66" t="s">
        <v>5</v>
      </c>
      <c r="AE271" s="117"/>
      <c r="AF271" s="115"/>
      <c r="AG271" s="115"/>
      <c r="AH271" s="116"/>
      <c r="AJ271" s="11">
        <v>46290</v>
      </c>
      <c r="AK271" s="66" t="s">
        <v>5</v>
      </c>
      <c r="AL271" s="117"/>
      <c r="AM271" s="115"/>
      <c r="AN271" s="115"/>
      <c r="AO271" s="116"/>
      <c r="AQ271" s="11">
        <v>46290</v>
      </c>
      <c r="AR271" s="66" t="s">
        <v>5</v>
      </c>
      <c r="AS271" s="117"/>
      <c r="AT271" s="115"/>
      <c r="AU271" s="115"/>
      <c r="AV271" s="116"/>
      <c r="AX271" s="11">
        <v>46289</v>
      </c>
      <c r="AY271" s="33" t="s">
        <v>4</v>
      </c>
      <c r="AZ271" s="114"/>
      <c r="BA271" s="115"/>
      <c r="BB271" s="115"/>
      <c r="BC271" s="116"/>
      <c r="BE271" s="11">
        <v>46290</v>
      </c>
      <c r="BF271" s="66" t="s">
        <v>5</v>
      </c>
      <c r="BG271" s="66"/>
      <c r="BH271" s="19"/>
      <c r="BI271" s="19"/>
      <c r="BJ271" s="20"/>
      <c r="BL271" s="11">
        <v>46290</v>
      </c>
      <c r="BM271" s="66" t="s">
        <v>5</v>
      </c>
      <c r="BN271" s="117"/>
      <c r="BO271" s="115"/>
      <c r="BP271" s="115"/>
      <c r="BQ271" s="116"/>
      <c r="BS271" s="11">
        <v>46290</v>
      </c>
      <c r="BT271" s="66" t="s">
        <v>5</v>
      </c>
      <c r="BU271" s="117"/>
      <c r="BV271" s="115"/>
      <c r="BW271" s="115"/>
      <c r="BX271" s="116"/>
      <c r="BZ271" s="11">
        <v>46289</v>
      </c>
      <c r="CA271" s="33" t="s">
        <v>4</v>
      </c>
      <c r="CB271" s="114"/>
      <c r="CC271" s="115"/>
      <c r="CD271" s="115"/>
      <c r="CE271" s="116"/>
      <c r="CG271" s="11">
        <v>46290</v>
      </c>
      <c r="CH271" s="66" t="s">
        <v>5</v>
      </c>
      <c r="CI271" s="117"/>
      <c r="CJ271" s="115"/>
      <c r="CK271" s="115"/>
      <c r="CL271" s="116"/>
      <c r="CN271" s="11">
        <v>46290</v>
      </c>
      <c r="CO271" s="66" t="s">
        <v>5</v>
      </c>
      <c r="CP271" s="117"/>
      <c r="CQ271" s="115"/>
      <c r="CR271" s="115"/>
      <c r="CS271" s="116"/>
      <c r="CU271" s="11">
        <v>46290</v>
      </c>
      <c r="CV271" s="66" t="s">
        <v>5</v>
      </c>
      <c r="CW271" s="117"/>
      <c r="CX271" s="115"/>
      <c r="CY271" s="115"/>
      <c r="CZ271" s="116"/>
      <c r="DB271" s="11">
        <v>46288</v>
      </c>
      <c r="DC271" s="33" t="s">
        <v>3</v>
      </c>
      <c r="DD271" s="114"/>
      <c r="DE271" s="115"/>
      <c r="DF271" s="115"/>
      <c r="DG271" s="116"/>
      <c r="DI271" s="11">
        <v>46290</v>
      </c>
      <c r="DJ271" s="66" t="s">
        <v>5</v>
      </c>
      <c r="DK271" s="117"/>
      <c r="DL271" s="115"/>
      <c r="DM271" s="115"/>
      <c r="DN271" s="116"/>
      <c r="DP271" s="11">
        <v>46288</v>
      </c>
      <c r="DQ271" s="33" t="s">
        <v>3</v>
      </c>
      <c r="DR271" s="114"/>
      <c r="DS271" s="115"/>
      <c r="DT271" s="115"/>
      <c r="DU271" s="116"/>
      <c r="DW271" s="11">
        <v>46290</v>
      </c>
      <c r="DX271" s="66" t="s">
        <v>5</v>
      </c>
      <c r="DY271" s="117"/>
      <c r="DZ271" s="115"/>
      <c r="EA271" s="115"/>
      <c r="EB271" s="116"/>
    </row>
    <row r="272" spans="1:132" x14ac:dyDescent="0.25">
      <c r="A272" s="11">
        <v>46291</v>
      </c>
      <c r="B272" s="66" t="s">
        <v>6</v>
      </c>
      <c r="C272" s="117"/>
      <c r="D272" s="115"/>
      <c r="E272" s="115"/>
      <c r="F272" s="116"/>
      <c r="H272" s="11">
        <v>46291</v>
      </c>
      <c r="I272" s="66" t="s">
        <v>6</v>
      </c>
      <c r="J272" s="117"/>
      <c r="K272" s="115"/>
      <c r="L272" s="115"/>
      <c r="M272" s="116"/>
      <c r="O272" s="11">
        <v>46291</v>
      </c>
      <c r="P272" s="66" t="s">
        <v>6</v>
      </c>
      <c r="Q272" s="117"/>
      <c r="R272" s="115"/>
      <c r="S272" s="115"/>
      <c r="T272" s="116"/>
      <c r="V272" s="11">
        <v>46290</v>
      </c>
      <c r="W272" s="66" t="s">
        <v>5</v>
      </c>
      <c r="X272" s="117"/>
      <c r="Y272" s="115"/>
      <c r="Z272" s="115"/>
      <c r="AA272" s="116"/>
      <c r="AC272" s="11">
        <v>46291</v>
      </c>
      <c r="AD272" s="66" t="s">
        <v>6</v>
      </c>
      <c r="AE272" s="117"/>
      <c r="AF272" s="115"/>
      <c r="AG272" s="115"/>
      <c r="AH272" s="116"/>
      <c r="AJ272" s="11">
        <v>46291</v>
      </c>
      <c r="AK272" s="66" t="s">
        <v>6</v>
      </c>
      <c r="AL272" s="117"/>
      <c r="AM272" s="115"/>
      <c r="AN272" s="115"/>
      <c r="AO272" s="116"/>
      <c r="AQ272" s="11">
        <v>46291</v>
      </c>
      <c r="AR272" s="66" t="s">
        <v>6</v>
      </c>
      <c r="AS272" s="117"/>
      <c r="AT272" s="115"/>
      <c r="AU272" s="115"/>
      <c r="AV272" s="116"/>
      <c r="AX272" s="11">
        <v>46290</v>
      </c>
      <c r="AY272" s="66" t="s">
        <v>5</v>
      </c>
      <c r="AZ272" s="117"/>
      <c r="BA272" s="115"/>
      <c r="BB272" s="115"/>
      <c r="BC272" s="116"/>
      <c r="BE272" s="11">
        <v>46291</v>
      </c>
      <c r="BF272" s="66" t="s">
        <v>6</v>
      </c>
      <c r="BG272" s="66"/>
      <c r="BH272" s="19"/>
      <c r="BI272" s="19"/>
      <c r="BJ272" s="20"/>
      <c r="BL272" s="11">
        <v>46291</v>
      </c>
      <c r="BM272" s="66" t="s">
        <v>6</v>
      </c>
      <c r="BN272" s="117"/>
      <c r="BO272" s="115"/>
      <c r="BP272" s="115"/>
      <c r="BQ272" s="116"/>
      <c r="BS272" s="11">
        <v>46291</v>
      </c>
      <c r="BT272" s="66" t="s">
        <v>6</v>
      </c>
      <c r="BU272" s="117"/>
      <c r="BV272" s="115"/>
      <c r="BW272" s="115"/>
      <c r="BX272" s="116"/>
      <c r="BZ272" s="11">
        <v>46290</v>
      </c>
      <c r="CA272" s="66" t="s">
        <v>5</v>
      </c>
      <c r="CB272" s="117"/>
      <c r="CC272" s="115"/>
      <c r="CD272" s="115"/>
      <c r="CE272" s="116"/>
      <c r="CG272" s="11">
        <v>46291</v>
      </c>
      <c r="CH272" s="66" t="s">
        <v>6</v>
      </c>
      <c r="CI272" s="117"/>
      <c r="CJ272" s="115"/>
      <c r="CK272" s="115"/>
      <c r="CL272" s="116"/>
      <c r="CN272" s="11">
        <v>46291</v>
      </c>
      <c r="CO272" s="66" t="s">
        <v>6</v>
      </c>
      <c r="CP272" s="117"/>
      <c r="CQ272" s="115"/>
      <c r="CR272" s="115"/>
      <c r="CS272" s="116"/>
      <c r="CU272" s="11">
        <v>46291</v>
      </c>
      <c r="CV272" s="66" t="s">
        <v>6</v>
      </c>
      <c r="CW272" s="117"/>
      <c r="CX272" s="115"/>
      <c r="CY272" s="115"/>
      <c r="CZ272" s="116"/>
      <c r="DB272" s="11">
        <v>46289</v>
      </c>
      <c r="DC272" s="33" t="s">
        <v>4</v>
      </c>
      <c r="DD272" s="114"/>
      <c r="DE272" s="115"/>
      <c r="DF272" s="115"/>
      <c r="DG272" s="116"/>
      <c r="DI272" s="11">
        <v>46291</v>
      </c>
      <c r="DJ272" s="66" t="s">
        <v>6</v>
      </c>
      <c r="DK272" s="117"/>
      <c r="DL272" s="115"/>
      <c r="DM272" s="115"/>
      <c r="DN272" s="116"/>
      <c r="DP272" s="11">
        <v>46289</v>
      </c>
      <c r="DQ272" s="33" t="s">
        <v>4</v>
      </c>
      <c r="DR272" s="114"/>
      <c r="DS272" s="115"/>
      <c r="DT272" s="115"/>
      <c r="DU272" s="116"/>
      <c r="DW272" s="11">
        <v>46291</v>
      </c>
      <c r="DX272" s="66" t="s">
        <v>6</v>
      </c>
      <c r="DY272" s="117"/>
      <c r="DZ272" s="115"/>
      <c r="EA272" s="115"/>
      <c r="EB272" s="116"/>
    </row>
    <row r="273" spans="1:132" x14ac:dyDescent="0.25">
      <c r="A273" s="11">
        <v>46292</v>
      </c>
      <c r="B273" s="66" t="s">
        <v>7</v>
      </c>
      <c r="C273" s="117"/>
      <c r="D273" s="118"/>
      <c r="E273" s="115"/>
      <c r="F273" s="116"/>
      <c r="H273" s="11">
        <v>46292</v>
      </c>
      <c r="I273" s="66" t="s">
        <v>7</v>
      </c>
      <c r="J273" s="117"/>
      <c r="K273" s="118"/>
      <c r="L273" s="115"/>
      <c r="M273" s="116"/>
      <c r="O273" s="11">
        <v>46292</v>
      </c>
      <c r="P273" s="66" t="s">
        <v>7</v>
      </c>
      <c r="Q273" s="117"/>
      <c r="R273" s="118"/>
      <c r="S273" s="115"/>
      <c r="T273" s="116"/>
      <c r="V273" s="11">
        <v>46291</v>
      </c>
      <c r="W273" s="66" t="s">
        <v>6</v>
      </c>
      <c r="X273" s="117"/>
      <c r="Y273" s="115"/>
      <c r="Z273" s="115"/>
      <c r="AA273" s="116"/>
      <c r="AC273" s="11">
        <v>46292</v>
      </c>
      <c r="AD273" s="66" t="s">
        <v>7</v>
      </c>
      <c r="AE273" s="117"/>
      <c r="AF273" s="118"/>
      <c r="AG273" s="115"/>
      <c r="AH273" s="116"/>
      <c r="AJ273" s="11">
        <v>46292</v>
      </c>
      <c r="AK273" s="66" t="s">
        <v>7</v>
      </c>
      <c r="AL273" s="117"/>
      <c r="AM273" s="118"/>
      <c r="AN273" s="115"/>
      <c r="AO273" s="116"/>
      <c r="AQ273" s="11">
        <v>46292</v>
      </c>
      <c r="AR273" s="66" t="s">
        <v>7</v>
      </c>
      <c r="AS273" s="117"/>
      <c r="AT273" s="118"/>
      <c r="AU273" s="115"/>
      <c r="AV273" s="116"/>
      <c r="AX273" s="11">
        <v>46291</v>
      </c>
      <c r="AY273" s="66" t="s">
        <v>6</v>
      </c>
      <c r="AZ273" s="117"/>
      <c r="BA273" s="115"/>
      <c r="BB273" s="115"/>
      <c r="BC273" s="116"/>
      <c r="BE273" s="11">
        <v>46292</v>
      </c>
      <c r="BF273" s="66" t="s">
        <v>7</v>
      </c>
      <c r="BG273" s="66"/>
      <c r="BH273" s="29"/>
      <c r="BI273" s="19"/>
      <c r="BJ273" s="20"/>
      <c r="BL273" s="11">
        <v>46292</v>
      </c>
      <c r="BM273" s="66" t="s">
        <v>7</v>
      </c>
      <c r="BN273" s="117"/>
      <c r="BO273" s="118"/>
      <c r="BP273" s="115"/>
      <c r="BQ273" s="116"/>
      <c r="BS273" s="11">
        <v>46292</v>
      </c>
      <c r="BT273" s="66" t="s">
        <v>7</v>
      </c>
      <c r="BU273" s="117"/>
      <c r="BV273" s="118"/>
      <c r="BW273" s="115"/>
      <c r="BX273" s="116"/>
      <c r="BZ273" s="11">
        <v>46291</v>
      </c>
      <c r="CA273" s="66" t="s">
        <v>6</v>
      </c>
      <c r="CB273" s="117"/>
      <c r="CC273" s="115"/>
      <c r="CD273" s="115"/>
      <c r="CE273" s="116"/>
      <c r="CG273" s="11">
        <v>46292</v>
      </c>
      <c r="CH273" s="66" t="s">
        <v>7</v>
      </c>
      <c r="CI273" s="117"/>
      <c r="CJ273" s="118"/>
      <c r="CK273" s="115"/>
      <c r="CL273" s="116"/>
      <c r="CN273" s="11">
        <v>46292</v>
      </c>
      <c r="CO273" s="66" t="s">
        <v>7</v>
      </c>
      <c r="CP273" s="117"/>
      <c r="CQ273" s="118"/>
      <c r="CR273" s="115"/>
      <c r="CS273" s="116"/>
      <c r="CU273" s="11">
        <v>46292</v>
      </c>
      <c r="CV273" s="66" t="s">
        <v>7</v>
      </c>
      <c r="CW273" s="117"/>
      <c r="CX273" s="118"/>
      <c r="CY273" s="115"/>
      <c r="CZ273" s="116"/>
      <c r="DB273" s="11">
        <v>46290</v>
      </c>
      <c r="DC273" s="66" t="s">
        <v>5</v>
      </c>
      <c r="DD273" s="117"/>
      <c r="DE273" s="115"/>
      <c r="DF273" s="115"/>
      <c r="DG273" s="116"/>
      <c r="DI273" s="11">
        <v>46292</v>
      </c>
      <c r="DJ273" s="66" t="s">
        <v>7</v>
      </c>
      <c r="DK273" s="117"/>
      <c r="DL273" s="118"/>
      <c r="DM273" s="115"/>
      <c r="DN273" s="116"/>
      <c r="DP273" s="11">
        <v>46290</v>
      </c>
      <c r="DQ273" s="66" t="s">
        <v>5</v>
      </c>
      <c r="DR273" s="117"/>
      <c r="DS273" s="115"/>
      <c r="DT273" s="115"/>
      <c r="DU273" s="116"/>
      <c r="DW273" s="11">
        <v>46292</v>
      </c>
      <c r="DX273" s="66" t="s">
        <v>7</v>
      </c>
      <c r="DY273" s="117"/>
      <c r="DZ273" s="118"/>
      <c r="EA273" s="115"/>
      <c r="EB273" s="116"/>
    </row>
    <row r="274" spans="1:132" x14ac:dyDescent="0.25">
      <c r="A274" s="11">
        <v>46293</v>
      </c>
      <c r="B274" s="66" t="s">
        <v>8</v>
      </c>
      <c r="C274" s="117"/>
      <c r="D274" s="118"/>
      <c r="E274" s="115"/>
      <c r="F274" s="116"/>
      <c r="H274" s="11">
        <v>46293</v>
      </c>
      <c r="I274" s="66" t="s">
        <v>8</v>
      </c>
      <c r="J274" s="117"/>
      <c r="K274" s="118"/>
      <c r="L274" s="115"/>
      <c r="M274" s="116"/>
      <c r="O274" s="11">
        <v>46293</v>
      </c>
      <c r="P274" s="66" t="s">
        <v>8</v>
      </c>
      <c r="Q274" s="117"/>
      <c r="R274" s="118"/>
      <c r="S274" s="115"/>
      <c r="T274" s="116"/>
      <c r="V274" s="11">
        <v>46292</v>
      </c>
      <c r="W274" s="66" t="s">
        <v>7</v>
      </c>
      <c r="X274" s="117"/>
      <c r="Y274" s="118"/>
      <c r="Z274" s="115"/>
      <c r="AA274" s="116"/>
      <c r="AC274" s="11">
        <v>46293</v>
      </c>
      <c r="AD274" s="66" t="s">
        <v>8</v>
      </c>
      <c r="AE274" s="117"/>
      <c r="AF274" s="118"/>
      <c r="AG274" s="115"/>
      <c r="AH274" s="116"/>
      <c r="AJ274" s="11">
        <v>46293</v>
      </c>
      <c r="AK274" s="66" t="s">
        <v>8</v>
      </c>
      <c r="AL274" s="117"/>
      <c r="AM274" s="118"/>
      <c r="AN274" s="115"/>
      <c r="AO274" s="116"/>
      <c r="AQ274" s="11">
        <v>46293</v>
      </c>
      <c r="AR274" s="66" t="s">
        <v>8</v>
      </c>
      <c r="AS274" s="117"/>
      <c r="AT274" s="118"/>
      <c r="AU274" s="115"/>
      <c r="AV274" s="116"/>
      <c r="AX274" s="11">
        <v>46292</v>
      </c>
      <c r="AY274" s="66" t="s">
        <v>7</v>
      </c>
      <c r="AZ274" s="117"/>
      <c r="BA274" s="118"/>
      <c r="BB274" s="115"/>
      <c r="BC274" s="116"/>
      <c r="BE274" s="11">
        <v>46293</v>
      </c>
      <c r="BF274" s="66" t="s">
        <v>8</v>
      </c>
      <c r="BG274" s="66"/>
      <c r="BH274" s="29"/>
      <c r="BI274" s="19"/>
      <c r="BJ274" s="20"/>
      <c r="BL274" s="11">
        <v>46293</v>
      </c>
      <c r="BM274" s="66" t="s">
        <v>8</v>
      </c>
      <c r="BN274" s="117"/>
      <c r="BO274" s="118"/>
      <c r="BP274" s="115"/>
      <c r="BQ274" s="116"/>
      <c r="BS274" s="11">
        <v>46293</v>
      </c>
      <c r="BT274" s="66" t="s">
        <v>8</v>
      </c>
      <c r="BU274" s="117"/>
      <c r="BV274" s="118"/>
      <c r="BW274" s="115"/>
      <c r="BX274" s="116"/>
      <c r="BZ274" s="11">
        <v>46292</v>
      </c>
      <c r="CA274" s="66" t="s">
        <v>7</v>
      </c>
      <c r="CB274" s="117"/>
      <c r="CC274" s="118"/>
      <c r="CD274" s="115"/>
      <c r="CE274" s="116"/>
      <c r="CG274" s="11">
        <v>46293</v>
      </c>
      <c r="CH274" s="66" t="s">
        <v>8</v>
      </c>
      <c r="CI274" s="117"/>
      <c r="CJ274" s="118"/>
      <c r="CK274" s="115"/>
      <c r="CL274" s="116"/>
      <c r="CN274" s="11">
        <v>46293</v>
      </c>
      <c r="CO274" s="66" t="s">
        <v>8</v>
      </c>
      <c r="CP274" s="117"/>
      <c r="CQ274" s="118"/>
      <c r="CR274" s="115"/>
      <c r="CS274" s="116"/>
      <c r="CU274" s="11">
        <v>46293</v>
      </c>
      <c r="CV274" s="66" t="s">
        <v>8</v>
      </c>
      <c r="CW274" s="117"/>
      <c r="CX274" s="118"/>
      <c r="CY274" s="115"/>
      <c r="CZ274" s="116"/>
      <c r="DB274" s="11">
        <v>46291</v>
      </c>
      <c r="DC274" s="66" t="s">
        <v>6</v>
      </c>
      <c r="DD274" s="117"/>
      <c r="DE274" s="115"/>
      <c r="DF274" s="115"/>
      <c r="DG274" s="116"/>
      <c r="DI274" s="11">
        <v>46293</v>
      </c>
      <c r="DJ274" s="66" t="s">
        <v>8</v>
      </c>
      <c r="DK274" s="117"/>
      <c r="DL274" s="118"/>
      <c r="DM274" s="115"/>
      <c r="DN274" s="116"/>
      <c r="DP274" s="11">
        <v>46291</v>
      </c>
      <c r="DQ274" s="66" t="s">
        <v>6</v>
      </c>
      <c r="DR274" s="117"/>
      <c r="DS274" s="115"/>
      <c r="DT274" s="115"/>
      <c r="DU274" s="116"/>
      <c r="DW274" s="11">
        <v>46293</v>
      </c>
      <c r="DX274" s="66" t="s">
        <v>8</v>
      </c>
      <c r="DY274" s="117"/>
      <c r="DZ274" s="118"/>
      <c r="EA274" s="115"/>
      <c r="EB274" s="116"/>
    </row>
    <row r="275" spans="1:132" x14ac:dyDescent="0.25">
      <c r="A275" s="11">
        <v>46294</v>
      </c>
      <c r="B275" s="33" t="s">
        <v>9</v>
      </c>
      <c r="C275" s="114"/>
      <c r="D275" s="118"/>
      <c r="E275" s="115"/>
      <c r="F275" s="116"/>
      <c r="H275" s="11">
        <v>46294</v>
      </c>
      <c r="I275" s="33" t="s">
        <v>9</v>
      </c>
      <c r="J275" s="114"/>
      <c r="K275" s="118"/>
      <c r="L275" s="115"/>
      <c r="M275" s="116"/>
      <c r="O275" s="11">
        <v>46294</v>
      </c>
      <c r="P275" s="33" t="s">
        <v>9</v>
      </c>
      <c r="Q275" s="114"/>
      <c r="R275" s="118"/>
      <c r="S275" s="115"/>
      <c r="T275" s="116"/>
      <c r="V275" s="11">
        <v>46293</v>
      </c>
      <c r="W275" s="66" t="s">
        <v>8</v>
      </c>
      <c r="X275" s="117"/>
      <c r="Y275" s="118"/>
      <c r="Z275" s="115"/>
      <c r="AA275" s="116"/>
      <c r="AC275" s="11">
        <v>46294</v>
      </c>
      <c r="AD275" s="33" t="s">
        <v>9</v>
      </c>
      <c r="AE275" s="114"/>
      <c r="AF275" s="118"/>
      <c r="AG275" s="115"/>
      <c r="AH275" s="116"/>
      <c r="AJ275" s="11">
        <v>46294</v>
      </c>
      <c r="AK275" s="33" t="s">
        <v>9</v>
      </c>
      <c r="AL275" s="114"/>
      <c r="AM275" s="118"/>
      <c r="AN275" s="115"/>
      <c r="AO275" s="116"/>
      <c r="AQ275" s="11">
        <v>46294</v>
      </c>
      <c r="AR275" s="33" t="s">
        <v>9</v>
      </c>
      <c r="AS275" s="114"/>
      <c r="AT275" s="118"/>
      <c r="AU275" s="115"/>
      <c r="AV275" s="116"/>
      <c r="AX275" s="11">
        <v>46293</v>
      </c>
      <c r="AY275" s="66" t="s">
        <v>8</v>
      </c>
      <c r="AZ275" s="117"/>
      <c r="BA275" s="118"/>
      <c r="BB275" s="115"/>
      <c r="BC275" s="116"/>
      <c r="BE275" s="11">
        <v>46294</v>
      </c>
      <c r="BF275" s="33" t="s">
        <v>9</v>
      </c>
      <c r="BG275" s="33"/>
      <c r="BH275" s="29"/>
      <c r="BI275" s="19"/>
      <c r="BJ275" s="20"/>
      <c r="BL275" s="11">
        <v>46294</v>
      </c>
      <c r="BM275" s="33" t="s">
        <v>9</v>
      </c>
      <c r="BN275" s="114"/>
      <c r="BO275" s="118"/>
      <c r="BP275" s="115"/>
      <c r="BQ275" s="116"/>
      <c r="BS275" s="11">
        <v>46294</v>
      </c>
      <c r="BT275" s="33" t="s">
        <v>9</v>
      </c>
      <c r="BU275" s="114"/>
      <c r="BV275" s="118"/>
      <c r="BW275" s="115"/>
      <c r="BX275" s="116"/>
      <c r="BZ275" s="11">
        <v>46293</v>
      </c>
      <c r="CA275" s="66" t="s">
        <v>8</v>
      </c>
      <c r="CB275" s="117"/>
      <c r="CC275" s="118"/>
      <c r="CD275" s="115"/>
      <c r="CE275" s="116"/>
      <c r="CG275" s="11">
        <v>46294</v>
      </c>
      <c r="CH275" s="33" t="s">
        <v>9</v>
      </c>
      <c r="CI275" s="114"/>
      <c r="CJ275" s="118"/>
      <c r="CK275" s="115"/>
      <c r="CL275" s="116"/>
      <c r="CN275" s="11">
        <v>46294</v>
      </c>
      <c r="CO275" s="33" t="s">
        <v>9</v>
      </c>
      <c r="CP275" s="114"/>
      <c r="CQ275" s="118"/>
      <c r="CR275" s="115"/>
      <c r="CS275" s="116"/>
      <c r="CU275" s="11">
        <v>46294</v>
      </c>
      <c r="CV275" s="33" t="s">
        <v>9</v>
      </c>
      <c r="CW275" s="114"/>
      <c r="CX275" s="118"/>
      <c r="CY275" s="115"/>
      <c r="CZ275" s="116"/>
      <c r="DB275" s="11">
        <v>46292</v>
      </c>
      <c r="DC275" s="66" t="s">
        <v>7</v>
      </c>
      <c r="DD275" s="117"/>
      <c r="DE275" s="118"/>
      <c r="DF275" s="115"/>
      <c r="DG275" s="116"/>
      <c r="DI275" s="11">
        <v>46294</v>
      </c>
      <c r="DJ275" s="33" t="s">
        <v>9</v>
      </c>
      <c r="DK275" s="114"/>
      <c r="DL275" s="118"/>
      <c r="DM275" s="115"/>
      <c r="DN275" s="116"/>
      <c r="DP275" s="11">
        <v>46292</v>
      </c>
      <c r="DQ275" s="66" t="s">
        <v>7</v>
      </c>
      <c r="DR275" s="117"/>
      <c r="DS275" s="118"/>
      <c r="DT275" s="115"/>
      <c r="DU275" s="116"/>
      <c r="DW275" s="11">
        <v>46294</v>
      </c>
      <c r="DX275" s="33" t="s">
        <v>9</v>
      </c>
      <c r="DY275" s="114"/>
      <c r="DZ275" s="118"/>
      <c r="EA275" s="115"/>
      <c r="EB275" s="116"/>
    </row>
    <row r="276" spans="1:132" x14ac:dyDescent="0.25">
      <c r="A276" s="11">
        <v>46295</v>
      </c>
      <c r="B276" s="33" t="s">
        <v>3</v>
      </c>
      <c r="C276" s="114"/>
      <c r="D276" s="118"/>
      <c r="E276" s="115"/>
      <c r="F276" s="116"/>
      <c r="H276" s="11">
        <v>46295</v>
      </c>
      <c r="I276" s="33" t="s">
        <v>3</v>
      </c>
      <c r="J276" s="114"/>
      <c r="K276" s="118"/>
      <c r="L276" s="115"/>
      <c r="M276" s="116"/>
      <c r="O276" s="11">
        <v>46295</v>
      </c>
      <c r="P276" s="33" t="s">
        <v>3</v>
      </c>
      <c r="Q276" s="114"/>
      <c r="R276" s="118"/>
      <c r="S276" s="115"/>
      <c r="T276" s="116"/>
      <c r="V276" s="11">
        <v>46294</v>
      </c>
      <c r="W276" s="33" t="s">
        <v>9</v>
      </c>
      <c r="X276" s="114"/>
      <c r="Y276" s="118"/>
      <c r="Z276" s="115"/>
      <c r="AA276" s="116"/>
      <c r="AC276" s="11">
        <v>46295</v>
      </c>
      <c r="AD276" s="33" t="s">
        <v>3</v>
      </c>
      <c r="AE276" s="114"/>
      <c r="AF276" s="118"/>
      <c r="AG276" s="115"/>
      <c r="AH276" s="116"/>
      <c r="AJ276" s="11">
        <v>46295</v>
      </c>
      <c r="AK276" s="33" t="s">
        <v>3</v>
      </c>
      <c r="AL276" s="114"/>
      <c r="AM276" s="118"/>
      <c r="AN276" s="115"/>
      <c r="AO276" s="116"/>
      <c r="AQ276" s="11">
        <v>46295</v>
      </c>
      <c r="AR276" s="33" t="s">
        <v>3</v>
      </c>
      <c r="AS276" s="114"/>
      <c r="AT276" s="118"/>
      <c r="AU276" s="115"/>
      <c r="AV276" s="116"/>
      <c r="AX276" s="11">
        <v>46294</v>
      </c>
      <c r="AY276" s="33" t="s">
        <v>9</v>
      </c>
      <c r="AZ276" s="114"/>
      <c r="BA276" s="118"/>
      <c r="BB276" s="115"/>
      <c r="BC276" s="116"/>
      <c r="BE276" s="11">
        <v>46295</v>
      </c>
      <c r="BF276" s="33" t="s">
        <v>3</v>
      </c>
      <c r="BG276" s="33"/>
      <c r="BH276" s="29"/>
      <c r="BI276" s="19"/>
      <c r="BJ276" s="20"/>
      <c r="BL276" s="11">
        <v>46295</v>
      </c>
      <c r="BM276" s="33" t="s">
        <v>3</v>
      </c>
      <c r="BN276" s="114"/>
      <c r="BO276" s="118"/>
      <c r="BP276" s="115"/>
      <c r="BQ276" s="116"/>
      <c r="BS276" s="11">
        <v>46295</v>
      </c>
      <c r="BT276" s="33" t="s">
        <v>3</v>
      </c>
      <c r="BU276" s="114"/>
      <c r="BV276" s="118"/>
      <c r="BW276" s="115"/>
      <c r="BX276" s="116"/>
      <c r="BZ276" s="11">
        <v>46294</v>
      </c>
      <c r="CA276" s="33" t="s">
        <v>9</v>
      </c>
      <c r="CB276" s="114"/>
      <c r="CC276" s="118"/>
      <c r="CD276" s="115"/>
      <c r="CE276" s="116"/>
      <c r="CG276" s="11">
        <v>46295</v>
      </c>
      <c r="CH276" s="33" t="s">
        <v>3</v>
      </c>
      <c r="CI276" s="114"/>
      <c r="CJ276" s="118"/>
      <c r="CK276" s="115"/>
      <c r="CL276" s="116"/>
      <c r="CN276" s="11">
        <v>46295</v>
      </c>
      <c r="CO276" s="33" t="s">
        <v>3</v>
      </c>
      <c r="CP276" s="114"/>
      <c r="CQ276" s="118"/>
      <c r="CR276" s="115"/>
      <c r="CS276" s="116"/>
      <c r="CU276" s="11">
        <v>46295</v>
      </c>
      <c r="CV276" s="33" t="s">
        <v>3</v>
      </c>
      <c r="CW276" s="114"/>
      <c r="CX276" s="118"/>
      <c r="CY276" s="115"/>
      <c r="CZ276" s="116"/>
      <c r="DB276" s="11">
        <v>46293</v>
      </c>
      <c r="DC276" s="66" t="s">
        <v>8</v>
      </c>
      <c r="DD276" s="117"/>
      <c r="DE276" s="118"/>
      <c r="DF276" s="115"/>
      <c r="DG276" s="116"/>
      <c r="DI276" s="11">
        <v>46295</v>
      </c>
      <c r="DJ276" s="33" t="s">
        <v>3</v>
      </c>
      <c r="DK276" s="114"/>
      <c r="DL276" s="118"/>
      <c r="DM276" s="115"/>
      <c r="DN276" s="116"/>
      <c r="DP276" s="11">
        <v>46293</v>
      </c>
      <c r="DQ276" s="66" t="s">
        <v>8</v>
      </c>
      <c r="DR276" s="117"/>
      <c r="DS276" s="118"/>
      <c r="DT276" s="115"/>
      <c r="DU276" s="116"/>
      <c r="DW276" s="11">
        <v>46295</v>
      </c>
      <c r="DX276" s="33" t="s">
        <v>3</v>
      </c>
      <c r="DY276" s="114"/>
      <c r="DZ276" s="118"/>
      <c r="EA276" s="115"/>
      <c r="EB276" s="116"/>
    </row>
    <row r="277" spans="1:132" x14ac:dyDescent="0.25">
      <c r="A277" s="11">
        <v>46296</v>
      </c>
      <c r="B277" s="33" t="s">
        <v>4</v>
      </c>
      <c r="C277" s="114"/>
      <c r="D277" s="118"/>
      <c r="E277" s="115"/>
      <c r="F277" s="116"/>
      <c r="H277" s="11">
        <v>46296</v>
      </c>
      <c r="I277" s="33" t="s">
        <v>4</v>
      </c>
      <c r="J277" s="114"/>
      <c r="K277" s="118"/>
      <c r="L277" s="115"/>
      <c r="M277" s="116"/>
      <c r="O277" s="11">
        <v>46296</v>
      </c>
      <c r="P277" s="33" t="s">
        <v>4</v>
      </c>
      <c r="Q277" s="114"/>
      <c r="R277" s="118"/>
      <c r="S277" s="115"/>
      <c r="T277" s="116"/>
      <c r="V277" s="11">
        <v>46295</v>
      </c>
      <c r="W277" s="33" t="s">
        <v>3</v>
      </c>
      <c r="X277" s="114"/>
      <c r="Y277" s="118"/>
      <c r="Z277" s="115"/>
      <c r="AA277" s="116"/>
      <c r="AC277" s="11">
        <v>46296</v>
      </c>
      <c r="AD277" s="33" t="s">
        <v>4</v>
      </c>
      <c r="AE277" s="114"/>
      <c r="AF277" s="118"/>
      <c r="AG277" s="115"/>
      <c r="AH277" s="116"/>
      <c r="AJ277" s="11">
        <v>46296</v>
      </c>
      <c r="AK277" s="33" t="s">
        <v>4</v>
      </c>
      <c r="AL277" s="114"/>
      <c r="AM277" s="118"/>
      <c r="AN277" s="115"/>
      <c r="AO277" s="116"/>
      <c r="AQ277" s="11">
        <v>46296</v>
      </c>
      <c r="AR277" s="33" t="s">
        <v>4</v>
      </c>
      <c r="AS277" s="114"/>
      <c r="AT277" s="118"/>
      <c r="AU277" s="115"/>
      <c r="AV277" s="116"/>
      <c r="AX277" s="11">
        <v>46295</v>
      </c>
      <c r="AY277" s="33" t="s">
        <v>3</v>
      </c>
      <c r="AZ277" s="114"/>
      <c r="BA277" s="118"/>
      <c r="BB277" s="115"/>
      <c r="BC277" s="116"/>
      <c r="BE277" s="11">
        <v>46296</v>
      </c>
      <c r="BF277" s="33" t="s">
        <v>4</v>
      </c>
      <c r="BG277" s="33"/>
      <c r="BH277" s="29"/>
      <c r="BI277" s="19"/>
      <c r="BJ277" s="20"/>
      <c r="BL277" s="11">
        <v>46296</v>
      </c>
      <c r="BM277" s="33" t="s">
        <v>4</v>
      </c>
      <c r="BN277" s="114"/>
      <c r="BO277" s="118"/>
      <c r="BP277" s="115"/>
      <c r="BQ277" s="116"/>
      <c r="BS277" s="11">
        <v>46296</v>
      </c>
      <c r="BT277" s="33" t="s">
        <v>4</v>
      </c>
      <c r="BU277" s="114"/>
      <c r="BV277" s="118"/>
      <c r="BW277" s="115"/>
      <c r="BX277" s="116"/>
      <c r="BZ277" s="11">
        <v>46295</v>
      </c>
      <c r="CA277" s="33" t="s">
        <v>3</v>
      </c>
      <c r="CB277" s="114"/>
      <c r="CC277" s="118"/>
      <c r="CD277" s="115"/>
      <c r="CE277" s="116"/>
      <c r="CG277" s="11">
        <v>46296</v>
      </c>
      <c r="CH277" s="33" t="s">
        <v>4</v>
      </c>
      <c r="CI277" s="114"/>
      <c r="CJ277" s="118"/>
      <c r="CK277" s="115"/>
      <c r="CL277" s="116"/>
      <c r="CN277" s="11">
        <v>46296</v>
      </c>
      <c r="CO277" s="33" t="s">
        <v>4</v>
      </c>
      <c r="CP277" s="114"/>
      <c r="CQ277" s="118"/>
      <c r="CR277" s="115"/>
      <c r="CS277" s="116"/>
      <c r="CU277" s="11">
        <v>46296</v>
      </c>
      <c r="CV277" s="33" t="s">
        <v>4</v>
      </c>
      <c r="CW277" s="114"/>
      <c r="CX277" s="118"/>
      <c r="CY277" s="115"/>
      <c r="CZ277" s="116"/>
      <c r="DB277" s="11">
        <v>46294</v>
      </c>
      <c r="DC277" s="33" t="s">
        <v>9</v>
      </c>
      <c r="DD277" s="114"/>
      <c r="DE277" s="118"/>
      <c r="DF277" s="115"/>
      <c r="DG277" s="116"/>
      <c r="DI277" s="11">
        <v>46296</v>
      </c>
      <c r="DJ277" s="33" t="s">
        <v>4</v>
      </c>
      <c r="DK277" s="114"/>
      <c r="DL277" s="118"/>
      <c r="DM277" s="115"/>
      <c r="DN277" s="116"/>
      <c r="DP277" s="11">
        <v>46294</v>
      </c>
      <c r="DQ277" s="33" t="s">
        <v>9</v>
      </c>
      <c r="DR277" s="114"/>
      <c r="DS277" s="118"/>
      <c r="DT277" s="115"/>
      <c r="DU277" s="116"/>
      <c r="DW277" s="11">
        <v>46296</v>
      </c>
      <c r="DX277" s="33" t="s">
        <v>4</v>
      </c>
      <c r="DY277" s="114"/>
      <c r="DZ277" s="118"/>
      <c r="EA277" s="115"/>
      <c r="EB277" s="116"/>
    </row>
    <row r="278" spans="1:132" x14ac:dyDescent="0.25">
      <c r="A278" s="11">
        <v>46297</v>
      </c>
      <c r="B278" s="33" t="s">
        <v>5</v>
      </c>
      <c r="C278" s="114"/>
      <c r="D278" s="115"/>
      <c r="E278" s="115"/>
      <c r="F278" s="116"/>
      <c r="H278" s="11">
        <v>46297</v>
      </c>
      <c r="I278" s="33" t="s">
        <v>5</v>
      </c>
      <c r="J278" s="114"/>
      <c r="K278" s="115"/>
      <c r="L278" s="115"/>
      <c r="M278" s="116"/>
      <c r="O278" s="11">
        <v>46297</v>
      </c>
      <c r="P278" s="33" t="s">
        <v>5</v>
      </c>
      <c r="Q278" s="114"/>
      <c r="R278" s="115"/>
      <c r="S278" s="115"/>
      <c r="T278" s="116"/>
      <c r="V278" s="11">
        <v>46296</v>
      </c>
      <c r="W278" s="33" t="s">
        <v>4</v>
      </c>
      <c r="X278" s="114"/>
      <c r="Y278" s="118"/>
      <c r="Z278" s="115"/>
      <c r="AA278" s="116"/>
      <c r="AC278" s="11">
        <v>46297</v>
      </c>
      <c r="AD278" s="33" t="s">
        <v>5</v>
      </c>
      <c r="AE278" s="114"/>
      <c r="AF278" s="115"/>
      <c r="AG278" s="115"/>
      <c r="AH278" s="116"/>
      <c r="AJ278" s="11">
        <v>46297</v>
      </c>
      <c r="AK278" s="33" t="s">
        <v>5</v>
      </c>
      <c r="AL278" s="114"/>
      <c r="AM278" s="115"/>
      <c r="AN278" s="115"/>
      <c r="AO278" s="116"/>
      <c r="AQ278" s="11">
        <v>46297</v>
      </c>
      <c r="AR278" s="33" t="s">
        <v>5</v>
      </c>
      <c r="AS278" s="114"/>
      <c r="AT278" s="115"/>
      <c r="AU278" s="115"/>
      <c r="AV278" s="116"/>
      <c r="AX278" s="11">
        <v>46296</v>
      </c>
      <c r="AY278" s="33" t="s">
        <v>4</v>
      </c>
      <c r="AZ278" s="114"/>
      <c r="BA278" s="118"/>
      <c r="BB278" s="115"/>
      <c r="BC278" s="116"/>
      <c r="BE278" s="11">
        <v>46297</v>
      </c>
      <c r="BF278" s="33" t="s">
        <v>5</v>
      </c>
      <c r="BG278" s="33"/>
      <c r="BH278" s="19"/>
      <c r="BI278" s="19"/>
      <c r="BJ278" s="20"/>
      <c r="BL278" s="11">
        <v>46297</v>
      </c>
      <c r="BM278" s="33" t="s">
        <v>5</v>
      </c>
      <c r="BN278" s="114"/>
      <c r="BO278" s="115"/>
      <c r="BP278" s="115"/>
      <c r="BQ278" s="116"/>
      <c r="BS278" s="11">
        <v>46297</v>
      </c>
      <c r="BT278" s="33" t="s">
        <v>5</v>
      </c>
      <c r="BU278" s="114"/>
      <c r="BV278" s="115"/>
      <c r="BW278" s="115"/>
      <c r="BX278" s="116"/>
      <c r="BZ278" s="11">
        <v>46296</v>
      </c>
      <c r="CA278" s="33" t="s">
        <v>4</v>
      </c>
      <c r="CB278" s="114"/>
      <c r="CC278" s="118"/>
      <c r="CD278" s="115"/>
      <c r="CE278" s="116"/>
      <c r="CG278" s="11">
        <v>46297</v>
      </c>
      <c r="CH278" s="33" t="s">
        <v>5</v>
      </c>
      <c r="CI278" s="114"/>
      <c r="CJ278" s="115"/>
      <c r="CK278" s="115"/>
      <c r="CL278" s="116"/>
      <c r="CN278" s="11">
        <v>46297</v>
      </c>
      <c r="CO278" s="33" t="s">
        <v>5</v>
      </c>
      <c r="CP278" s="114"/>
      <c r="CQ278" s="115"/>
      <c r="CR278" s="115"/>
      <c r="CS278" s="116"/>
      <c r="CU278" s="11">
        <v>46297</v>
      </c>
      <c r="CV278" s="33" t="s">
        <v>5</v>
      </c>
      <c r="CW278" s="114"/>
      <c r="CX278" s="115"/>
      <c r="CY278" s="115"/>
      <c r="CZ278" s="116"/>
      <c r="DB278" s="11">
        <v>46295</v>
      </c>
      <c r="DC278" s="33" t="s">
        <v>3</v>
      </c>
      <c r="DD278" s="114"/>
      <c r="DE278" s="118"/>
      <c r="DF278" s="115"/>
      <c r="DG278" s="116"/>
      <c r="DI278" s="11">
        <v>46297</v>
      </c>
      <c r="DJ278" s="33" t="s">
        <v>5</v>
      </c>
      <c r="DK278" s="114"/>
      <c r="DL278" s="115"/>
      <c r="DM278" s="115"/>
      <c r="DN278" s="116"/>
      <c r="DP278" s="11">
        <v>46295</v>
      </c>
      <c r="DQ278" s="33" t="s">
        <v>3</v>
      </c>
      <c r="DR278" s="114"/>
      <c r="DS278" s="118"/>
      <c r="DT278" s="115"/>
      <c r="DU278" s="116"/>
      <c r="DW278" s="11">
        <v>46297</v>
      </c>
      <c r="DX278" s="33" t="s">
        <v>5</v>
      </c>
      <c r="DY278" s="114"/>
      <c r="DZ278" s="115"/>
      <c r="EA278" s="115"/>
      <c r="EB278" s="116"/>
    </row>
    <row r="279" spans="1:132" x14ac:dyDescent="0.25">
      <c r="A279" s="11">
        <v>46298</v>
      </c>
      <c r="B279" s="33" t="s">
        <v>6</v>
      </c>
      <c r="C279" s="114"/>
      <c r="D279" s="115"/>
      <c r="E279" s="115"/>
      <c r="F279" s="116"/>
      <c r="H279" s="11">
        <v>46298</v>
      </c>
      <c r="I279" s="33" t="s">
        <v>6</v>
      </c>
      <c r="J279" s="114"/>
      <c r="K279" s="115"/>
      <c r="L279" s="115"/>
      <c r="M279" s="116"/>
      <c r="O279" s="11">
        <v>46298</v>
      </c>
      <c r="P279" s="33" t="s">
        <v>6</v>
      </c>
      <c r="Q279" s="114"/>
      <c r="R279" s="115"/>
      <c r="S279" s="115"/>
      <c r="T279" s="116"/>
      <c r="V279" s="11">
        <v>46297</v>
      </c>
      <c r="W279" s="33" t="s">
        <v>5</v>
      </c>
      <c r="X279" s="114"/>
      <c r="Y279" s="115"/>
      <c r="Z279" s="115"/>
      <c r="AA279" s="116"/>
      <c r="AC279" s="11">
        <v>46298</v>
      </c>
      <c r="AD279" s="33" t="s">
        <v>6</v>
      </c>
      <c r="AE279" s="114"/>
      <c r="AF279" s="115"/>
      <c r="AG279" s="115"/>
      <c r="AH279" s="116"/>
      <c r="AJ279" s="11">
        <v>46298</v>
      </c>
      <c r="AK279" s="33" t="s">
        <v>6</v>
      </c>
      <c r="AL279" s="114"/>
      <c r="AM279" s="115"/>
      <c r="AN279" s="115"/>
      <c r="AO279" s="116"/>
      <c r="AQ279" s="11">
        <v>46298</v>
      </c>
      <c r="AR279" s="33" t="s">
        <v>6</v>
      </c>
      <c r="AS279" s="114"/>
      <c r="AT279" s="115"/>
      <c r="AU279" s="115"/>
      <c r="AV279" s="116"/>
      <c r="AX279" s="11">
        <v>46297</v>
      </c>
      <c r="AY279" s="33" t="s">
        <v>5</v>
      </c>
      <c r="AZ279" s="114"/>
      <c r="BA279" s="115"/>
      <c r="BB279" s="115"/>
      <c r="BC279" s="116"/>
      <c r="BE279" s="11">
        <v>46298</v>
      </c>
      <c r="BF279" s="33" t="s">
        <v>6</v>
      </c>
      <c r="BG279" s="33"/>
      <c r="BH279" s="19"/>
      <c r="BI279" s="19"/>
      <c r="BJ279" s="20"/>
      <c r="BL279" s="11">
        <v>46298</v>
      </c>
      <c r="BM279" s="33" t="s">
        <v>6</v>
      </c>
      <c r="BN279" s="114"/>
      <c r="BO279" s="115"/>
      <c r="BP279" s="115"/>
      <c r="BQ279" s="116"/>
      <c r="BS279" s="11">
        <v>46298</v>
      </c>
      <c r="BT279" s="33" t="s">
        <v>6</v>
      </c>
      <c r="BU279" s="114"/>
      <c r="BV279" s="115"/>
      <c r="BW279" s="115"/>
      <c r="BX279" s="116"/>
      <c r="BZ279" s="11">
        <v>46297</v>
      </c>
      <c r="CA279" s="33" t="s">
        <v>5</v>
      </c>
      <c r="CB279" s="114"/>
      <c r="CC279" s="115"/>
      <c r="CD279" s="115"/>
      <c r="CE279" s="116"/>
      <c r="CG279" s="11">
        <v>46298</v>
      </c>
      <c r="CH279" s="33" t="s">
        <v>6</v>
      </c>
      <c r="CI279" s="114"/>
      <c r="CJ279" s="115"/>
      <c r="CK279" s="115"/>
      <c r="CL279" s="116"/>
      <c r="CN279" s="11">
        <v>46298</v>
      </c>
      <c r="CO279" s="33" t="s">
        <v>6</v>
      </c>
      <c r="CP279" s="114"/>
      <c r="CQ279" s="115"/>
      <c r="CR279" s="115"/>
      <c r="CS279" s="116"/>
      <c r="CU279" s="11">
        <v>46298</v>
      </c>
      <c r="CV279" s="33" t="s">
        <v>6</v>
      </c>
      <c r="CW279" s="114"/>
      <c r="CX279" s="115"/>
      <c r="CY279" s="115"/>
      <c r="CZ279" s="116"/>
      <c r="DB279" s="11">
        <v>46296</v>
      </c>
      <c r="DC279" s="33" t="s">
        <v>4</v>
      </c>
      <c r="DD279" s="114"/>
      <c r="DE279" s="118"/>
      <c r="DF279" s="115"/>
      <c r="DG279" s="116"/>
      <c r="DI279" s="11">
        <v>46298</v>
      </c>
      <c r="DJ279" s="33" t="s">
        <v>6</v>
      </c>
      <c r="DK279" s="114"/>
      <c r="DL279" s="115"/>
      <c r="DM279" s="115"/>
      <c r="DN279" s="116"/>
      <c r="DP279" s="11">
        <v>46296</v>
      </c>
      <c r="DQ279" s="33" t="s">
        <v>4</v>
      </c>
      <c r="DR279" s="114"/>
      <c r="DS279" s="118"/>
      <c r="DT279" s="115"/>
      <c r="DU279" s="116"/>
      <c r="DW279" s="11">
        <v>46298</v>
      </c>
      <c r="DX279" s="33" t="s">
        <v>6</v>
      </c>
      <c r="DY279" s="114"/>
      <c r="DZ279" s="115"/>
      <c r="EA279" s="115"/>
      <c r="EB279" s="116"/>
    </row>
    <row r="280" spans="1:132" x14ac:dyDescent="0.25">
      <c r="A280" s="11">
        <v>46299</v>
      </c>
      <c r="B280" s="33" t="s">
        <v>7</v>
      </c>
      <c r="C280" s="114"/>
      <c r="D280" s="115"/>
      <c r="E280" s="115"/>
      <c r="F280" s="116"/>
      <c r="H280" s="11">
        <v>46299</v>
      </c>
      <c r="I280" s="33" t="s">
        <v>7</v>
      </c>
      <c r="J280" s="114"/>
      <c r="K280" s="115"/>
      <c r="L280" s="115"/>
      <c r="M280" s="116"/>
      <c r="O280" s="11">
        <v>46299</v>
      </c>
      <c r="P280" s="33" t="s">
        <v>7</v>
      </c>
      <c r="Q280" s="114"/>
      <c r="R280" s="115"/>
      <c r="S280" s="115"/>
      <c r="T280" s="116"/>
      <c r="V280" s="11">
        <v>46298</v>
      </c>
      <c r="W280" s="33" t="s">
        <v>6</v>
      </c>
      <c r="X280" s="114"/>
      <c r="Y280" s="115"/>
      <c r="Z280" s="115"/>
      <c r="AA280" s="116"/>
      <c r="AC280" s="11">
        <v>46299</v>
      </c>
      <c r="AD280" s="33" t="s">
        <v>7</v>
      </c>
      <c r="AE280" s="114"/>
      <c r="AF280" s="115"/>
      <c r="AG280" s="115"/>
      <c r="AH280" s="116"/>
      <c r="AJ280" s="11">
        <v>46299</v>
      </c>
      <c r="AK280" s="33" t="s">
        <v>7</v>
      </c>
      <c r="AL280" s="114"/>
      <c r="AM280" s="115"/>
      <c r="AN280" s="115"/>
      <c r="AO280" s="116"/>
      <c r="AQ280" s="11">
        <v>46299</v>
      </c>
      <c r="AR280" s="33" t="s">
        <v>7</v>
      </c>
      <c r="AS280" s="114"/>
      <c r="AT280" s="115"/>
      <c r="AU280" s="115"/>
      <c r="AV280" s="116"/>
      <c r="AX280" s="11">
        <v>46298</v>
      </c>
      <c r="AY280" s="33" t="s">
        <v>6</v>
      </c>
      <c r="AZ280" s="114"/>
      <c r="BA280" s="115"/>
      <c r="BB280" s="115"/>
      <c r="BC280" s="116"/>
      <c r="BE280" s="11">
        <v>46299</v>
      </c>
      <c r="BF280" s="33" t="s">
        <v>7</v>
      </c>
      <c r="BG280" s="33"/>
      <c r="BH280" s="19"/>
      <c r="BI280" s="19"/>
      <c r="BJ280" s="20"/>
      <c r="BL280" s="11">
        <v>46299</v>
      </c>
      <c r="BM280" s="33" t="s">
        <v>7</v>
      </c>
      <c r="BN280" s="114"/>
      <c r="BO280" s="115"/>
      <c r="BP280" s="115"/>
      <c r="BQ280" s="116"/>
      <c r="BS280" s="11">
        <v>46299</v>
      </c>
      <c r="BT280" s="33" t="s">
        <v>7</v>
      </c>
      <c r="BU280" s="114"/>
      <c r="BV280" s="115"/>
      <c r="BW280" s="115"/>
      <c r="BX280" s="116"/>
      <c r="BZ280" s="11">
        <v>46298</v>
      </c>
      <c r="CA280" s="33" t="s">
        <v>6</v>
      </c>
      <c r="CB280" s="114"/>
      <c r="CC280" s="115"/>
      <c r="CD280" s="115"/>
      <c r="CE280" s="116"/>
      <c r="CG280" s="11">
        <v>46299</v>
      </c>
      <c r="CH280" s="33" t="s">
        <v>7</v>
      </c>
      <c r="CI280" s="114"/>
      <c r="CJ280" s="115"/>
      <c r="CK280" s="115"/>
      <c r="CL280" s="116"/>
      <c r="CN280" s="11">
        <v>46299</v>
      </c>
      <c r="CO280" s="33" t="s">
        <v>7</v>
      </c>
      <c r="CP280" s="114"/>
      <c r="CQ280" s="115"/>
      <c r="CR280" s="115"/>
      <c r="CS280" s="116"/>
      <c r="CU280" s="11">
        <v>46299</v>
      </c>
      <c r="CV280" s="33" t="s">
        <v>7</v>
      </c>
      <c r="CW280" s="114"/>
      <c r="CX280" s="115"/>
      <c r="CY280" s="115"/>
      <c r="CZ280" s="116"/>
      <c r="DB280" s="11">
        <v>46297</v>
      </c>
      <c r="DC280" s="33" t="s">
        <v>5</v>
      </c>
      <c r="DD280" s="114"/>
      <c r="DE280" s="115"/>
      <c r="DF280" s="115"/>
      <c r="DG280" s="116"/>
      <c r="DI280" s="11">
        <v>46299</v>
      </c>
      <c r="DJ280" s="33" t="s">
        <v>7</v>
      </c>
      <c r="DK280" s="114"/>
      <c r="DL280" s="115"/>
      <c r="DM280" s="115"/>
      <c r="DN280" s="116"/>
      <c r="DP280" s="11">
        <v>46297</v>
      </c>
      <c r="DQ280" s="33" t="s">
        <v>5</v>
      </c>
      <c r="DR280" s="114"/>
      <c r="DS280" s="115"/>
      <c r="DT280" s="115"/>
      <c r="DU280" s="116"/>
      <c r="DW280" s="11">
        <v>46299</v>
      </c>
      <c r="DX280" s="33" t="s">
        <v>7</v>
      </c>
      <c r="DY280" s="114"/>
      <c r="DZ280" s="115"/>
      <c r="EA280" s="115"/>
      <c r="EB280" s="116"/>
    </row>
    <row r="281" spans="1:132" x14ac:dyDescent="0.25">
      <c r="A281" s="11">
        <v>46300</v>
      </c>
      <c r="B281" s="33" t="s">
        <v>8</v>
      </c>
      <c r="C281" s="114"/>
      <c r="D281" s="115"/>
      <c r="E281" s="115"/>
      <c r="F281" s="116"/>
      <c r="H281" s="11">
        <v>46300</v>
      </c>
      <c r="I281" s="33" t="s">
        <v>8</v>
      </c>
      <c r="J281" s="114"/>
      <c r="K281" s="115"/>
      <c r="L281" s="115"/>
      <c r="M281" s="116"/>
      <c r="O281" s="11">
        <v>46300</v>
      </c>
      <c r="P281" s="33" t="s">
        <v>8</v>
      </c>
      <c r="Q281" s="114"/>
      <c r="R281" s="115"/>
      <c r="S281" s="115"/>
      <c r="T281" s="116"/>
      <c r="V281" s="11">
        <v>46299</v>
      </c>
      <c r="W281" s="33" t="s">
        <v>7</v>
      </c>
      <c r="X281" s="114"/>
      <c r="Y281" s="115"/>
      <c r="Z281" s="115"/>
      <c r="AA281" s="116"/>
      <c r="AC281" s="11">
        <v>46300</v>
      </c>
      <c r="AD281" s="33" t="s">
        <v>8</v>
      </c>
      <c r="AE281" s="114"/>
      <c r="AF281" s="115"/>
      <c r="AG281" s="115"/>
      <c r="AH281" s="116"/>
      <c r="AJ281" s="11">
        <v>46300</v>
      </c>
      <c r="AK281" s="33" t="s">
        <v>8</v>
      </c>
      <c r="AL281" s="114"/>
      <c r="AM281" s="115"/>
      <c r="AN281" s="115"/>
      <c r="AO281" s="116"/>
      <c r="AQ281" s="11">
        <v>46300</v>
      </c>
      <c r="AR281" s="33" t="s">
        <v>8</v>
      </c>
      <c r="AS281" s="114"/>
      <c r="AT281" s="115"/>
      <c r="AU281" s="115"/>
      <c r="AV281" s="116"/>
      <c r="AX281" s="11">
        <v>46299</v>
      </c>
      <c r="AY281" s="33" t="s">
        <v>7</v>
      </c>
      <c r="AZ281" s="114"/>
      <c r="BA281" s="115"/>
      <c r="BB281" s="115"/>
      <c r="BC281" s="116"/>
      <c r="BE281" s="11">
        <v>46300</v>
      </c>
      <c r="BF281" s="33" t="s">
        <v>8</v>
      </c>
      <c r="BG281" s="33"/>
      <c r="BH281" s="19"/>
      <c r="BI281" s="19"/>
      <c r="BJ281" s="20"/>
      <c r="BL281" s="11">
        <v>46300</v>
      </c>
      <c r="BM281" s="33" t="s">
        <v>8</v>
      </c>
      <c r="BN281" s="114"/>
      <c r="BO281" s="115"/>
      <c r="BP281" s="115"/>
      <c r="BQ281" s="116"/>
      <c r="BS281" s="11">
        <v>46300</v>
      </c>
      <c r="BT281" s="33" t="s">
        <v>8</v>
      </c>
      <c r="BU281" s="114"/>
      <c r="BV281" s="115"/>
      <c r="BW281" s="115"/>
      <c r="BX281" s="116"/>
      <c r="BZ281" s="11">
        <v>46299</v>
      </c>
      <c r="CA281" s="33" t="s">
        <v>7</v>
      </c>
      <c r="CB281" s="114"/>
      <c r="CC281" s="115"/>
      <c r="CD281" s="115"/>
      <c r="CE281" s="116"/>
      <c r="CG281" s="11">
        <v>46300</v>
      </c>
      <c r="CH281" s="33" t="s">
        <v>8</v>
      </c>
      <c r="CI281" s="114"/>
      <c r="CJ281" s="115"/>
      <c r="CK281" s="115"/>
      <c r="CL281" s="116"/>
      <c r="CN281" s="11">
        <v>46300</v>
      </c>
      <c r="CO281" s="33" t="s">
        <v>8</v>
      </c>
      <c r="CP281" s="114"/>
      <c r="CQ281" s="115"/>
      <c r="CR281" s="115"/>
      <c r="CS281" s="116"/>
      <c r="CU281" s="11">
        <v>46300</v>
      </c>
      <c r="CV281" s="33" t="s">
        <v>8</v>
      </c>
      <c r="CW281" s="114"/>
      <c r="CX281" s="115"/>
      <c r="CY281" s="115"/>
      <c r="CZ281" s="116"/>
      <c r="DB281" s="11">
        <v>46298</v>
      </c>
      <c r="DC281" s="33" t="s">
        <v>6</v>
      </c>
      <c r="DD281" s="114"/>
      <c r="DE281" s="115"/>
      <c r="DF281" s="115"/>
      <c r="DG281" s="116"/>
      <c r="DI281" s="11">
        <v>46300</v>
      </c>
      <c r="DJ281" s="33" t="s">
        <v>8</v>
      </c>
      <c r="DK281" s="114"/>
      <c r="DL281" s="115"/>
      <c r="DM281" s="115"/>
      <c r="DN281" s="116"/>
      <c r="DP281" s="11">
        <v>46298</v>
      </c>
      <c r="DQ281" s="33" t="s">
        <v>6</v>
      </c>
      <c r="DR281" s="114"/>
      <c r="DS281" s="115"/>
      <c r="DT281" s="115"/>
      <c r="DU281" s="116"/>
      <c r="DW281" s="11">
        <v>46300</v>
      </c>
      <c r="DX281" s="33" t="s">
        <v>8</v>
      </c>
      <c r="DY281" s="114"/>
      <c r="DZ281" s="115"/>
      <c r="EA281" s="115"/>
      <c r="EB281" s="116"/>
    </row>
    <row r="282" spans="1:132" x14ac:dyDescent="0.25">
      <c r="A282" s="11">
        <v>46301</v>
      </c>
      <c r="B282" s="33" t="s">
        <v>9</v>
      </c>
      <c r="C282" s="114"/>
      <c r="D282" s="115"/>
      <c r="E282" s="115"/>
      <c r="F282" s="116"/>
      <c r="H282" s="11">
        <v>46301</v>
      </c>
      <c r="I282" s="33" t="s">
        <v>9</v>
      </c>
      <c r="J282" s="114"/>
      <c r="K282" s="115"/>
      <c r="L282" s="115"/>
      <c r="M282" s="116"/>
      <c r="O282" s="11">
        <v>46301</v>
      </c>
      <c r="P282" s="33" t="s">
        <v>9</v>
      </c>
      <c r="Q282" s="114"/>
      <c r="R282" s="115"/>
      <c r="S282" s="115"/>
      <c r="T282" s="116"/>
      <c r="V282" s="11">
        <v>46300</v>
      </c>
      <c r="W282" s="33" t="s">
        <v>8</v>
      </c>
      <c r="X282" s="114"/>
      <c r="Y282" s="115"/>
      <c r="Z282" s="115"/>
      <c r="AA282" s="116"/>
      <c r="AC282" s="11">
        <v>46301</v>
      </c>
      <c r="AD282" s="33" t="s">
        <v>9</v>
      </c>
      <c r="AE282" s="114"/>
      <c r="AF282" s="115"/>
      <c r="AG282" s="115"/>
      <c r="AH282" s="116"/>
      <c r="AJ282" s="11">
        <v>46301</v>
      </c>
      <c r="AK282" s="33" t="s">
        <v>9</v>
      </c>
      <c r="AL282" s="114"/>
      <c r="AM282" s="115"/>
      <c r="AN282" s="115"/>
      <c r="AO282" s="116"/>
      <c r="AQ282" s="11">
        <v>46301</v>
      </c>
      <c r="AR282" s="33" t="s">
        <v>9</v>
      </c>
      <c r="AS282" s="114"/>
      <c r="AT282" s="115"/>
      <c r="AU282" s="115"/>
      <c r="AV282" s="116"/>
      <c r="AX282" s="11">
        <v>46300</v>
      </c>
      <c r="AY282" s="33" t="s">
        <v>8</v>
      </c>
      <c r="AZ282" s="114"/>
      <c r="BA282" s="115"/>
      <c r="BB282" s="115"/>
      <c r="BC282" s="116"/>
      <c r="BE282" s="11">
        <v>46301</v>
      </c>
      <c r="BF282" s="33" t="s">
        <v>9</v>
      </c>
      <c r="BG282" s="33"/>
      <c r="BH282" s="19"/>
      <c r="BI282" s="19"/>
      <c r="BJ282" s="20"/>
      <c r="BL282" s="11">
        <v>46301</v>
      </c>
      <c r="BM282" s="33" t="s">
        <v>9</v>
      </c>
      <c r="BN282" s="114"/>
      <c r="BO282" s="115"/>
      <c r="BP282" s="115"/>
      <c r="BQ282" s="116"/>
      <c r="BS282" s="11">
        <v>46301</v>
      </c>
      <c r="BT282" s="33" t="s">
        <v>9</v>
      </c>
      <c r="BU282" s="114"/>
      <c r="BV282" s="115"/>
      <c r="BW282" s="115"/>
      <c r="BX282" s="116"/>
      <c r="BZ282" s="11">
        <v>46300</v>
      </c>
      <c r="CA282" s="33" t="s">
        <v>8</v>
      </c>
      <c r="CB282" s="114"/>
      <c r="CC282" s="115"/>
      <c r="CD282" s="115"/>
      <c r="CE282" s="116"/>
      <c r="CG282" s="11">
        <v>46301</v>
      </c>
      <c r="CH282" s="33" t="s">
        <v>9</v>
      </c>
      <c r="CI282" s="114"/>
      <c r="CJ282" s="115"/>
      <c r="CK282" s="115"/>
      <c r="CL282" s="116"/>
      <c r="CN282" s="11">
        <v>46301</v>
      </c>
      <c r="CO282" s="33" t="s">
        <v>9</v>
      </c>
      <c r="CP282" s="114"/>
      <c r="CQ282" s="115"/>
      <c r="CR282" s="115"/>
      <c r="CS282" s="116"/>
      <c r="CU282" s="11">
        <v>46301</v>
      </c>
      <c r="CV282" s="33" t="s">
        <v>9</v>
      </c>
      <c r="CW282" s="114"/>
      <c r="CX282" s="115"/>
      <c r="CY282" s="115"/>
      <c r="CZ282" s="116"/>
      <c r="DB282" s="11">
        <v>46299</v>
      </c>
      <c r="DC282" s="33" t="s">
        <v>7</v>
      </c>
      <c r="DD282" s="114"/>
      <c r="DE282" s="115"/>
      <c r="DF282" s="115"/>
      <c r="DG282" s="116"/>
      <c r="DI282" s="11">
        <v>46301</v>
      </c>
      <c r="DJ282" s="33" t="s">
        <v>9</v>
      </c>
      <c r="DK282" s="114"/>
      <c r="DL282" s="115"/>
      <c r="DM282" s="115"/>
      <c r="DN282" s="116"/>
      <c r="DP282" s="11">
        <v>46299</v>
      </c>
      <c r="DQ282" s="33" t="s">
        <v>7</v>
      </c>
      <c r="DR282" s="114"/>
      <c r="DS282" s="115"/>
      <c r="DT282" s="115"/>
      <c r="DU282" s="116"/>
      <c r="DW282" s="11">
        <v>46301</v>
      </c>
      <c r="DX282" s="33" t="s">
        <v>9</v>
      </c>
      <c r="DY282" s="114"/>
      <c r="DZ282" s="115"/>
      <c r="EA282" s="115"/>
      <c r="EB282" s="116"/>
    </row>
    <row r="283" spans="1:132" x14ac:dyDescent="0.25">
      <c r="A283" s="11">
        <v>46302</v>
      </c>
      <c r="B283" s="33" t="s">
        <v>3</v>
      </c>
      <c r="C283" s="114"/>
      <c r="D283" s="115"/>
      <c r="E283" s="115"/>
      <c r="F283" s="116"/>
      <c r="H283" s="11">
        <v>46302</v>
      </c>
      <c r="I283" s="33" t="s">
        <v>3</v>
      </c>
      <c r="J283" s="114"/>
      <c r="K283" s="115"/>
      <c r="L283" s="115"/>
      <c r="M283" s="116"/>
      <c r="O283" s="11">
        <v>46302</v>
      </c>
      <c r="P283" s="33" t="s">
        <v>3</v>
      </c>
      <c r="Q283" s="114"/>
      <c r="R283" s="115"/>
      <c r="S283" s="115"/>
      <c r="T283" s="116"/>
      <c r="V283" s="11">
        <v>46301</v>
      </c>
      <c r="W283" s="33" t="s">
        <v>9</v>
      </c>
      <c r="X283" s="114"/>
      <c r="Y283" s="115"/>
      <c r="Z283" s="115"/>
      <c r="AA283" s="116"/>
      <c r="AC283" s="11">
        <v>46302</v>
      </c>
      <c r="AD283" s="33" t="s">
        <v>3</v>
      </c>
      <c r="AE283" s="114"/>
      <c r="AF283" s="115"/>
      <c r="AG283" s="115"/>
      <c r="AH283" s="116"/>
      <c r="AJ283" s="11">
        <v>46302</v>
      </c>
      <c r="AK283" s="33" t="s">
        <v>3</v>
      </c>
      <c r="AL283" s="114"/>
      <c r="AM283" s="115"/>
      <c r="AN283" s="115"/>
      <c r="AO283" s="116"/>
      <c r="AQ283" s="11">
        <v>46302</v>
      </c>
      <c r="AR283" s="33" t="s">
        <v>3</v>
      </c>
      <c r="AS283" s="114"/>
      <c r="AT283" s="115"/>
      <c r="AU283" s="115"/>
      <c r="AV283" s="116"/>
      <c r="AX283" s="11">
        <v>46301</v>
      </c>
      <c r="AY283" s="33" t="s">
        <v>9</v>
      </c>
      <c r="AZ283" s="114"/>
      <c r="BA283" s="115"/>
      <c r="BB283" s="115"/>
      <c r="BC283" s="116"/>
      <c r="BE283" s="11">
        <v>46302</v>
      </c>
      <c r="BF283" s="33" t="s">
        <v>3</v>
      </c>
      <c r="BG283" s="33"/>
      <c r="BH283" s="19"/>
      <c r="BI283" s="19"/>
      <c r="BJ283" s="20"/>
      <c r="BL283" s="11">
        <v>46302</v>
      </c>
      <c r="BM283" s="33" t="s">
        <v>3</v>
      </c>
      <c r="BN283" s="114"/>
      <c r="BO283" s="115"/>
      <c r="BP283" s="115"/>
      <c r="BQ283" s="116"/>
      <c r="BS283" s="11">
        <v>46302</v>
      </c>
      <c r="BT283" s="33" t="s">
        <v>3</v>
      </c>
      <c r="BU283" s="114"/>
      <c r="BV283" s="115"/>
      <c r="BW283" s="115"/>
      <c r="BX283" s="116"/>
      <c r="BZ283" s="11">
        <v>46301</v>
      </c>
      <c r="CA283" s="33" t="s">
        <v>9</v>
      </c>
      <c r="CB283" s="114"/>
      <c r="CC283" s="115"/>
      <c r="CD283" s="115"/>
      <c r="CE283" s="116"/>
      <c r="CG283" s="11">
        <v>46302</v>
      </c>
      <c r="CH283" s="33" t="s">
        <v>3</v>
      </c>
      <c r="CI283" s="114"/>
      <c r="CJ283" s="115"/>
      <c r="CK283" s="115"/>
      <c r="CL283" s="116"/>
      <c r="CN283" s="11">
        <v>46302</v>
      </c>
      <c r="CO283" s="33" t="s">
        <v>3</v>
      </c>
      <c r="CP283" s="114"/>
      <c r="CQ283" s="115"/>
      <c r="CR283" s="115"/>
      <c r="CS283" s="116"/>
      <c r="CU283" s="11">
        <v>46302</v>
      </c>
      <c r="CV283" s="33" t="s">
        <v>3</v>
      </c>
      <c r="CW283" s="114"/>
      <c r="CX283" s="115"/>
      <c r="CY283" s="115"/>
      <c r="CZ283" s="116"/>
      <c r="DB283" s="11">
        <v>46300</v>
      </c>
      <c r="DC283" s="33" t="s">
        <v>8</v>
      </c>
      <c r="DD283" s="114"/>
      <c r="DE283" s="115"/>
      <c r="DF283" s="115"/>
      <c r="DG283" s="116"/>
      <c r="DI283" s="11">
        <v>46302</v>
      </c>
      <c r="DJ283" s="33" t="s">
        <v>3</v>
      </c>
      <c r="DK283" s="114"/>
      <c r="DL283" s="115"/>
      <c r="DM283" s="115"/>
      <c r="DN283" s="116"/>
      <c r="DP283" s="11">
        <v>46300</v>
      </c>
      <c r="DQ283" s="33" t="s">
        <v>8</v>
      </c>
      <c r="DR283" s="114"/>
      <c r="DS283" s="115"/>
      <c r="DT283" s="115"/>
      <c r="DU283" s="116"/>
      <c r="DW283" s="11">
        <v>46302</v>
      </c>
      <c r="DX283" s="33" t="s">
        <v>3</v>
      </c>
      <c r="DY283" s="114"/>
      <c r="DZ283" s="115"/>
      <c r="EA283" s="115"/>
      <c r="EB283" s="116"/>
    </row>
    <row r="284" spans="1:132" x14ac:dyDescent="0.25">
      <c r="A284" s="11">
        <v>46303</v>
      </c>
      <c r="B284" s="33" t="s">
        <v>4</v>
      </c>
      <c r="C284" s="114"/>
      <c r="D284" s="115"/>
      <c r="E284" s="115"/>
      <c r="F284" s="116"/>
      <c r="H284" s="11">
        <v>46303</v>
      </c>
      <c r="I284" s="33" t="s">
        <v>4</v>
      </c>
      <c r="J284" s="114"/>
      <c r="K284" s="115"/>
      <c r="L284" s="115"/>
      <c r="M284" s="116"/>
      <c r="O284" s="11">
        <v>46303</v>
      </c>
      <c r="P284" s="33" t="s">
        <v>4</v>
      </c>
      <c r="Q284" s="114"/>
      <c r="R284" s="115"/>
      <c r="S284" s="115"/>
      <c r="T284" s="116"/>
      <c r="V284" s="11">
        <v>46302</v>
      </c>
      <c r="W284" s="33" t="s">
        <v>3</v>
      </c>
      <c r="X284" s="114"/>
      <c r="Y284" s="115"/>
      <c r="Z284" s="115"/>
      <c r="AA284" s="116"/>
      <c r="AC284" s="11">
        <v>46303</v>
      </c>
      <c r="AD284" s="33" t="s">
        <v>4</v>
      </c>
      <c r="AE284" s="114"/>
      <c r="AF284" s="115"/>
      <c r="AG284" s="115"/>
      <c r="AH284" s="116"/>
      <c r="AJ284" s="11">
        <v>46303</v>
      </c>
      <c r="AK284" s="33" t="s">
        <v>4</v>
      </c>
      <c r="AL284" s="114"/>
      <c r="AM284" s="115"/>
      <c r="AN284" s="115"/>
      <c r="AO284" s="116"/>
      <c r="AQ284" s="11">
        <v>46303</v>
      </c>
      <c r="AR284" s="33" t="s">
        <v>4</v>
      </c>
      <c r="AS284" s="114"/>
      <c r="AT284" s="115"/>
      <c r="AU284" s="115"/>
      <c r="AV284" s="116"/>
      <c r="AX284" s="11">
        <v>46302</v>
      </c>
      <c r="AY284" s="33" t="s">
        <v>3</v>
      </c>
      <c r="AZ284" s="114"/>
      <c r="BA284" s="115"/>
      <c r="BB284" s="115"/>
      <c r="BC284" s="116"/>
      <c r="BE284" s="11">
        <v>46303</v>
      </c>
      <c r="BF284" s="33" t="s">
        <v>4</v>
      </c>
      <c r="BG284" s="33"/>
      <c r="BH284" s="19"/>
      <c r="BI284" s="19"/>
      <c r="BJ284" s="20"/>
      <c r="BL284" s="11">
        <v>46303</v>
      </c>
      <c r="BM284" s="33" t="s">
        <v>4</v>
      </c>
      <c r="BN284" s="114"/>
      <c r="BO284" s="115"/>
      <c r="BP284" s="115"/>
      <c r="BQ284" s="116"/>
      <c r="BS284" s="11">
        <v>46303</v>
      </c>
      <c r="BT284" s="33" t="s">
        <v>4</v>
      </c>
      <c r="BU284" s="114"/>
      <c r="BV284" s="115"/>
      <c r="BW284" s="115"/>
      <c r="BX284" s="116"/>
      <c r="BZ284" s="11">
        <v>46302</v>
      </c>
      <c r="CA284" s="33" t="s">
        <v>3</v>
      </c>
      <c r="CB284" s="114"/>
      <c r="CC284" s="115"/>
      <c r="CD284" s="115"/>
      <c r="CE284" s="116"/>
      <c r="CG284" s="11">
        <v>46303</v>
      </c>
      <c r="CH284" s="33" t="s">
        <v>4</v>
      </c>
      <c r="CI284" s="114"/>
      <c r="CJ284" s="115"/>
      <c r="CK284" s="115"/>
      <c r="CL284" s="116"/>
      <c r="CN284" s="11">
        <v>46303</v>
      </c>
      <c r="CO284" s="33" t="s">
        <v>4</v>
      </c>
      <c r="CP284" s="114"/>
      <c r="CQ284" s="115"/>
      <c r="CR284" s="115"/>
      <c r="CS284" s="116"/>
      <c r="CU284" s="11">
        <v>46303</v>
      </c>
      <c r="CV284" s="33" t="s">
        <v>4</v>
      </c>
      <c r="CW284" s="114"/>
      <c r="CX284" s="115"/>
      <c r="CY284" s="115"/>
      <c r="CZ284" s="116"/>
      <c r="DB284" s="11">
        <v>46301</v>
      </c>
      <c r="DC284" s="33" t="s">
        <v>9</v>
      </c>
      <c r="DD284" s="114"/>
      <c r="DE284" s="115"/>
      <c r="DF284" s="115"/>
      <c r="DG284" s="116"/>
      <c r="DI284" s="11">
        <v>46303</v>
      </c>
      <c r="DJ284" s="33" t="s">
        <v>4</v>
      </c>
      <c r="DK284" s="114"/>
      <c r="DL284" s="115"/>
      <c r="DM284" s="115"/>
      <c r="DN284" s="116"/>
      <c r="DP284" s="11">
        <v>46301</v>
      </c>
      <c r="DQ284" s="33" t="s">
        <v>9</v>
      </c>
      <c r="DR284" s="114"/>
      <c r="DS284" s="115"/>
      <c r="DT284" s="115"/>
      <c r="DU284" s="116"/>
      <c r="DW284" s="11">
        <v>46303</v>
      </c>
      <c r="DX284" s="33" t="s">
        <v>4</v>
      </c>
      <c r="DY284" s="114"/>
      <c r="DZ284" s="115"/>
      <c r="EA284" s="115"/>
      <c r="EB284" s="116"/>
    </row>
    <row r="285" spans="1:132" x14ac:dyDescent="0.25">
      <c r="A285" s="11">
        <v>46304</v>
      </c>
      <c r="B285" s="33" t="s">
        <v>5</v>
      </c>
      <c r="C285" s="114"/>
      <c r="D285" s="115"/>
      <c r="E285" s="115"/>
      <c r="F285" s="116"/>
      <c r="H285" s="11">
        <v>46304</v>
      </c>
      <c r="I285" s="33" t="s">
        <v>5</v>
      </c>
      <c r="J285" s="114"/>
      <c r="K285" s="115"/>
      <c r="L285" s="115"/>
      <c r="M285" s="116"/>
      <c r="O285" s="11">
        <v>46304</v>
      </c>
      <c r="P285" s="33" t="s">
        <v>5</v>
      </c>
      <c r="Q285" s="114"/>
      <c r="R285" s="115"/>
      <c r="S285" s="115"/>
      <c r="T285" s="116"/>
      <c r="V285" s="11">
        <v>46303</v>
      </c>
      <c r="W285" s="33" t="s">
        <v>4</v>
      </c>
      <c r="X285" s="114"/>
      <c r="Y285" s="115"/>
      <c r="Z285" s="115"/>
      <c r="AA285" s="116"/>
      <c r="AC285" s="11">
        <v>46304</v>
      </c>
      <c r="AD285" s="33" t="s">
        <v>5</v>
      </c>
      <c r="AE285" s="114"/>
      <c r="AF285" s="115"/>
      <c r="AG285" s="115"/>
      <c r="AH285" s="116"/>
      <c r="AJ285" s="11">
        <v>46304</v>
      </c>
      <c r="AK285" s="33" t="s">
        <v>5</v>
      </c>
      <c r="AL285" s="114"/>
      <c r="AM285" s="115"/>
      <c r="AN285" s="115"/>
      <c r="AO285" s="116"/>
      <c r="AQ285" s="11">
        <v>46304</v>
      </c>
      <c r="AR285" s="33" t="s">
        <v>5</v>
      </c>
      <c r="AS285" s="114"/>
      <c r="AT285" s="115"/>
      <c r="AU285" s="115"/>
      <c r="AV285" s="116"/>
      <c r="AX285" s="11">
        <v>46303</v>
      </c>
      <c r="AY285" s="33" t="s">
        <v>4</v>
      </c>
      <c r="AZ285" s="114"/>
      <c r="BA285" s="115"/>
      <c r="BB285" s="115"/>
      <c r="BC285" s="116"/>
      <c r="BE285" s="11">
        <v>46304</v>
      </c>
      <c r="BF285" s="33" t="s">
        <v>5</v>
      </c>
      <c r="BG285" s="33"/>
      <c r="BH285" s="19"/>
      <c r="BI285" s="19"/>
      <c r="BJ285" s="20"/>
      <c r="BL285" s="11">
        <v>46304</v>
      </c>
      <c r="BM285" s="33" t="s">
        <v>5</v>
      </c>
      <c r="BN285" s="114"/>
      <c r="BO285" s="115"/>
      <c r="BP285" s="115"/>
      <c r="BQ285" s="116"/>
      <c r="BS285" s="11">
        <v>46304</v>
      </c>
      <c r="BT285" s="33" t="s">
        <v>5</v>
      </c>
      <c r="BU285" s="114"/>
      <c r="BV285" s="115"/>
      <c r="BW285" s="115"/>
      <c r="BX285" s="116"/>
      <c r="BZ285" s="11">
        <v>46303</v>
      </c>
      <c r="CA285" s="33" t="s">
        <v>4</v>
      </c>
      <c r="CB285" s="114"/>
      <c r="CC285" s="115"/>
      <c r="CD285" s="115"/>
      <c r="CE285" s="116"/>
      <c r="CG285" s="11">
        <v>46304</v>
      </c>
      <c r="CH285" s="33" t="s">
        <v>5</v>
      </c>
      <c r="CI285" s="114"/>
      <c r="CJ285" s="115"/>
      <c r="CK285" s="115"/>
      <c r="CL285" s="116"/>
      <c r="CN285" s="11">
        <v>46304</v>
      </c>
      <c r="CO285" s="33" t="s">
        <v>5</v>
      </c>
      <c r="CP285" s="114"/>
      <c r="CQ285" s="115"/>
      <c r="CR285" s="115"/>
      <c r="CS285" s="116"/>
      <c r="CU285" s="11">
        <v>46304</v>
      </c>
      <c r="CV285" s="33" t="s">
        <v>5</v>
      </c>
      <c r="CW285" s="114"/>
      <c r="CX285" s="115"/>
      <c r="CY285" s="115"/>
      <c r="CZ285" s="116"/>
      <c r="DB285" s="11">
        <v>46302</v>
      </c>
      <c r="DC285" s="33" t="s">
        <v>3</v>
      </c>
      <c r="DD285" s="114"/>
      <c r="DE285" s="115"/>
      <c r="DF285" s="115"/>
      <c r="DG285" s="116"/>
      <c r="DI285" s="11">
        <v>46304</v>
      </c>
      <c r="DJ285" s="33" t="s">
        <v>5</v>
      </c>
      <c r="DK285" s="114"/>
      <c r="DL285" s="115"/>
      <c r="DM285" s="115"/>
      <c r="DN285" s="116"/>
      <c r="DP285" s="11">
        <v>46302</v>
      </c>
      <c r="DQ285" s="33" t="s">
        <v>3</v>
      </c>
      <c r="DR285" s="114"/>
      <c r="DS285" s="115"/>
      <c r="DT285" s="115"/>
      <c r="DU285" s="116"/>
      <c r="DW285" s="11">
        <v>46304</v>
      </c>
      <c r="DX285" s="33" t="s">
        <v>5</v>
      </c>
      <c r="DY285" s="114"/>
      <c r="DZ285" s="115"/>
      <c r="EA285" s="115"/>
      <c r="EB285" s="116"/>
    </row>
    <row r="286" spans="1:132" x14ac:dyDescent="0.25">
      <c r="A286" s="11">
        <v>46305</v>
      </c>
      <c r="B286" s="33" t="s">
        <v>6</v>
      </c>
      <c r="C286" s="114"/>
      <c r="D286" s="115"/>
      <c r="E286" s="115"/>
      <c r="F286" s="116"/>
      <c r="H286" s="11">
        <v>46305</v>
      </c>
      <c r="I286" s="33" t="s">
        <v>6</v>
      </c>
      <c r="J286" s="114"/>
      <c r="K286" s="115"/>
      <c r="L286" s="115"/>
      <c r="M286" s="116"/>
      <c r="O286" s="11">
        <v>46305</v>
      </c>
      <c r="P286" s="33" t="s">
        <v>6</v>
      </c>
      <c r="Q286" s="114"/>
      <c r="R286" s="115"/>
      <c r="S286" s="115"/>
      <c r="T286" s="116"/>
      <c r="V286" s="11">
        <v>46304</v>
      </c>
      <c r="W286" s="33" t="s">
        <v>5</v>
      </c>
      <c r="X286" s="114"/>
      <c r="Y286" s="115"/>
      <c r="Z286" s="115"/>
      <c r="AA286" s="116"/>
      <c r="AC286" s="11">
        <v>46305</v>
      </c>
      <c r="AD286" s="33" t="s">
        <v>6</v>
      </c>
      <c r="AE286" s="114"/>
      <c r="AF286" s="115"/>
      <c r="AG286" s="115"/>
      <c r="AH286" s="116"/>
      <c r="AJ286" s="11">
        <v>46305</v>
      </c>
      <c r="AK286" s="33" t="s">
        <v>6</v>
      </c>
      <c r="AL286" s="114"/>
      <c r="AM286" s="115"/>
      <c r="AN286" s="115"/>
      <c r="AO286" s="116"/>
      <c r="AQ286" s="11">
        <v>46305</v>
      </c>
      <c r="AR286" s="33" t="s">
        <v>6</v>
      </c>
      <c r="AS286" s="114"/>
      <c r="AT286" s="115"/>
      <c r="AU286" s="115"/>
      <c r="AV286" s="116"/>
      <c r="AX286" s="11">
        <v>46304</v>
      </c>
      <c r="AY286" s="33" t="s">
        <v>5</v>
      </c>
      <c r="AZ286" s="114"/>
      <c r="BA286" s="115"/>
      <c r="BB286" s="115"/>
      <c r="BC286" s="116"/>
      <c r="BE286" s="11">
        <v>46305</v>
      </c>
      <c r="BF286" s="33" t="s">
        <v>6</v>
      </c>
      <c r="BG286" s="33"/>
      <c r="BH286" s="19"/>
      <c r="BI286" s="19"/>
      <c r="BJ286" s="20"/>
      <c r="BL286" s="11">
        <v>46305</v>
      </c>
      <c r="BM286" s="33" t="s">
        <v>6</v>
      </c>
      <c r="BN286" s="114"/>
      <c r="BO286" s="115"/>
      <c r="BP286" s="115"/>
      <c r="BQ286" s="116"/>
      <c r="BS286" s="11">
        <v>46305</v>
      </c>
      <c r="BT286" s="33" t="s">
        <v>6</v>
      </c>
      <c r="BU286" s="114"/>
      <c r="BV286" s="115"/>
      <c r="BW286" s="115"/>
      <c r="BX286" s="116"/>
      <c r="BZ286" s="11">
        <v>46304</v>
      </c>
      <c r="CA286" s="33" t="s">
        <v>5</v>
      </c>
      <c r="CB286" s="114"/>
      <c r="CC286" s="115"/>
      <c r="CD286" s="115"/>
      <c r="CE286" s="116"/>
      <c r="CG286" s="11">
        <v>46305</v>
      </c>
      <c r="CH286" s="33" t="s">
        <v>6</v>
      </c>
      <c r="CI286" s="114"/>
      <c r="CJ286" s="115"/>
      <c r="CK286" s="115"/>
      <c r="CL286" s="116"/>
      <c r="CN286" s="11">
        <v>46305</v>
      </c>
      <c r="CO286" s="33" t="s">
        <v>6</v>
      </c>
      <c r="CP286" s="114"/>
      <c r="CQ286" s="115"/>
      <c r="CR286" s="115"/>
      <c r="CS286" s="116"/>
      <c r="CU286" s="11">
        <v>46305</v>
      </c>
      <c r="CV286" s="33" t="s">
        <v>6</v>
      </c>
      <c r="CW286" s="114"/>
      <c r="CX286" s="115"/>
      <c r="CY286" s="115"/>
      <c r="CZ286" s="116"/>
      <c r="DB286" s="11">
        <v>46303</v>
      </c>
      <c r="DC286" s="33" t="s">
        <v>4</v>
      </c>
      <c r="DD286" s="114"/>
      <c r="DE286" s="115"/>
      <c r="DF286" s="115"/>
      <c r="DG286" s="116"/>
      <c r="DI286" s="11">
        <v>46305</v>
      </c>
      <c r="DJ286" s="33" t="s">
        <v>6</v>
      </c>
      <c r="DK286" s="114"/>
      <c r="DL286" s="115"/>
      <c r="DM286" s="115"/>
      <c r="DN286" s="116"/>
      <c r="DP286" s="11">
        <v>46303</v>
      </c>
      <c r="DQ286" s="33" t="s">
        <v>4</v>
      </c>
      <c r="DR286" s="114"/>
      <c r="DS286" s="115"/>
      <c r="DT286" s="115"/>
      <c r="DU286" s="116"/>
      <c r="DW286" s="11">
        <v>46305</v>
      </c>
      <c r="DX286" s="33" t="s">
        <v>6</v>
      </c>
      <c r="DY286" s="114"/>
      <c r="DZ286" s="115"/>
      <c r="EA286" s="115"/>
      <c r="EB286" s="116"/>
    </row>
    <row r="287" spans="1:132" x14ac:dyDescent="0.25">
      <c r="A287" s="11">
        <v>46306</v>
      </c>
      <c r="B287" s="33" t="s">
        <v>7</v>
      </c>
      <c r="C287" s="114"/>
      <c r="D287" s="115"/>
      <c r="E287" s="115"/>
      <c r="F287" s="116"/>
      <c r="H287" s="11">
        <v>46306</v>
      </c>
      <c r="I287" s="33" t="s">
        <v>7</v>
      </c>
      <c r="J287" s="114"/>
      <c r="K287" s="115"/>
      <c r="L287" s="115"/>
      <c r="M287" s="116"/>
      <c r="O287" s="11">
        <v>46306</v>
      </c>
      <c r="P287" s="33" t="s">
        <v>7</v>
      </c>
      <c r="Q287" s="114"/>
      <c r="R287" s="115"/>
      <c r="S287" s="115"/>
      <c r="T287" s="116"/>
      <c r="V287" s="11">
        <v>46305</v>
      </c>
      <c r="W287" s="33" t="s">
        <v>6</v>
      </c>
      <c r="X287" s="114"/>
      <c r="Y287" s="115"/>
      <c r="Z287" s="115"/>
      <c r="AA287" s="116"/>
      <c r="AC287" s="11">
        <v>46306</v>
      </c>
      <c r="AD287" s="33" t="s">
        <v>7</v>
      </c>
      <c r="AE287" s="114"/>
      <c r="AF287" s="115"/>
      <c r="AG287" s="115"/>
      <c r="AH287" s="116"/>
      <c r="AJ287" s="11">
        <v>46306</v>
      </c>
      <c r="AK287" s="33" t="s">
        <v>7</v>
      </c>
      <c r="AL287" s="114"/>
      <c r="AM287" s="115"/>
      <c r="AN287" s="115"/>
      <c r="AO287" s="116"/>
      <c r="AQ287" s="11">
        <v>46306</v>
      </c>
      <c r="AR287" s="33" t="s">
        <v>7</v>
      </c>
      <c r="AS287" s="114"/>
      <c r="AT287" s="115"/>
      <c r="AU287" s="115"/>
      <c r="AV287" s="116"/>
      <c r="AX287" s="11">
        <v>46305</v>
      </c>
      <c r="AY287" s="33" t="s">
        <v>6</v>
      </c>
      <c r="AZ287" s="114"/>
      <c r="BA287" s="115"/>
      <c r="BB287" s="115"/>
      <c r="BC287" s="116"/>
      <c r="BE287" s="11">
        <v>46306</v>
      </c>
      <c r="BF287" s="33" t="s">
        <v>7</v>
      </c>
      <c r="BG287" s="33"/>
      <c r="BH287" s="19"/>
      <c r="BI287" s="19"/>
      <c r="BJ287" s="20"/>
      <c r="BL287" s="11">
        <v>46306</v>
      </c>
      <c r="BM287" s="33" t="s">
        <v>7</v>
      </c>
      <c r="BN287" s="114"/>
      <c r="BO287" s="115"/>
      <c r="BP287" s="115"/>
      <c r="BQ287" s="116"/>
      <c r="BS287" s="11">
        <v>46306</v>
      </c>
      <c r="BT287" s="33" t="s">
        <v>7</v>
      </c>
      <c r="BU287" s="114"/>
      <c r="BV287" s="115"/>
      <c r="BW287" s="115"/>
      <c r="BX287" s="116"/>
      <c r="BZ287" s="11">
        <v>46305</v>
      </c>
      <c r="CA287" s="33" t="s">
        <v>6</v>
      </c>
      <c r="CB287" s="114"/>
      <c r="CC287" s="115"/>
      <c r="CD287" s="115"/>
      <c r="CE287" s="116"/>
      <c r="CG287" s="11">
        <v>46306</v>
      </c>
      <c r="CH287" s="33" t="s">
        <v>7</v>
      </c>
      <c r="CI287" s="114"/>
      <c r="CJ287" s="115"/>
      <c r="CK287" s="115"/>
      <c r="CL287" s="116"/>
      <c r="CN287" s="11">
        <v>46306</v>
      </c>
      <c r="CO287" s="33" t="s">
        <v>7</v>
      </c>
      <c r="CP287" s="114"/>
      <c r="CQ287" s="115"/>
      <c r="CR287" s="115"/>
      <c r="CS287" s="116"/>
      <c r="CU287" s="11">
        <v>46306</v>
      </c>
      <c r="CV287" s="33" t="s">
        <v>7</v>
      </c>
      <c r="CW287" s="114"/>
      <c r="CX287" s="115"/>
      <c r="CY287" s="115"/>
      <c r="CZ287" s="116"/>
      <c r="DB287" s="11">
        <v>46304</v>
      </c>
      <c r="DC287" s="33" t="s">
        <v>5</v>
      </c>
      <c r="DD287" s="114"/>
      <c r="DE287" s="115"/>
      <c r="DF287" s="115"/>
      <c r="DG287" s="116"/>
      <c r="DI287" s="11">
        <v>46306</v>
      </c>
      <c r="DJ287" s="33" t="s">
        <v>7</v>
      </c>
      <c r="DK287" s="114"/>
      <c r="DL287" s="115"/>
      <c r="DM287" s="115"/>
      <c r="DN287" s="116"/>
      <c r="DP287" s="11">
        <v>46304</v>
      </c>
      <c r="DQ287" s="33" t="s">
        <v>5</v>
      </c>
      <c r="DR287" s="114"/>
      <c r="DS287" s="115"/>
      <c r="DT287" s="115"/>
      <c r="DU287" s="116"/>
      <c r="DW287" s="11">
        <v>46306</v>
      </c>
      <c r="DX287" s="33" t="s">
        <v>7</v>
      </c>
      <c r="DY287" s="114"/>
      <c r="DZ287" s="115"/>
      <c r="EA287" s="115"/>
      <c r="EB287" s="116"/>
    </row>
    <row r="288" spans="1:132" x14ac:dyDescent="0.25">
      <c r="A288" s="11">
        <v>46307</v>
      </c>
      <c r="B288" s="33" t="s">
        <v>8</v>
      </c>
      <c r="C288" s="114" t="s">
        <v>60</v>
      </c>
      <c r="D288" s="115"/>
      <c r="E288" s="115"/>
      <c r="F288" s="116"/>
      <c r="H288" s="11">
        <v>46307</v>
      </c>
      <c r="I288" s="33" t="s">
        <v>8</v>
      </c>
      <c r="J288" s="114" t="s">
        <v>60</v>
      </c>
      <c r="K288" s="115"/>
      <c r="L288" s="115"/>
      <c r="M288" s="116"/>
      <c r="O288" s="11">
        <v>46307</v>
      </c>
      <c r="P288" s="33" t="s">
        <v>8</v>
      </c>
      <c r="Q288" s="114" t="s">
        <v>60</v>
      </c>
      <c r="R288" s="115"/>
      <c r="S288" s="115"/>
      <c r="T288" s="116"/>
      <c r="V288" s="11">
        <v>46306</v>
      </c>
      <c r="W288" s="33" t="s">
        <v>7</v>
      </c>
      <c r="X288" s="114"/>
      <c r="Y288" s="115"/>
      <c r="Z288" s="115"/>
      <c r="AA288" s="116"/>
      <c r="AC288" s="11">
        <v>46307</v>
      </c>
      <c r="AD288" s="33" t="s">
        <v>8</v>
      </c>
      <c r="AE288" s="114" t="s">
        <v>60</v>
      </c>
      <c r="AF288" s="115"/>
      <c r="AG288" s="115"/>
      <c r="AH288" s="116"/>
      <c r="AJ288" s="11">
        <v>46307</v>
      </c>
      <c r="AK288" s="33" t="s">
        <v>8</v>
      </c>
      <c r="AL288" s="114" t="s">
        <v>60</v>
      </c>
      <c r="AM288" s="115"/>
      <c r="AN288" s="115"/>
      <c r="AO288" s="116"/>
      <c r="AQ288" s="11">
        <v>46307</v>
      </c>
      <c r="AR288" s="33" t="s">
        <v>8</v>
      </c>
      <c r="AS288" s="114" t="s">
        <v>60</v>
      </c>
      <c r="AT288" s="115"/>
      <c r="AU288" s="115"/>
      <c r="AV288" s="116"/>
      <c r="AX288" s="11">
        <v>46306</v>
      </c>
      <c r="AY288" s="33" t="s">
        <v>7</v>
      </c>
      <c r="AZ288" s="114"/>
      <c r="BA288" s="115"/>
      <c r="BB288" s="115"/>
      <c r="BC288" s="116"/>
      <c r="BE288" s="11">
        <v>46307</v>
      </c>
      <c r="BF288" s="33" t="s">
        <v>8</v>
      </c>
      <c r="BG288" s="33" t="s">
        <v>60</v>
      </c>
      <c r="BH288" s="19"/>
      <c r="BI288" s="19"/>
      <c r="BJ288" s="20"/>
      <c r="BL288" s="11">
        <v>46307</v>
      </c>
      <c r="BM288" s="33" t="s">
        <v>8</v>
      </c>
      <c r="BN288" s="114" t="s">
        <v>60</v>
      </c>
      <c r="BO288" s="115"/>
      <c r="BP288" s="115"/>
      <c r="BQ288" s="116"/>
      <c r="BS288" s="11">
        <v>46307</v>
      </c>
      <c r="BT288" s="33" t="s">
        <v>8</v>
      </c>
      <c r="BU288" s="114" t="s">
        <v>60</v>
      </c>
      <c r="BV288" s="115"/>
      <c r="BW288" s="115"/>
      <c r="BX288" s="116"/>
      <c r="BZ288" s="11">
        <v>46306</v>
      </c>
      <c r="CA288" s="33" t="s">
        <v>7</v>
      </c>
      <c r="CB288" s="114"/>
      <c r="CC288" s="115"/>
      <c r="CD288" s="115"/>
      <c r="CE288" s="116"/>
      <c r="CG288" s="11">
        <v>46307</v>
      </c>
      <c r="CH288" s="33" t="s">
        <v>8</v>
      </c>
      <c r="CI288" s="114" t="s">
        <v>60</v>
      </c>
      <c r="CJ288" s="115"/>
      <c r="CK288" s="115"/>
      <c r="CL288" s="116"/>
      <c r="CN288" s="11">
        <v>46307</v>
      </c>
      <c r="CO288" s="33" t="s">
        <v>8</v>
      </c>
      <c r="CP288" s="114" t="s">
        <v>60</v>
      </c>
      <c r="CQ288" s="115"/>
      <c r="CR288" s="115"/>
      <c r="CS288" s="116"/>
      <c r="CU288" s="11">
        <v>46307</v>
      </c>
      <c r="CV288" s="33" t="s">
        <v>8</v>
      </c>
      <c r="CW288" s="114" t="s">
        <v>60</v>
      </c>
      <c r="CX288" s="115"/>
      <c r="CY288" s="115"/>
      <c r="CZ288" s="116"/>
      <c r="DB288" s="11">
        <v>46305</v>
      </c>
      <c r="DC288" s="33" t="s">
        <v>6</v>
      </c>
      <c r="DD288" s="114"/>
      <c r="DE288" s="115"/>
      <c r="DF288" s="115"/>
      <c r="DG288" s="116"/>
      <c r="DI288" s="11">
        <v>46307</v>
      </c>
      <c r="DJ288" s="33" t="s">
        <v>8</v>
      </c>
      <c r="DK288" s="114" t="s">
        <v>60</v>
      </c>
      <c r="DL288" s="115"/>
      <c r="DM288" s="115"/>
      <c r="DN288" s="116"/>
      <c r="DP288" s="11">
        <v>46305</v>
      </c>
      <c r="DQ288" s="33" t="s">
        <v>6</v>
      </c>
      <c r="DR288" s="114"/>
      <c r="DS288" s="115"/>
      <c r="DT288" s="115"/>
      <c r="DU288" s="116"/>
      <c r="DW288" s="11">
        <v>46307</v>
      </c>
      <c r="DX288" s="33" t="s">
        <v>8</v>
      </c>
      <c r="DY288" s="114" t="s">
        <v>60</v>
      </c>
      <c r="DZ288" s="115"/>
      <c r="EA288" s="115"/>
      <c r="EB288" s="116"/>
    </row>
    <row r="289" spans="1:132" x14ac:dyDescent="0.25">
      <c r="A289" s="11">
        <v>46308</v>
      </c>
      <c r="B289" s="33" t="s">
        <v>9</v>
      </c>
      <c r="C289" s="114"/>
      <c r="D289" s="115"/>
      <c r="E289" s="115"/>
      <c r="F289" s="116"/>
      <c r="H289" s="11">
        <v>46308</v>
      </c>
      <c r="I289" s="33" t="s">
        <v>9</v>
      </c>
      <c r="J289" s="114"/>
      <c r="K289" s="115"/>
      <c r="L289" s="115"/>
      <c r="M289" s="116"/>
      <c r="O289" s="11">
        <v>46308</v>
      </c>
      <c r="P289" s="33" t="s">
        <v>9</v>
      </c>
      <c r="Q289" s="114"/>
      <c r="R289" s="115"/>
      <c r="S289" s="115"/>
      <c r="T289" s="116"/>
      <c r="V289" s="11">
        <v>46307</v>
      </c>
      <c r="W289" s="33" t="s">
        <v>8</v>
      </c>
      <c r="X289" s="114" t="s">
        <v>60</v>
      </c>
      <c r="Y289" s="115"/>
      <c r="Z289" s="115"/>
      <c r="AA289" s="116"/>
      <c r="AC289" s="11">
        <v>46308</v>
      </c>
      <c r="AD289" s="33" t="s">
        <v>9</v>
      </c>
      <c r="AE289" s="114"/>
      <c r="AF289" s="115"/>
      <c r="AG289" s="115"/>
      <c r="AH289" s="116"/>
      <c r="AJ289" s="11">
        <v>46308</v>
      </c>
      <c r="AK289" s="33" t="s">
        <v>9</v>
      </c>
      <c r="AL289" s="114"/>
      <c r="AM289" s="115"/>
      <c r="AN289" s="115"/>
      <c r="AO289" s="116"/>
      <c r="AQ289" s="11">
        <v>46308</v>
      </c>
      <c r="AR289" s="33" t="s">
        <v>9</v>
      </c>
      <c r="AS289" s="114"/>
      <c r="AT289" s="115"/>
      <c r="AU289" s="115"/>
      <c r="AV289" s="116"/>
      <c r="AX289" s="11">
        <v>46307</v>
      </c>
      <c r="AY289" s="33" t="s">
        <v>8</v>
      </c>
      <c r="AZ289" s="114" t="s">
        <v>60</v>
      </c>
      <c r="BA289" s="115"/>
      <c r="BB289" s="115"/>
      <c r="BC289" s="116"/>
      <c r="BE289" s="11">
        <v>46308</v>
      </c>
      <c r="BF289" s="33" t="s">
        <v>9</v>
      </c>
      <c r="BG289" s="33"/>
      <c r="BH289" s="19"/>
      <c r="BI289" s="19"/>
      <c r="BJ289" s="20"/>
      <c r="BL289" s="11">
        <v>46308</v>
      </c>
      <c r="BM289" s="33" t="s">
        <v>9</v>
      </c>
      <c r="BN289" s="114"/>
      <c r="BO289" s="115"/>
      <c r="BP289" s="115"/>
      <c r="BQ289" s="116"/>
      <c r="BS289" s="11">
        <v>46308</v>
      </c>
      <c r="BT289" s="33" t="s">
        <v>9</v>
      </c>
      <c r="BU289" s="114"/>
      <c r="BV289" s="115"/>
      <c r="BW289" s="115"/>
      <c r="BX289" s="116"/>
      <c r="BZ289" s="11">
        <v>46307</v>
      </c>
      <c r="CA289" s="33" t="s">
        <v>8</v>
      </c>
      <c r="CB289" s="114" t="s">
        <v>60</v>
      </c>
      <c r="CC289" s="115"/>
      <c r="CD289" s="115"/>
      <c r="CE289" s="116"/>
      <c r="CG289" s="11">
        <v>46308</v>
      </c>
      <c r="CH289" s="33" t="s">
        <v>9</v>
      </c>
      <c r="CI289" s="114"/>
      <c r="CJ289" s="115"/>
      <c r="CK289" s="115"/>
      <c r="CL289" s="116"/>
      <c r="CN289" s="11">
        <v>46308</v>
      </c>
      <c r="CO289" s="33" t="s">
        <v>9</v>
      </c>
      <c r="CP289" s="114"/>
      <c r="CQ289" s="115"/>
      <c r="CR289" s="115"/>
      <c r="CS289" s="116"/>
      <c r="CU289" s="11">
        <v>46308</v>
      </c>
      <c r="CV289" s="33" t="s">
        <v>9</v>
      </c>
      <c r="CW289" s="114"/>
      <c r="CX289" s="115"/>
      <c r="CY289" s="115"/>
      <c r="CZ289" s="116"/>
      <c r="DB289" s="11">
        <v>46306</v>
      </c>
      <c r="DC289" s="33" t="s">
        <v>7</v>
      </c>
      <c r="DD289" s="114"/>
      <c r="DE289" s="115"/>
      <c r="DF289" s="115"/>
      <c r="DG289" s="116"/>
      <c r="DI289" s="11">
        <v>46308</v>
      </c>
      <c r="DJ289" s="33" t="s">
        <v>9</v>
      </c>
      <c r="DK289" s="114"/>
      <c r="DL289" s="115"/>
      <c r="DM289" s="115"/>
      <c r="DN289" s="116"/>
      <c r="DP289" s="11">
        <v>46306</v>
      </c>
      <c r="DQ289" s="33" t="s">
        <v>7</v>
      </c>
      <c r="DR289" s="114"/>
      <c r="DS289" s="115"/>
      <c r="DT289" s="115"/>
      <c r="DU289" s="116"/>
      <c r="DW289" s="11">
        <v>46308</v>
      </c>
      <c r="DX289" s="33" t="s">
        <v>9</v>
      </c>
      <c r="DY289" s="114"/>
      <c r="DZ289" s="115"/>
      <c r="EA289" s="115"/>
      <c r="EB289" s="116"/>
    </row>
    <row r="290" spans="1:132" x14ac:dyDescent="0.25">
      <c r="A290" s="11">
        <v>46309</v>
      </c>
      <c r="B290" s="33" t="s">
        <v>3</v>
      </c>
      <c r="C290" s="114"/>
      <c r="D290" s="115"/>
      <c r="E290" s="115"/>
      <c r="F290" s="116"/>
      <c r="H290" s="11">
        <v>46309</v>
      </c>
      <c r="I290" s="33" t="s">
        <v>3</v>
      </c>
      <c r="J290" s="114"/>
      <c r="K290" s="115"/>
      <c r="L290" s="115"/>
      <c r="M290" s="116"/>
      <c r="O290" s="11">
        <v>46309</v>
      </c>
      <c r="P290" s="33" t="s">
        <v>3</v>
      </c>
      <c r="Q290" s="114"/>
      <c r="R290" s="115"/>
      <c r="S290" s="115"/>
      <c r="T290" s="116"/>
      <c r="V290" s="11">
        <v>46308</v>
      </c>
      <c r="W290" s="33" t="s">
        <v>9</v>
      </c>
      <c r="X290" s="114"/>
      <c r="Y290" s="115"/>
      <c r="Z290" s="115"/>
      <c r="AA290" s="116"/>
      <c r="AC290" s="11">
        <v>46309</v>
      </c>
      <c r="AD290" s="33" t="s">
        <v>3</v>
      </c>
      <c r="AE290" s="114"/>
      <c r="AF290" s="115"/>
      <c r="AG290" s="115"/>
      <c r="AH290" s="116"/>
      <c r="AJ290" s="11">
        <v>46309</v>
      </c>
      <c r="AK290" s="33" t="s">
        <v>3</v>
      </c>
      <c r="AL290" s="114"/>
      <c r="AM290" s="115"/>
      <c r="AN290" s="115"/>
      <c r="AO290" s="116"/>
      <c r="AQ290" s="11">
        <v>46309</v>
      </c>
      <c r="AR290" s="33" t="s">
        <v>3</v>
      </c>
      <c r="AS290" s="114"/>
      <c r="AT290" s="115"/>
      <c r="AU290" s="115"/>
      <c r="AV290" s="116"/>
      <c r="AX290" s="11">
        <v>46308</v>
      </c>
      <c r="AY290" s="33" t="s">
        <v>9</v>
      </c>
      <c r="AZ290" s="114"/>
      <c r="BA290" s="115"/>
      <c r="BB290" s="115"/>
      <c r="BC290" s="116"/>
      <c r="BE290" s="11">
        <v>46309</v>
      </c>
      <c r="BF290" s="33" t="s">
        <v>3</v>
      </c>
      <c r="BG290" s="33"/>
      <c r="BH290" s="19"/>
      <c r="BI290" s="19"/>
      <c r="BJ290" s="20"/>
      <c r="BL290" s="11">
        <v>46309</v>
      </c>
      <c r="BM290" s="33" t="s">
        <v>3</v>
      </c>
      <c r="BN290" s="114"/>
      <c r="BO290" s="115"/>
      <c r="BP290" s="115"/>
      <c r="BQ290" s="116"/>
      <c r="BS290" s="11">
        <v>46309</v>
      </c>
      <c r="BT290" s="33" t="s">
        <v>3</v>
      </c>
      <c r="BU290" s="114"/>
      <c r="BV290" s="115"/>
      <c r="BW290" s="115"/>
      <c r="BX290" s="116"/>
      <c r="BZ290" s="11">
        <v>46308</v>
      </c>
      <c r="CA290" s="33" t="s">
        <v>9</v>
      </c>
      <c r="CB290" s="114"/>
      <c r="CC290" s="115"/>
      <c r="CD290" s="115"/>
      <c r="CE290" s="116"/>
      <c r="CG290" s="11">
        <v>46309</v>
      </c>
      <c r="CH290" s="33" t="s">
        <v>3</v>
      </c>
      <c r="CI290" s="114"/>
      <c r="CJ290" s="115"/>
      <c r="CK290" s="115"/>
      <c r="CL290" s="116"/>
      <c r="CN290" s="11">
        <v>46309</v>
      </c>
      <c r="CO290" s="33" t="s">
        <v>3</v>
      </c>
      <c r="CP290" s="114"/>
      <c r="CQ290" s="115"/>
      <c r="CR290" s="115"/>
      <c r="CS290" s="116"/>
      <c r="CU290" s="11">
        <v>46309</v>
      </c>
      <c r="CV290" s="33" t="s">
        <v>3</v>
      </c>
      <c r="CW290" s="114"/>
      <c r="CX290" s="115"/>
      <c r="CY290" s="115"/>
      <c r="CZ290" s="116"/>
      <c r="DB290" s="11">
        <v>46307</v>
      </c>
      <c r="DC290" s="33" t="s">
        <v>8</v>
      </c>
      <c r="DD290" s="114" t="s">
        <v>60</v>
      </c>
      <c r="DE290" s="115"/>
      <c r="DF290" s="115"/>
      <c r="DG290" s="116"/>
      <c r="DI290" s="11">
        <v>46309</v>
      </c>
      <c r="DJ290" s="33" t="s">
        <v>3</v>
      </c>
      <c r="DK290" s="114"/>
      <c r="DL290" s="115"/>
      <c r="DM290" s="115"/>
      <c r="DN290" s="116"/>
      <c r="DP290" s="11">
        <v>46307</v>
      </c>
      <c r="DQ290" s="33" t="s">
        <v>8</v>
      </c>
      <c r="DR290" s="114" t="s">
        <v>60</v>
      </c>
      <c r="DS290" s="115"/>
      <c r="DT290" s="115"/>
      <c r="DU290" s="116"/>
      <c r="DW290" s="11">
        <v>46309</v>
      </c>
      <c r="DX290" s="33" t="s">
        <v>3</v>
      </c>
      <c r="DY290" s="114"/>
      <c r="DZ290" s="115"/>
      <c r="EA290" s="115"/>
      <c r="EB290" s="116"/>
    </row>
    <row r="291" spans="1:132" x14ac:dyDescent="0.25">
      <c r="A291" s="11">
        <v>46310</v>
      </c>
      <c r="B291" s="33" t="s">
        <v>4</v>
      </c>
      <c r="C291" s="114"/>
      <c r="D291" s="115"/>
      <c r="E291" s="115"/>
      <c r="F291" s="116"/>
      <c r="H291" s="11">
        <v>46310</v>
      </c>
      <c r="I291" s="33" t="s">
        <v>4</v>
      </c>
      <c r="J291" s="114"/>
      <c r="K291" s="115"/>
      <c r="L291" s="115"/>
      <c r="M291" s="116"/>
      <c r="O291" s="11">
        <v>46310</v>
      </c>
      <c r="P291" s="33" t="s">
        <v>4</v>
      </c>
      <c r="Q291" s="114"/>
      <c r="R291" s="115"/>
      <c r="S291" s="115"/>
      <c r="T291" s="116"/>
      <c r="V291" s="11">
        <v>46309</v>
      </c>
      <c r="W291" s="33" t="s">
        <v>3</v>
      </c>
      <c r="X291" s="114"/>
      <c r="Y291" s="115"/>
      <c r="Z291" s="115"/>
      <c r="AA291" s="116"/>
      <c r="AC291" s="11">
        <v>46310</v>
      </c>
      <c r="AD291" s="33" t="s">
        <v>4</v>
      </c>
      <c r="AE291" s="114"/>
      <c r="AF291" s="115"/>
      <c r="AG291" s="115"/>
      <c r="AH291" s="116"/>
      <c r="AJ291" s="11">
        <v>46310</v>
      </c>
      <c r="AK291" s="33" t="s">
        <v>4</v>
      </c>
      <c r="AL291" s="114"/>
      <c r="AM291" s="115"/>
      <c r="AN291" s="115"/>
      <c r="AO291" s="116"/>
      <c r="AQ291" s="11">
        <v>46310</v>
      </c>
      <c r="AR291" s="33" t="s">
        <v>4</v>
      </c>
      <c r="AS291" s="114"/>
      <c r="AT291" s="115"/>
      <c r="AU291" s="115"/>
      <c r="AV291" s="116"/>
      <c r="AX291" s="11">
        <v>46309</v>
      </c>
      <c r="AY291" s="33" t="s">
        <v>3</v>
      </c>
      <c r="AZ291" s="114"/>
      <c r="BA291" s="115"/>
      <c r="BB291" s="115"/>
      <c r="BC291" s="116"/>
      <c r="BE291" s="11">
        <v>46310</v>
      </c>
      <c r="BF291" s="33" t="s">
        <v>4</v>
      </c>
      <c r="BG291" s="33"/>
      <c r="BH291" s="19"/>
      <c r="BI291" s="19"/>
      <c r="BJ291" s="20"/>
      <c r="BL291" s="11">
        <v>46310</v>
      </c>
      <c r="BM291" s="33" t="s">
        <v>4</v>
      </c>
      <c r="BN291" s="114"/>
      <c r="BO291" s="115"/>
      <c r="BP291" s="115"/>
      <c r="BQ291" s="116"/>
      <c r="BS291" s="11">
        <v>46310</v>
      </c>
      <c r="BT291" s="33" t="s">
        <v>4</v>
      </c>
      <c r="BU291" s="114"/>
      <c r="BV291" s="115"/>
      <c r="BW291" s="115"/>
      <c r="BX291" s="116"/>
      <c r="BZ291" s="11">
        <v>46309</v>
      </c>
      <c r="CA291" s="33" t="s">
        <v>3</v>
      </c>
      <c r="CB291" s="114"/>
      <c r="CC291" s="115"/>
      <c r="CD291" s="115"/>
      <c r="CE291" s="116"/>
      <c r="CG291" s="11">
        <v>46310</v>
      </c>
      <c r="CH291" s="33" t="s">
        <v>4</v>
      </c>
      <c r="CI291" s="114"/>
      <c r="CJ291" s="115"/>
      <c r="CK291" s="115"/>
      <c r="CL291" s="116"/>
      <c r="CN291" s="11">
        <v>46310</v>
      </c>
      <c r="CO291" s="33" t="s">
        <v>4</v>
      </c>
      <c r="CP291" s="114"/>
      <c r="CQ291" s="115"/>
      <c r="CR291" s="115"/>
      <c r="CS291" s="116"/>
      <c r="CU291" s="11">
        <v>46310</v>
      </c>
      <c r="CV291" s="33" t="s">
        <v>4</v>
      </c>
      <c r="CW291" s="114"/>
      <c r="CX291" s="115"/>
      <c r="CY291" s="115"/>
      <c r="CZ291" s="116"/>
      <c r="DB291" s="11">
        <v>46308</v>
      </c>
      <c r="DC291" s="33" t="s">
        <v>9</v>
      </c>
      <c r="DD291" s="114"/>
      <c r="DE291" s="115"/>
      <c r="DF291" s="115"/>
      <c r="DG291" s="116"/>
      <c r="DI291" s="11">
        <v>46310</v>
      </c>
      <c r="DJ291" s="33" t="s">
        <v>4</v>
      </c>
      <c r="DK291" s="114"/>
      <c r="DL291" s="115"/>
      <c r="DM291" s="115"/>
      <c r="DN291" s="116"/>
      <c r="DP291" s="11">
        <v>46308</v>
      </c>
      <c r="DQ291" s="33" t="s">
        <v>9</v>
      </c>
      <c r="DR291" s="114"/>
      <c r="DS291" s="115"/>
      <c r="DT291" s="115"/>
      <c r="DU291" s="116"/>
      <c r="DW291" s="11">
        <v>46310</v>
      </c>
      <c r="DX291" s="33" t="s">
        <v>4</v>
      </c>
      <c r="DY291" s="114"/>
      <c r="DZ291" s="115"/>
      <c r="EA291" s="115"/>
      <c r="EB291" s="116"/>
    </row>
    <row r="292" spans="1:132" x14ac:dyDescent="0.25">
      <c r="A292" s="11">
        <v>46311</v>
      </c>
      <c r="B292" s="33" t="s">
        <v>5</v>
      </c>
      <c r="C292" s="114"/>
      <c r="D292" s="115"/>
      <c r="E292" s="115"/>
      <c r="F292" s="116"/>
      <c r="H292" s="11">
        <v>46311</v>
      </c>
      <c r="I292" s="33" t="s">
        <v>5</v>
      </c>
      <c r="J292" s="114"/>
      <c r="K292" s="115"/>
      <c r="L292" s="115"/>
      <c r="M292" s="116"/>
      <c r="O292" s="11">
        <v>46311</v>
      </c>
      <c r="P292" s="33" t="s">
        <v>5</v>
      </c>
      <c r="Q292" s="114"/>
      <c r="R292" s="115"/>
      <c r="S292" s="115"/>
      <c r="T292" s="116"/>
      <c r="V292" s="11">
        <v>46310</v>
      </c>
      <c r="W292" s="33" t="s">
        <v>4</v>
      </c>
      <c r="X292" s="114"/>
      <c r="Y292" s="115"/>
      <c r="Z292" s="115"/>
      <c r="AA292" s="116"/>
      <c r="AC292" s="11">
        <v>46311</v>
      </c>
      <c r="AD292" s="33" t="s">
        <v>5</v>
      </c>
      <c r="AE292" s="114"/>
      <c r="AF292" s="115"/>
      <c r="AG292" s="115"/>
      <c r="AH292" s="116"/>
      <c r="AJ292" s="11">
        <v>46311</v>
      </c>
      <c r="AK292" s="33" t="s">
        <v>5</v>
      </c>
      <c r="AL292" s="114"/>
      <c r="AM292" s="115"/>
      <c r="AN292" s="115"/>
      <c r="AO292" s="116"/>
      <c r="AQ292" s="11">
        <v>46311</v>
      </c>
      <c r="AR292" s="33" t="s">
        <v>5</v>
      </c>
      <c r="AS292" s="114"/>
      <c r="AT292" s="115"/>
      <c r="AU292" s="115"/>
      <c r="AV292" s="116"/>
      <c r="AX292" s="11">
        <v>46310</v>
      </c>
      <c r="AY292" s="33" t="s">
        <v>4</v>
      </c>
      <c r="AZ292" s="114"/>
      <c r="BA292" s="115"/>
      <c r="BB292" s="115"/>
      <c r="BC292" s="116"/>
      <c r="BE292" s="11">
        <v>46311</v>
      </c>
      <c r="BF292" s="33" t="s">
        <v>5</v>
      </c>
      <c r="BG292" s="33"/>
      <c r="BH292" s="19"/>
      <c r="BI292" s="19"/>
      <c r="BJ292" s="20"/>
      <c r="BL292" s="11">
        <v>46311</v>
      </c>
      <c r="BM292" s="33" t="s">
        <v>5</v>
      </c>
      <c r="BN292" s="114"/>
      <c r="BO292" s="115"/>
      <c r="BP292" s="115"/>
      <c r="BQ292" s="116"/>
      <c r="BS292" s="11">
        <v>46311</v>
      </c>
      <c r="BT292" s="33" t="s">
        <v>5</v>
      </c>
      <c r="BU292" s="114"/>
      <c r="BV292" s="115"/>
      <c r="BW292" s="115"/>
      <c r="BX292" s="116"/>
      <c r="BZ292" s="11">
        <v>46310</v>
      </c>
      <c r="CA292" s="33" t="s">
        <v>4</v>
      </c>
      <c r="CB292" s="114"/>
      <c r="CC292" s="115"/>
      <c r="CD292" s="115"/>
      <c r="CE292" s="116"/>
      <c r="CG292" s="11">
        <v>46311</v>
      </c>
      <c r="CH292" s="33" t="s">
        <v>5</v>
      </c>
      <c r="CI292" s="114"/>
      <c r="CJ292" s="115"/>
      <c r="CK292" s="115"/>
      <c r="CL292" s="116"/>
      <c r="CN292" s="11">
        <v>46311</v>
      </c>
      <c r="CO292" s="33" t="s">
        <v>5</v>
      </c>
      <c r="CP292" s="114"/>
      <c r="CQ292" s="115"/>
      <c r="CR292" s="115"/>
      <c r="CS292" s="116"/>
      <c r="CU292" s="11">
        <v>46311</v>
      </c>
      <c r="CV292" s="33" t="s">
        <v>5</v>
      </c>
      <c r="CW292" s="114"/>
      <c r="CX292" s="115"/>
      <c r="CY292" s="115"/>
      <c r="CZ292" s="116"/>
      <c r="DB292" s="11">
        <v>46309</v>
      </c>
      <c r="DC292" s="33" t="s">
        <v>3</v>
      </c>
      <c r="DD292" s="114"/>
      <c r="DE292" s="115"/>
      <c r="DF292" s="115"/>
      <c r="DG292" s="116"/>
      <c r="DI292" s="11">
        <v>46311</v>
      </c>
      <c r="DJ292" s="33" t="s">
        <v>5</v>
      </c>
      <c r="DK292" s="114"/>
      <c r="DL292" s="115"/>
      <c r="DM292" s="115"/>
      <c r="DN292" s="116"/>
      <c r="DP292" s="11">
        <v>46309</v>
      </c>
      <c r="DQ292" s="33" t="s">
        <v>3</v>
      </c>
      <c r="DR292" s="114"/>
      <c r="DS292" s="115"/>
      <c r="DT292" s="115"/>
      <c r="DU292" s="116"/>
      <c r="DW292" s="11">
        <v>46311</v>
      </c>
      <c r="DX292" s="33" t="s">
        <v>5</v>
      </c>
      <c r="DY292" s="114"/>
      <c r="DZ292" s="115"/>
      <c r="EA292" s="115"/>
      <c r="EB292" s="116"/>
    </row>
    <row r="293" spans="1:132" x14ac:dyDescent="0.25">
      <c r="A293" s="11">
        <v>46312</v>
      </c>
      <c r="B293" s="33" t="s">
        <v>6</v>
      </c>
      <c r="C293" s="114"/>
      <c r="D293" s="115"/>
      <c r="E293" s="115"/>
      <c r="F293" s="116"/>
      <c r="H293" s="11">
        <v>46312</v>
      </c>
      <c r="I293" s="33" t="s">
        <v>6</v>
      </c>
      <c r="J293" s="114"/>
      <c r="K293" s="115"/>
      <c r="L293" s="115"/>
      <c r="M293" s="116"/>
      <c r="O293" s="11">
        <v>46312</v>
      </c>
      <c r="P293" s="33" t="s">
        <v>6</v>
      </c>
      <c r="Q293" s="114"/>
      <c r="R293" s="115"/>
      <c r="S293" s="115"/>
      <c r="T293" s="116"/>
      <c r="V293" s="11">
        <v>46311</v>
      </c>
      <c r="W293" s="33" t="s">
        <v>5</v>
      </c>
      <c r="X293" s="114"/>
      <c r="Y293" s="115"/>
      <c r="Z293" s="115"/>
      <c r="AA293" s="116"/>
      <c r="AC293" s="11">
        <v>46312</v>
      </c>
      <c r="AD293" s="33" t="s">
        <v>6</v>
      </c>
      <c r="AE293" s="114"/>
      <c r="AF293" s="115"/>
      <c r="AG293" s="115"/>
      <c r="AH293" s="116"/>
      <c r="AJ293" s="11">
        <v>46312</v>
      </c>
      <c r="AK293" s="33" t="s">
        <v>6</v>
      </c>
      <c r="AL293" s="114"/>
      <c r="AM293" s="115"/>
      <c r="AN293" s="115"/>
      <c r="AO293" s="116"/>
      <c r="AQ293" s="11">
        <v>46312</v>
      </c>
      <c r="AR293" s="33" t="s">
        <v>6</v>
      </c>
      <c r="AS293" s="114"/>
      <c r="AT293" s="115"/>
      <c r="AU293" s="115"/>
      <c r="AV293" s="116"/>
      <c r="AX293" s="11">
        <v>46311</v>
      </c>
      <c r="AY293" s="33" t="s">
        <v>5</v>
      </c>
      <c r="AZ293" s="114"/>
      <c r="BA293" s="115"/>
      <c r="BB293" s="115"/>
      <c r="BC293" s="116"/>
      <c r="BE293" s="11">
        <v>46312</v>
      </c>
      <c r="BF293" s="33" t="s">
        <v>6</v>
      </c>
      <c r="BG293" s="33"/>
      <c r="BH293" s="19"/>
      <c r="BI293" s="19"/>
      <c r="BJ293" s="20"/>
      <c r="BL293" s="11">
        <v>46312</v>
      </c>
      <c r="BM293" s="33" t="s">
        <v>6</v>
      </c>
      <c r="BN293" s="114"/>
      <c r="BO293" s="115"/>
      <c r="BP293" s="115"/>
      <c r="BQ293" s="116"/>
      <c r="BS293" s="11">
        <v>46312</v>
      </c>
      <c r="BT293" s="33" t="s">
        <v>6</v>
      </c>
      <c r="BU293" s="114"/>
      <c r="BV293" s="115"/>
      <c r="BW293" s="115"/>
      <c r="BX293" s="116"/>
      <c r="BZ293" s="11">
        <v>46311</v>
      </c>
      <c r="CA293" s="33" t="s">
        <v>5</v>
      </c>
      <c r="CB293" s="114"/>
      <c r="CC293" s="115"/>
      <c r="CD293" s="115"/>
      <c r="CE293" s="116"/>
      <c r="CG293" s="11">
        <v>46312</v>
      </c>
      <c r="CH293" s="33" t="s">
        <v>6</v>
      </c>
      <c r="CI293" s="114"/>
      <c r="CJ293" s="115"/>
      <c r="CK293" s="115"/>
      <c r="CL293" s="116"/>
      <c r="CN293" s="11">
        <v>46312</v>
      </c>
      <c r="CO293" s="33" t="s">
        <v>6</v>
      </c>
      <c r="CP293" s="114"/>
      <c r="CQ293" s="115"/>
      <c r="CR293" s="115"/>
      <c r="CS293" s="116"/>
      <c r="CU293" s="11">
        <v>46312</v>
      </c>
      <c r="CV293" s="33" t="s">
        <v>6</v>
      </c>
      <c r="CW293" s="114"/>
      <c r="CX293" s="115"/>
      <c r="CY293" s="115"/>
      <c r="CZ293" s="116"/>
      <c r="DB293" s="11">
        <v>46310</v>
      </c>
      <c r="DC293" s="33" t="s">
        <v>4</v>
      </c>
      <c r="DD293" s="114"/>
      <c r="DE293" s="115"/>
      <c r="DF293" s="115"/>
      <c r="DG293" s="116"/>
      <c r="DI293" s="11">
        <v>46312</v>
      </c>
      <c r="DJ293" s="33" t="s">
        <v>6</v>
      </c>
      <c r="DK293" s="114"/>
      <c r="DL293" s="115"/>
      <c r="DM293" s="115"/>
      <c r="DN293" s="116"/>
      <c r="DP293" s="11">
        <v>46310</v>
      </c>
      <c r="DQ293" s="33" t="s">
        <v>4</v>
      </c>
      <c r="DR293" s="114"/>
      <c r="DS293" s="115"/>
      <c r="DT293" s="115"/>
      <c r="DU293" s="116"/>
      <c r="DW293" s="11">
        <v>46312</v>
      </c>
      <c r="DX293" s="33" t="s">
        <v>6</v>
      </c>
      <c r="DY293" s="114"/>
      <c r="DZ293" s="115"/>
      <c r="EA293" s="115"/>
      <c r="EB293" s="116"/>
    </row>
    <row r="294" spans="1:132" x14ac:dyDescent="0.25">
      <c r="A294" s="11">
        <v>46313</v>
      </c>
      <c r="B294" s="33" t="s">
        <v>7</v>
      </c>
      <c r="C294" s="114"/>
      <c r="D294" s="115"/>
      <c r="E294" s="115"/>
      <c r="F294" s="116"/>
      <c r="H294" s="11">
        <v>46313</v>
      </c>
      <c r="I294" s="33" t="s">
        <v>7</v>
      </c>
      <c r="J294" s="114"/>
      <c r="K294" s="115"/>
      <c r="L294" s="115"/>
      <c r="M294" s="116"/>
      <c r="O294" s="11">
        <v>46313</v>
      </c>
      <c r="P294" s="33" t="s">
        <v>7</v>
      </c>
      <c r="Q294" s="114"/>
      <c r="R294" s="115"/>
      <c r="S294" s="115"/>
      <c r="T294" s="116"/>
      <c r="V294" s="11">
        <v>46312</v>
      </c>
      <c r="W294" s="33" t="s">
        <v>6</v>
      </c>
      <c r="X294" s="114"/>
      <c r="Y294" s="115"/>
      <c r="Z294" s="115"/>
      <c r="AA294" s="116"/>
      <c r="AC294" s="11">
        <v>46313</v>
      </c>
      <c r="AD294" s="33" t="s">
        <v>7</v>
      </c>
      <c r="AE294" s="114"/>
      <c r="AF294" s="115"/>
      <c r="AG294" s="115"/>
      <c r="AH294" s="116"/>
      <c r="AJ294" s="11">
        <v>46313</v>
      </c>
      <c r="AK294" s="33" t="s">
        <v>7</v>
      </c>
      <c r="AL294" s="114"/>
      <c r="AM294" s="115"/>
      <c r="AN294" s="115"/>
      <c r="AO294" s="116"/>
      <c r="AQ294" s="11">
        <v>46313</v>
      </c>
      <c r="AR294" s="33" t="s">
        <v>7</v>
      </c>
      <c r="AS294" s="114"/>
      <c r="AT294" s="115"/>
      <c r="AU294" s="115"/>
      <c r="AV294" s="116"/>
      <c r="AX294" s="11">
        <v>46312</v>
      </c>
      <c r="AY294" s="33" t="s">
        <v>6</v>
      </c>
      <c r="AZ294" s="114"/>
      <c r="BA294" s="115"/>
      <c r="BB294" s="115"/>
      <c r="BC294" s="116"/>
      <c r="BE294" s="11">
        <v>46313</v>
      </c>
      <c r="BF294" s="33" t="s">
        <v>7</v>
      </c>
      <c r="BG294" s="33"/>
      <c r="BH294" s="19"/>
      <c r="BI294" s="19"/>
      <c r="BJ294" s="20"/>
      <c r="BL294" s="11">
        <v>46313</v>
      </c>
      <c r="BM294" s="33" t="s">
        <v>7</v>
      </c>
      <c r="BN294" s="114"/>
      <c r="BO294" s="115"/>
      <c r="BP294" s="115"/>
      <c r="BQ294" s="116"/>
      <c r="BS294" s="11">
        <v>46313</v>
      </c>
      <c r="BT294" s="33" t="s">
        <v>7</v>
      </c>
      <c r="BU294" s="114"/>
      <c r="BV294" s="115"/>
      <c r="BW294" s="115"/>
      <c r="BX294" s="116"/>
      <c r="BZ294" s="11">
        <v>46312</v>
      </c>
      <c r="CA294" s="33" t="s">
        <v>6</v>
      </c>
      <c r="CB294" s="114"/>
      <c r="CC294" s="115"/>
      <c r="CD294" s="115"/>
      <c r="CE294" s="116"/>
      <c r="CG294" s="11">
        <v>46313</v>
      </c>
      <c r="CH294" s="33" t="s">
        <v>7</v>
      </c>
      <c r="CI294" s="114"/>
      <c r="CJ294" s="115"/>
      <c r="CK294" s="115"/>
      <c r="CL294" s="116"/>
      <c r="CN294" s="11">
        <v>46313</v>
      </c>
      <c r="CO294" s="33" t="s">
        <v>7</v>
      </c>
      <c r="CP294" s="114"/>
      <c r="CQ294" s="115"/>
      <c r="CR294" s="115"/>
      <c r="CS294" s="116"/>
      <c r="CU294" s="11">
        <v>46313</v>
      </c>
      <c r="CV294" s="33" t="s">
        <v>7</v>
      </c>
      <c r="CW294" s="114"/>
      <c r="CX294" s="115"/>
      <c r="CY294" s="115"/>
      <c r="CZ294" s="116"/>
      <c r="DB294" s="11">
        <v>46311</v>
      </c>
      <c r="DC294" s="33" t="s">
        <v>5</v>
      </c>
      <c r="DD294" s="114"/>
      <c r="DE294" s="115"/>
      <c r="DF294" s="115"/>
      <c r="DG294" s="116"/>
      <c r="DI294" s="11">
        <v>46313</v>
      </c>
      <c r="DJ294" s="33" t="s">
        <v>7</v>
      </c>
      <c r="DK294" s="114"/>
      <c r="DL294" s="115"/>
      <c r="DM294" s="115"/>
      <c r="DN294" s="116"/>
      <c r="DP294" s="11">
        <v>46311</v>
      </c>
      <c r="DQ294" s="33" t="s">
        <v>5</v>
      </c>
      <c r="DR294" s="114"/>
      <c r="DS294" s="115"/>
      <c r="DT294" s="115"/>
      <c r="DU294" s="116"/>
      <c r="DW294" s="11">
        <v>46313</v>
      </c>
      <c r="DX294" s="33" t="s">
        <v>7</v>
      </c>
      <c r="DY294" s="114"/>
      <c r="DZ294" s="115"/>
      <c r="EA294" s="115"/>
      <c r="EB294" s="116"/>
    </row>
    <row r="295" spans="1:132" x14ac:dyDescent="0.25">
      <c r="A295" s="11">
        <v>46314</v>
      </c>
      <c r="B295" s="33" t="s">
        <v>8</v>
      </c>
      <c r="C295" s="114"/>
      <c r="D295" s="115"/>
      <c r="E295" s="115"/>
      <c r="F295" s="116"/>
      <c r="H295" s="11">
        <v>46314</v>
      </c>
      <c r="I295" s="33" t="s">
        <v>8</v>
      </c>
      <c r="J295" s="114"/>
      <c r="K295" s="115"/>
      <c r="L295" s="115"/>
      <c r="M295" s="116"/>
      <c r="O295" s="11">
        <v>46314</v>
      </c>
      <c r="P295" s="33" t="s">
        <v>8</v>
      </c>
      <c r="Q295" s="114"/>
      <c r="R295" s="115"/>
      <c r="S295" s="115"/>
      <c r="T295" s="116"/>
      <c r="V295" s="11">
        <v>46313</v>
      </c>
      <c r="W295" s="33" t="s">
        <v>7</v>
      </c>
      <c r="X295" s="114"/>
      <c r="Y295" s="115"/>
      <c r="Z295" s="115"/>
      <c r="AA295" s="116"/>
      <c r="AC295" s="11">
        <v>46314</v>
      </c>
      <c r="AD295" s="33" t="s">
        <v>8</v>
      </c>
      <c r="AE295" s="114"/>
      <c r="AF295" s="115"/>
      <c r="AG295" s="115"/>
      <c r="AH295" s="116"/>
      <c r="AJ295" s="11">
        <v>46314</v>
      </c>
      <c r="AK295" s="33" t="s">
        <v>8</v>
      </c>
      <c r="AL295" s="114"/>
      <c r="AM295" s="115"/>
      <c r="AN295" s="115"/>
      <c r="AO295" s="116"/>
      <c r="AQ295" s="11">
        <v>46314</v>
      </c>
      <c r="AR295" s="33" t="s">
        <v>8</v>
      </c>
      <c r="AS295" s="114"/>
      <c r="AT295" s="115"/>
      <c r="AU295" s="115"/>
      <c r="AV295" s="116"/>
      <c r="AX295" s="11">
        <v>46313</v>
      </c>
      <c r="AY295" s="33" t="s">
        <v>7</v>
      </c>
      <c r="AZ295" s="114"/>
      <c r="BA295" s="115"/>
      <c r="BB295" s="115"/>
      <c r="BC295" s="116"/>
      <c r="BE295" s="11">
        <v>46314</v>
      </c>
      <c r="BF295" s="33" t="s">
        <v>8</v>
      </c>
      <c r="BG295" s="33"/>
      <c r="BH295" s="19"/>
      <c r="BI295" s="19"/>
      <c r="BJ295" s="20"/>
      <c r="BL295" s="11">
        <v>46314</v>
      </c>
      <c r="BM295" s="33" t="s">
        <v>8</v>
      </c>
      <c r="BN295" s="114"/>
      <c r="BO295" s="115"/>
      <c r="BP295" s="115"/>
      <c r="BQ295" s="116"/>
      <c r="BS295" s="11">
        <v>46314</v>
      </c>
      <c r="BT295" s="33" t="s">
        <v>8</v>
      </c>
      <c r="BU295" s="114"/>
      <c r="BV295" s="115"/>
      <c r="BW295" s="115"/>
      <c r="BX295" s="116"/>
      <c r="BZ295" s="11">
        <v>46313</v>
      </c>
      <c r="CA295" s="33" t="s">
        <v>7</v>
      </c>
      <c r="CB295" s="114"/>
      <c r="CC295" s="115"/>
      <c r="CD295" s="115"/>
      <c r="CE295" s="116"/>
      <c r="CG295" s="11">
        <v>46314</v>
      </c>
      <c r="CH295" s="33" t="s">
        <v>8</v>
      </c>
      <c r="CI295" s="114"/>
      <c r="CJ295" s="115"/>
      <c r="CK295" s="115"/>
      <c r="CL295" s="116"/>
      <c r="CN295" s="11">
        <v>46314</v>
      </c>
      <c r="CO295" s="33" t="s">
        <v>8</v>
      </c>
      <c r="CP295" s="114"/>
      <c r="CQ295" s="115"/>
      <c r="CR295" s="115"/>
      <c r="CS295" s="116"/>
      <c r="CU295" s="11">
        <v>46314</v>
      </c>
      <c r="CV295" s="33" t="s">
        <v>8</v>
      </c>
      <c r="CW295" s="114"/>
      <c r="CX295" s="115"/>
      <c r="CY295" s="115"/>
      <c r="CZ295" s="116"/>
      <c r="DB295" s="11">
        <v>46312</v>
      </c>
      <c r="DC295" s="33" t="s">
        <v>6</v>
      </c>
      <c r="DD295" s="114"/>
      <c r="DE295" s="115"/>
      <c r="DF295" s="115"/>
      <c r="DG295" s="116"/>
      <c r="DI295" s="11">
        <v>46314</v>
      </c>
      <c r="DJ295" s="33" t="s">
        <v>8</v>
      </c>
      <c r="DK295" s="114"/>
      <c r="DL295" s="115"/>
      <c r="DM295" s="115"/>
      <c r="DN295" s="116"/>
      <c r="DP295" s="11">
        <v>46312</v>
      </c>
      <c r="DQ295" s="33" t="s">
        <v>6</v>
      </c>
      <c r="DR295" s="114"/>
      <c r="DS295" s="115"/>
      <c r="DT295" s="115"/>
      <c r="DU295" s="116"/>
      <c r="DW295" s="11">
        <v>46314</v>
      </c>
      <c r="DX295" s="33" t="s">
        <v>8</v>
      </c>
      <c r="DY295" s="114"/>
      <c r="DZ295" s="115"/>
      <c r="EA295" s="115"/>
      <c r="EB295" s="116"/>
    </row>
    <row r="296" spans="1:132" x14ac:dyDescent="0.25">
      <c r="A296" s="11">
        <v>46315</v>
      </c>
      <c r="B296" s="33" t="s">
        <v>9</v>
      </c>
      <c r="C296" s="114"/>
      <c r="D296" s="115"/>
      <c r="E296" s="115"/>
      <c r="F296" s="116"/>
      <c r="H296" s="11">
        <v>46315</v>
      </c>
      <c r="I296" s="33" t="s">
        <v>9</v>
      </c>
      <c r="J296" s="114"/>
      <c r="K296" s="115"/>
      <c r="L296" s="115"/>
      <c r="M296" s="116"/>
      <c r="O296" s="11">
        <v>46315</v>
      </c>
      <c r="P296" s="33" t="s">
        <v>9</v>
      </c>
      <c r="Q296" s="114"/>
      <c r="R296" s="115"/>
      <c r="S296" s="115"/>
      <c r="T296" s="116"/>
      <c r="V296" s="11">
        <v>46314</v>
      </c>
      <c r="W296" s="33" t="s">
        <v>8</v>
      </c>
      <c r="X296" s="114"/>
      <c r="Y296" s="115"/>
      <c r="Z296" s="115"/>
      <c r="AA296" s="116"/>
      <c r="AC296" s="11">
        <v>46315</v>
      </c>
      <c r="AD296" s="33" t="s">
        <v>9</v>
      </c>
      <c r="AE296" s="114"/>
      <c r="AF296" s="115"/>
      <c r="AG296" s="115"/>
      <c r="AH296" s="116"/>
      <c r="AJ296" s="11">
        <v>46315</v>
      </c>
      <c r="AK296" s="33" t="s">
        <v>9</v>
      </c>
      <c r="AL296" s="114"/>
      <c r="AM296" s="115"/>
      <c r="AN296" s="115"/>
      <c r="AO296" s="116"/>
      <c r="AQ296" s="11">
        <v>46315</v>
      </c>
      <c r="AR296" s="33" t="s">
        <v>9</v>
      </c>
      <c r="AS296" s="114"/>
      <c r="AT296" s="115"/>
      <c r="AU296" s="115"/>
      <c r="AV296" s="116"/>
      <c r="AX296" s="11">
        <v>46314</v>
      </c>
      <c r="AY296" s="33" t="s">
        <v>8</v>
      </c>
      <c r="AZ296" s="114"/>
      <c r="BA296" s="115"/>
      <c r="BB296" s="115"/>
      <c r="BC296" s="116"/>
      <c r="BE296" s="11">
        <v>46315</v>
      </c>
      <c r="BF296" s="33" t="s">
        <v>9</v>
      </c>
      <c r="BG296" s="33"/>
      <c r="BH296" s="19"/>
      <c r="BI296" s="19"/>
      <c r="BJ296" s="20"/>
      <c r="BL296" s="11">
        <v>46315</v>
      </c>
      <c r="BM296" s="33" t="s">
        <v>9</v>
      </c>
      <c r="BN296" s="114"/>
      <c r="BO296" s="115"/>
      <c r="BP296" s="115"/>
      <c r="BQ296" s="116"/>
      <c r="BS296" s="11">
        <v>46315</v>
      </c>
      <c r="BT296" s="33" t="s">
        <v>9</v>
      </c>
      <c r="BU296" s="114"/>
      <c r="BV296" s="115"/>
      <c r="BW296" s="115"/>
      <c r="BX296" s="116"/>
      <c r="BZ296" s="11">
        <v>46314</v>
      </c>
      <c r="CA296" s="33" t="s">
        <v>8</v>
      </c>
      <c r="CB296" s="114"/>
      <c r="CC296" s="115"/>
      <c r="CD296" s="115"/>
      <c r="CE296" s="116"/>
      <c r="CG296" s="11">
        <v>46315</v>
      </c>
      <c r="CH296" s="33" t="s">
        <v>9</v>
      </c>
      <c r="CI296" s="114"/>
      <c r="CJ296" s="115"/>
      <c r="CK296" s="115"/>
      <c r="CL296" s="116"/>
      <c r="CN296" s="11">
        <v>46315</v>
      </c>
      <c r="CO296" s="33" t="s">
        <v>9</v>
      </c>
      <c r="CP296" s="114"/>
      <c r="CQ296" s="115"/>
      <c r="CR296" s="115"/>
      <c r="CS296" s="116"/>
      <c r="CU296" s="11">
        <v>46315</v>
      </c>
      <c r="CV296" s="33" t="s">
        <v>9</v>
      </c>
      <c r="CW296" s="114"/>
      <c r="CX296" s="115"/>
      <c r="CY296" s="115"/>
      <c r="CZ296" s="116"/>
      <c r="DB296" s="11">
        <v>46313</v>
      </c>
      <c r="DC296" s="33" t="s">
        <v>7</v>
      </c>
      <c r="DD296" s="114"/>
      <c r="DE296" s="115"/>
      <c r="DF296" s="115"/>
      <c r="DG296" s="116"/>
      <c r="DI296" s="11">
        <v>46315</v>
      </c>
      <c r="DJ296" s="33" t="s">
        <v>9</v>
      </c>
      <c r="DK296" s="114"/>
      <c r="DL296" s="115"/>
      <c r="DM296" s="115"/>
      <c r="DN296" s="116"/>
      <c r="DP296" s="11">
        <v>46313</v>
      </c>
      <c r="DQ296" s="33" t="s">
        <v>7</v>
      </c>
      <c r="DR296" s="114"/>
      <c r="DS296" s="115"/>
      <c r="DT296" s="115"/>
      <c r="DU296" s="116"/>
      <c r="DW296" s="11">
        <v>46315</v>
      </c>
      <c r="DX296" s="33" t="s">
        <v>9</v>
      </c>
      <c r="DY296" s="114"/>
      <c r="DZ296" s="115"/>
      <c r="EA296" s="115"/>
      <c r="EB296" s="116"/>
    </row>
    <row r="297" spans="1:132" x14ac:dyDescent="0.25">
      <c r="A297" s="11">
        <v>46316</v>
      </c>
      <c r="B297" s="33" t="s">
        <v>3</v>
      </c>
      <c r="C297" s="114"/>
      <c r="D297" s="115"/>
      <c r="E297" s="115"/>
      <c r="F297" s="116"/>
      <c r="H297" s="11">
        <v>46316</v>
      </c>
      <c r="I297" s="33" t="s">
        <v>3</v>
      </c>
      <c r="J297" s="114"/>
      <c r="K297" s="115"/>
      <c r="L297" s="115"/>
      <c r="M297" s="116"/>
      <c r="O297" s="11">
        <v>46316</v>
      </c>
      <c r="P297" s="33" t="s">
        <v>3</v>
      </c>
      <c r="Q297" s="114"/>
      <c r="R297" s="115"/>
      <c r="S297" s="115"/>
      <c r="T297" s="116"/>
      <c r="V297" s="11">
        <v>46315</v>
      </c>
      <c r="W297" s="33" t="s">
        <v>9</v>
      </c>
      <c r="X297" s="114"/>
      <c r="Y297" s="115"/>
      <c r="Z297" s="115"/>
      <c r="AA297" s="116"/>
      <c r="AC297" s="11">
        <v>46316</v>
      </c>
      <c r="AD297" s="33" t="s">
        <v>3</v>
      </c>
      <c r="AE297" s="114"/>
      <c r="AF297" s="115"/>
      <c r="AG297" s="115"/>
      <c r="AH297" s="116"/>
      <c r="AJ297" s="11">
        <v>46316</v>
      </c>
      <c r="AK297" s="33" t="s">
        <v>3</v>
      </c>
      <c r="AL297" s="114"/>
      <c r="AM297" s="115"/>
      <c r="AN297" s="115"/>
      <c r="AO297" s="116"/>
      <c r="AQ297" s="11">
        <v>46316</v>
      </c>
      <c r="AR297" s="33" t="s">
        <v>3</v>
      </c>
      <c r="AS297" s="114"/>
      <c r="AT297" s="115"/>
      <c r="AU297" s="115"/>
      <c r="AV297" s="116"/>
      <c r="AX297" s="11">
        <v>46315</v>
      </c>
      <c r="AY297" s="33" t="s">
        <v>9</v>
      </c>
      <c r="AZ297" s="114"/>
      <c r="BA297" s="115"/>
      <c r="BB297" s="115"/>
      <c r="BC297" s="116"/>
      <c r="BE297" s="11">
        <v>46316</v>
      </c>
      <c r="BF297" s="33" t="s">
        <v>3</v>
      </c>
      <c r="BG297" s="33"/>
      <c r="BH297" s="19"/>
      <c r="BI297" s="19"/>
      <c r="BJ297" s="20"/>
      <c r="BL297" s="11">
        <v>46316</v>
      </c>
      <c r="BM297" s="33" t="s">
        <v>3</v>
      </c>
      <c r="BN297" s="114"/>
      <c r="BO297" s="115"/>
      <c r="BP297" s="115"/>
      <c r="BQ297" s="116"/>
      <c r="BS297" s="11">
        <v>46316</v>
      </c>
      <c r="BT297" s="33" t="s">
        <v>3</v>
      </c>
      <c r="BU297" s="114"/>
      <c r="BV297" s="115"/>
      <c r="BW297" s="115"/>
      <c r="BX297" s="116"/>
      <c r="BZ297" s="11">
        <v>46315</v>
      </c>
      <c r="CA297" s="33" t="s">
        <v>9</v>
      </c>
      <c r="CB297" s="114"/>
      <c r="CC297" s="115"/>
      <c r="CD297" s="115"/>
      <c r="CE297" s="116"/>
      <c r="CG297" s="11">
        <v>46316</v>
      </c>
      <c r="CH297" s="33" t="s">
        <v>3</v>
      </c>
      <c r="CI297" s="114"/>
      <c r="CJ297" s="115"/>
      <c r="CK297" s="115"/>
      <c r="CL297" s="116"/>
      <c r="CN297" s="11">
        <v>46316</v>
      </c>
      <c r="CO297" s="33" t="s">
        <v>3</v>
      </c>
      <c r="CP297" s="114"/>
      <c r="CQ297" s="115"/>
      <c r="CR297" s="115"/>
      <c r="CS297" s="116"/>
      <c r="CU297" s="11">
        <v>46316</v>
      </c>
      <c r="CV297" s="33" t="s">
        <v>3</v>
      </c>
      <c r="CW297" s="114"/>
      <c r="CX297" s="115"/>
      <c r="CY297" s="115"/>
      <c r="CZ297" s="116"/>
      <c r="DB297" s="11">
        <v>46314</v>
      </c>
      <c r="DC297" s="33" t="s">
        <v>8</v>
      </c>
      <c r="DD297" s="114"/>
      <c r="DE297" s="115"/>
      <c r="DF297" s="115"/>
      <c r="DG297" s="116"/>
      <c r="DI297" s="11">
        <v>46316</v>
      </c>
      <c r="DJ297" s="33" t="s">
        <v>3</v>
      </c>
      <c r="DK297" s="114"/>
      <c r="DL297" s="115"/>
      <c r="DM297" s="115"/>
      <c r="DN297" s="116"/>
      <c r="DP297" s="11">
        <v>46314</v>
      </c>
      <c r="DQ297" s="33" t="s">
        <v>8</v>
      </c>
      <c r="DR297" s="114"/>
      <c r="DS297" s="115"/>
      <c r="DT297" s="115"/>
      <c r="DU297" s="116"/>
      <c r="DW297" s="11">
        <v>46316</v>
      </c>
      <c r="DX297" s="33" t="s">
        <v>3</v>
      </c>
      <c r="DY297" s="114"/>
      <c r="DZ297" s="115"/>
      <c r="EA297" s="115"/>
      <c r="EB297" s="116"/>
    </row>
    <row r="298" spans="1:132" x14ac:dyDescent="0.25">
      <c r="A298" s="11">
        <v>46317</v>
      </c>
      <c r="B298" s="33" t="s">
        <v>4</v>
      </c>
      <c r="C298" s="114"/>
      <c r="D298" s="115"/>
      <c r="E298" s="115"/>
      <c r="F298" s="116"/>
      <c r="H298" s="11">
        <v>46317</v>
      </c>
      <c r="I298" s="33" t="s">
        <v>4</v>
      </c>
      <c r="J298" s="114"/>
      <c r="K298" s="115"/>
      <c r="L298" s="115"/>
      <c r="M298" s="116"/>
      <c r="O298" s="11">
        <v>46317</v>
      </c>
      <c r="P298" s="33" t="s">
        <v>4</v>
      </c>
      <c r="Q298" s="114"/>
      <c r="R298" s="115"/>
      <c r="S298" s="115"/>
      <c r="T298" s="116"/>
      <c r="V298" s="11">
        <v>46316</v>
      </c>
      <c r="W298" s="33" t="s">
        <v>3</v>
      </c>
      <c r="X298" s="114"/>
      <c r="Y298" s="115"/>
      <c r="Z298" s="115"/>
      <c r="AA298" s="116"/>
      <c r="AC298" s="11">
        <v>46317</v>
      </c>
      <c r="AD298" s="33" t="s">
        <v>4</v>
      </c>
      <c r="AE298" s="114"/>
      <c r="AF298" s="115"/>
      <c r="AG298" s="115"/>
      <c r="AH298" s="116"/>
      <c r="AJ298" s="11">
        <v>46317</v>
      </c>
      <c r="AK298" s="33" t="s">
        <v>4</v>
      </c>
      <c r="AL298" s="114"/>
      <c r="AM298" s="115"/>
      <c r="AN298" s="115"/>
      <c r="AO298" s="116"/>
      <c r="AQ298" s="11">
        <v>46317</v>
      </c>
      <c r="AR298" s="33" t="s">
        <v>4</v>
      </c>
      <c r="AS298" s="114"/>
      <c r="AT298" s="115"/>
      <c r="AU298" s="115"/>
      <c r="AV298" s="116"/>
      <c r="AX298" s="11">
        <v>46316</v>
      </c>
      <c r="AY298" s="33" t="s">
        <v>3</v>
      </c>
      <c r="AZ298" s="114"/>
      <c r="BA298" s="115"/>
      <c r="BB298" s="115"/>
      <c r="BC298" s="116"/>
      <c r="BE298" s="11">
        <v>46317</v>
      </c>
      <c r="BF298" s="33" t="s">
        <v>4</v>
      </c>
      <c r="BG298" s="33"/>
      <c r="BH298" s="19"/>
      <c r="BI298" s="19"/>
      <c r="BJ298" s="20"/>
      <c r="BL298" s="11">
        <v>46317</v>
      </c>
      <c r="BM298" s="33" t="s">
        <v>4</v>
      </c>
      <c r="BN298" s="114"/>
      <c r="BO298" s="115"/>
      <c r="BP298" s="115"/>
      <c r="BQ298" s="116"/>
      <c r="BS298" s="11">
        <v>46317</v>
      </c>
      <c r="BT298" s="33" t="s">
        <v>4</v>
      </c>
      <c r="BU298" s="114"/>
      <c r="BV298" s="115"/>
      <c r="BW298" s="115"/>
      <c r="BX298" s="116"/>
      <c r="BZ298" s="11">
        <v>46316</v>
      </c>
      <c r="CA298" s="33" t="s">
        <v>3</v>
      </c>
      <c r="CB298" s="114"/>
      <c r="CC298" s="115"/>
      <c r="CD298" s="115"/>
      <c r="CE298" s="116"/>
      <c r="CG298" s="11">
        <v>46317</v>
      </c>
      <c r="CH298" s="33" t="s">
        <v>4</v>
      </c>
      <c r="CI298" s="114"/>
      <c r="CJ298" s="115"/>
      <c r="CK298" s="115"/>
      <c r="CL298" s="116"/>
      <c r="CN298" s="11">
        <v>46317</v>
      </c>
      <c r="CO298" s="33" t="s">
        <v>4</v>
      </c>
      <c r="CP298" s="114"/>
      <c r="CQ298" s="115"/>
      <c r="CR298" s="115"/>
      <c r="CS298" s="116"/>
      <c r="CU298" s="11">
        <v>46317</v>
      </c>
      <c r="CV298" s="33" t="s">
        <v>4</v>
      </c>
      <c r="CW298" s="114"/>
      <c r="CX298" s="115"/>
      <c r="CY298" s="115"/>
      <c r="CZ298" s="116"/>
      <c r="DB298" s="11">
        <v>46315</v>
      </c>
      <c r="DC298" s="33" t="s">
        <v>9</v>
      </c>
      <c r="DD298" s="114"/>
      <c r="DE298" s="115"/>
      <c r="DF298" s="115"/>
      <c r="DG298" s="116"/>
      <c r="DI298" s="11">
        <v>46317</v>
      </c>
      <c r="DJ298" s="33" t="s">
        <v>4</v>
      </c>
      <c r="DK298" s="114"/>
      <c r="DL298" s="115"/>
      <c r="DM298" s="115"/>
      <c r="DN298" s="116"/>
      <c r="DP298" s="11">
        <v>46315</v>
      </c>
      <c r="DQ298" s="33" t="s">
        <v>9</v>
      </c>
      <c r="DR298" s="114"/>
      <c r="DS298" s="115"/>
      <c r="DT298" s="115"/>
      <c r="DU298" s="116"/>
      <c r="DW298" s="11">
        <v>46317</v>
      </c>
      <c r="DX298" s="33" t="s">
        <v>4</v>
      </c>
      <c r="DY298" s="114"/>
      <c r="DZ298" s="115"/>
      <c r="EA298" s="115"/>
      <c r="EB298" s="116"/>
    </row>
    <row r="299" spans="1:132" x14ac:dyDescent="0.25">
      <c r="A299" s="11">
        <v>46318</v>
      </c>
      <c r="B299" s="33" t="s">
        <v>5</v>
      </c>
      <c r="C299" s="114"/>
      <c r="D299" s="115"/>
      <c r="E299" s="115"/>
      <c r="F299" s="116"/>
      <c r="H299" s="11">
        <v>46318</v>
      </c>
      <c r="I299" s="33" t="s">
        <v>5</v>
      </c>
      <c r="J299" s="114"/>
      <c r="K299" s="115"/>
      <c r="L299" s="115"/>
      <c r="M299" s="116"/>
      <c r="O299" s="11">
        <v>46318</v>
      </c>
      <c r="P299" s="33" t="s">
        <v>5</v>
      </c>
      <c r="Q299" s="114"/>
      <c r="R299" s="115"/>
      <c r="S299" s="115"/>
      <c r="T299" s="116"/>
      <c r="V299" s="11">
        <v>46317</v>
      </c>
      <c r="W299" s="33" t="s">
        <v>4</v>
      </c>
      <c r="X299" s="114"/>
      <c r="Y299" s="115"/>
      <c r="Z299" s="115"/>
      <c r="AA299" s="116"/>
      <c r="AC299" s="11">
        <v>46318</v>
      </c>
      <c r="AD299" s="33" t="s">
        <v>5</v>
      </c>
      <c r="AE299" s="114"/>
      <c r="AF299" s="115"/>
      <c r="AG299" s="115"/>
      <c r="AH299" s="116"/>
      <c r="AJ299" s="11">
        <v>46318</v>
      </c>
      <c r="AK299" s="33" t="s">
        <v>5</v>
      </c>
      <c r="AL299" s="114"/>
      <c r="AM299" s="115"/>
      <c r="AN299" s="115"/>
      <c r="AO299" s="116"/>
      <c r="AQ299" s="11">
        <v>46318</v>
      </c>
      <c r="AR299" s="33" t="s">
        <v>5</v>
      </c>
      <c r="AS299" s="114"/>
      <c r="AT299" s="115"/>
      <c r="AU299" s="115"/>
      <c r="AV299" s="116"/>
      <c r="AX299" s="11">
        <v>46317</v>
      </c>
      <c r="AY299" s="33" t="s">
        <v>4</v>
      </c>
      <c r="AZ299" s="114"/>
      <c r="BA299" s="115"/>
      <c r="BB299" s="115"/>
      <c r="BC299" s="116"/>
      <c r="BE299" s="11">
        <v>46318</v>
      </c>
      <c r="BF299" s="33" t="s">
        <v>5</v>
      </c>
      <c r="BG299" s="33"/>
      <c r="BH299" s="19"/>
      <c r="BI299" s="19"/>
      <c r="BJ299" s="20"/>
      <c r="BL299" s="11">
        <v>46318</v>
      </c>
      <c r="BM299" s="33" t="s">
        <v>5</v>
      </c>
      <c r="BN299" s="114"/>
      <c r="BO299" s="115"/>
      <c r="BP299" s="115"/>
      <c r="BQ299" s="116"/>
      <c r="BS299" s="11">
        <v>46318</v>
      </c>
      <c r="BT299" s="33" t="s">
        <v>5</v>
      </c>
      <c r="BU299" s="114"/>
      <c r="BV299" s="115"/>
      <c r="BW299" s="115"/>
      <c r="BX299" s="116"/>
      <c r="BZ299" s="11">
        <v>46317</v>
      </c>
      <c r="CA299" s="33" t="s">
        <v>4</v>
      </c>
      <c r="CB299" s="114"/>
      <c r="CC299" s="115"/>
      <c r="CD299" s="115"/>
      <c r="CE299" s="116"/>
      <c r="CG299" s="11">
        <v>46318</v>
      </c>
      <c r="CH299" s="33" t="s">
        <v>5</v>
      </c>
      <c r="CI299" s="114"/>
      <c r="CJ299" s="115"/>
      <c r="CK299" s="115"/>
      <c r="CL299" s="116"/>
      <c r="CN299" s="11">
        <v>46318</v>
      </c>
      <c r="CO299" s="33" t="s">
        <v>5</v>
      </c>
      <c r="CP299" s="114"/>
      <c r="CQ299" s="115"/>
      <c r="CR299" s="115"/>
      <c r="CS299" s="116"/>
      <c r="CU299" s="11">
        <v>46318</v>
      </c>
      <c r="CV299" s="33" t="s">
        <v>5</v>
      </c>
      <c r="CW299" s="114"/>
      <c r="CX299" s="115"/>
      <c r="CY299" s="115"/>
      <c r="CZ299" s="116"/>
      <c r="DB299" s="11">
        <v>46316</v>
      </c>
      <c r="DC299" s="33" t="s">
        <v>3</v>
      </c>
      <c r="DD299" s="114"/>
      <c r="DE299" s="115"/>
      <c r="DF299" s="115"/>
      <c r="DG299" s="116"/>
      <c r="DI299" s="11">
        <v>46318</v>
      </c>
      <c r="DJ299" s="33" t="s">
        <v>5</v>
      </c>
      <c r="DK299" s="114"/>
      <c r="DL299" s="115"/>
      <c r="DM299" s="115"/>
      <c r="DN299" s="116"/>
      <c r="DP299" s="11">
        <v>46316</v>
      </c>
      <c r="DQ299" s="33" t="s">
        <v>3</v>
      </c>
      <c r="DR299" s="114"/>
      <c r="DS299" s="115"/>
      <c r="DT299" s="115"/>
      <c r="DU299" s="116"/>
      <c r="DW299" s="11">
        <v>46318</v>
      </c>
      <c r="DX299" s="33" t="s">
        <v>5</v>
      </c>
      <c r="DY299" s="114"/>
      <c r="DZ299" s="115"/>
      <c r="EA299" s="115"/>
      <c r="EB299" s="116"/>
    </row>
    <row r="300" spans="1:132" x14ac:dyDescent="0.25">
      <c r="A300" s="11">
        <v>46319</v>
      </c>
      <c r="B300" s="33" t="s">
        <v>6</v>
      </c>
      <c r="C300" s="114"/>
      <c r="D300" s="115"/>
      <c r="E300" s="115"/>
      <c r="F300" s="116"/>
      <c r="H300" s="11">
        <v>46319</v>
      </c>
      <c r="I300" s="33" t="s">
        <v>6</v>
      </c>
      <c r="J300" s="114"/>
      <c r="K300" s="115"/>
      <c r="L300" s="115"/>
      <c r="M300" s="116"/>
      <c r="O300" s="11">
        <v>46319</v>
      </c>
      <c r="P300" s="33" t="s">
        <v>6</v>
      </c>
      <c r="Q300" s="114"/>
      <c r="R300" s="115"/>
      <c r="S300" s="115"/>
      <c r="T300" s="116"/>
      <c r="V300" s="11">
        <v>46318</v>
      </c>
      <c r="W300" s="33" t="s">
        <v>5</v>
      </c>
      <c r="X300" s="114"/>
      <c r="Y300" s="115"/>
      <c r="Z300" s="115"/>
      <c r="AA300" s="116"/>
      <c r="AC300" s="11">
        <v>46319</v>
      </c>
      <c r="AD300" s="33" t="s">
        <v>6</v>
      </c>
      <c r="AE300" s="114"/>
      <c r="AF300" s="115"/>
      <c r="AG300" s="115"/>
      <c r="AH300" s="116"/>
      <c r="AJ300" s="11">
        <v>46319</v>
      </c>
      <c r="AK300" s="33" t="s">
        <v>6</v>
      </c>
      <c r="AL300" s="114"/>
      <c r="AM300" s="115"/>
      <c r="AN300" s="115"/>
      <c r="AO300" s="116"/>
      <c r="AQ300" s="11">
        <v>46319</v>
      </c>
      <c r="AR300" s="33" t="s">
        <v>6</v>
      </c>
      <c r="AS300" s="114"/>
      <c r="AT300" s="115"/>
      <c r="AU300" s="115"/>
      <c r="AV300" s="116"/>
      <c r="AX300" s="11">
        <v>46318</v>
      </c>
      <c r="AY300" s="33" t="s">
        <v>5</v>
      </c>
      <c r="AZ300" s="114"/>
      <c r="BA300" s="115"/>
      <c r="BB300" s="115"/>
      <c r="BC300" s="116"/>
      <c r="BE300" s="11">
        <v>46319</v>
      </c>
      <c r="BF300" s="33" t="s">
        <v>6</v>
      </c>
      <c r="BG300" s="33"/>
      <c r="BH300" s="19"/>
      <c r="BI300" s="19"/>
      <c r="BJ300" s="20"/>
      <c r="BL300" s="11">
        <v>46319</v>
      </c>
      <c r="BM300" s="33" t="s">
        <v>6</v>
      </c>
      <c r="BN300" s="114"/>
      <c r="BO300" s="115"/>
      <c r="BP300" s="115"/>
      <c r="BQ300" s="116"/>
      <c r="BS300" s="11">
        <v>46319</v>
      </c>
      <c r="BT300" s="33" t="s">
        <v>6</v>
      </c>
      <c r="BU300" s="114"/>
      <c r="BV300" s="115"/>
      <c r="BW300" s="115"/>
      <c r="BX300" s="116"/>
      <c r="BZ300" s="11">
        <v>46318</v>
      </c>
      <c r="CA300" s="33" t="s">
        <v>5</v>
      </c>
      <c r="CB300" s="114"/>
      <c r="CC300" s="115"/>
      <c r="CD300" s="115"/>
      <c r="CE300" s="116"/>
      <c r="CG300" s="11">
        <v>46319</v>
      </c>
      <c r="CH300" s="33" t="s">
        <v>6</v>
      </c>
      <c r="CI300" s="114"/>
      <c r="CJ300" s="115"/>
      <c r="CK300" s="115"/>
      <c r="CL300" s="116"/>
      <c r="CN300" s="11">
        <v>46319</v>
      </c>
      <c r="CO300" s="33" t="s">
        <v>6</v>
      </c>
      <c r="CP300" s="114"/>
      <c r="CQ300" s="115"/>
      <c r="CR300" s="115"/>
      <c r="CS300" s="116"/>
      <c r="CU300" s="11">
        <v>46319</v>
      </c>
      <c r="CV300" s="33" t="s">
        <v>6</v>
      </c>
      <c r="CW300" s="114"/>
      <c r="CX300" s="115"/>
      <c r="CY300" s="115"/>
      <c r="CZ300" s="116"/>
      <c r="DB300" s="11">
        <v>46317</v>
      </c>
      <c r="DC300" s="33" t="s">
        <v>4</v>
      </c>
      <c r="DD300" s="114"/>
      <c r="DE300" s="115"/>
      <c r="DF300" s="115"/>
      <c r="DG300" s="116"/>
      <c r="DI300" s="11">
        <v>46319</v>
      </c>
      <c r="DJ300" s="33" t="s">
        <v>6</v>
      </c>
      <c r="DK300" s="114"/>
      <c r="DL300" s="115"/>
      <c r="DM300" s="115"/>
      <c r="DN300" s="116"/>
      <c r="DP300" s="11">
        <v>46317</v>
      </c>
      <c r="DQ300" s="33" t="s">
        <v>4</v>
      </c>
      <c r="DR300" s="114"/>
      <c r="DS300" s="115"/>
      <c r="DT300" s="115"/>
      <c r="DU300" s="116"/>
      <c r="DW300" s="11">
        <v>46319</v>
      </c>
      <c r="DX300" s="33" t="s">
        <v>6</v>
      </c>
      <c r="DY300" s="114"/>
      <c r="DZ300" s="115"/>
      <c r="EA300" s="115"/>
      <c r="EB300" s="116"/>
    </row>
    <row r="301" spans="1:132" x14ac:dyDescent="0.25">
      <c r="A301" s="11">
        <v>46320</v>
      </c>
      <c r="B301" s="33" t="s">
        <v>7</v>
      </c>
      <c r="C301" s="114"/>
      <c r="D301" s="115"/>
      <c r="E301" s="115"/>
      <c r="F301" s="116"/>
      <c r="H301" s="11">
        <v>46320</v>
      </c>
      <c r="I301" s="33" t="s">
        <v>7</v>
      </c>
      <c r="J301" s="114"/>
      <c r="K301" s="115"/>
      <c r="L301" s="115"/>
      <c r="M301" s="116"/>
      <c r="O301" s="11">
        <v>46320</v>
      </c>
      <c r="P301" s="33" t="s">
        <v>7</v>
      </c>
      <c r="Q301" s="114"/>
      <c r="R301" s="115"/>
      <c r="S301" s="115"/>
      <c r="T301" s="116"/>
      <c r="V301" s="11">
        <v>46319</v>
      </c>
      <c r="W301" s="33" t="s">
        <v>6</v>
      </c>
      <c r="X301" s="114"/>
      <c r="Y301" s="115"/>
      <c r="Z301" s="115"/>
      <c r="AA301" s="116"/>
      <c r="AC301" s="11">
        <v>46320</v>
      </c>
      <c r="AD301" s="33" t="s">
        <v>7</v>
      </c>
      <c r="AE301" s="114"/>
      <c r="AF301" s="115"/>
      <c r="AG301" s="115"/>
      <c r="AH301" s="116"/>
      <c r="AJ301" s="11">
        <v>46320</v>
      </c>
      <c r="AK301" s="33" t="s">
        <v>7</v>
      </c>
      <c r="AL301" s="114"/>
      <c r="AM301" s="115"/>
      <c r="AN301" s="115"/>
      <c r="AO301" s="116"/>
      <c r="AQ301" s="11">
        <v>46320</v>
      </c>
      <c r="AR301" s="33" t="s">
        <v>7</v>
      </c>
      <c r="AS301" s="114"/>
      <c r="AT301" s="115"/>
      <c r="AU301" s="115"/>
      <c r="AV301" s="116"/>
      <c r="AX301" s="11">
        <v>46319</v>
      </c>
      <c r="AY301" s="33" t="s">
        <v>6</v>
      </c>
      <c r="AZ301" s="114"/>
      <c r="BA301" s="115"/>
      <c r="BB301" s="115"/>
      <c r="BC301" s="116"/>
      <c r="BE301" s="11">
        <v>46320</v>
      </c>
      <c r="BF301" s="33" t="s">
        <v>7</v>
      </c>
      <c r="BG301" s="33"/>
      <c r="BH301" s="19"/>
      <c r="BI301" s="19"/>
      <c r="BJ301" s="20"/>
      <c r="BL301" s="11">
        <v>46320</v>
      </c>
      <c r="BM301" s="33" t="s">
        <v>7</v>
      </c>
      <c r="BN301" s="114"/>
      <c r="BO301" s="115"/>
      <c r="BP301" s="115"/>
      <c r="BQ301" s="116"/>
      <c r="BS301" s="11">
        <v>46320</v>
      </c>
      <c r="BT301" s="33" t="s">
        <v>7</v>
      </c>
      <c r="BU301" s="114"/>
      <c r="BV301" s="115"/>
      <c r="BW301" s="115"/>
      <c r="BX301" s="116"/>
      <c r="BZ301" s="11">
        <v>46319</v>
      </c>
      <c r="CA301" s="33" t="s">
        <v>6</v>
      </c>
      <c r="CB301" s="114"/>
      <c r="CC301" s="115"/>
      <c r="CD301" s="115"/>
      <c r="CE301" s="116"/>
      <c r="CG301" s="11">
        <v>46320</v>
      </c>
      <c r="CH301" s="33" t="s">
        <v>7</v>
      </c>
      <c r="CI301" s="114"/>
      <c r="CJ301" s="115"/>
      <c r="CK301" s="115"/>
      <c r="CL301" s="116"/>
      <c r="CN301" s="11">
        <v>46320</v>
      </c>
      <c r="CO301" s="33" t="s">
        <v>7</v>
      </c>
      <c r="CP301" s="114"/>
      <c r="CQ301" s="115"/>
      <c r="CR301" s="115"/>
      <c r="CS301" s="116"/>
      <c r="CU301" s="11">
        <v>46320</v>
      </c>
      <c r="CV301" s="33" t="s">
        <v>7</v>
      </c>
      <c r="CW301" s="114"/>
      <c r="CX301" s="115"/>
      <c r="CY301" s="115"/>
      <c r="CZ301" s="116"/>
      <c r="DB301" s="11">
        <v>46318</v>
      </c>
      <c r="DC301" s="33" t="s">
        <v>5</v>
      </c>
      <c r="DD301" s="114"/>
      <c r="DE301" s="115"/>
      <c r="DF301" s="115"/>
      <c r="DG301" s="116"/>
      <c r="DI301" s="11">
        <v>46320</v>
      </c>
      <c r="DJ301" s="33" t="s">
        <v>7</v>
      </c>
      <c r="DK301" s="114"/>
      <c r="DL301" s="115"/>
      <c r="DM301" s="115"/>
      <c r="DN301" s="116"/>
      <c r="DP301" s="11">
        <v>46318</v>
      </c>
      <c r="DQ301" s="33" t="s">
        <v>5</v>
      </c>
      <c r="DR301" s="114"/>
      <c r="DS301" s="115"/>
      <c r="DT301" s="115"/>
      <c r="DU301" s="116"/>
      <c r="DW301" s="11">
        <v>46320</v>
      </c>
      <c r="DX301" s="33" t="s">
        <v>7</v>
      </c>
      <c r="DY301" s="114"/>
      <c r="DZ301" s="115"/>
      <c r="EA301" s="115"/>
      <c r="EB301" s="116"/>
    </row>
    <row r="302" spans="1:132" x14ac:dyDescent="0.25">
      <c r="A302" s="11">
        <v>46321</v>
      </c>
      <c r="B302" s="33" t="s">
        <v>8</v>
      </c>
      <c r="C302" s="114"/>
      <c r="D302" s="115"/>
      <c r="E302" s="115"/>
      <c r="F302" s="116"/>
      <c r="H302" s="11">
        <v>46321</v>
      </c>
      <c r="I302" s="33" t="s">
        <v>8</v>
      </c>
      <c r="J302" s="114"/>
      <c r="K302" s="115"/>
      <c r="L302" s="115"/>
      <c r="M302" s="116"/>
      <c r="O302" s="11">
        <v>46321</v>
      </c>
      <c r="P302" s="33" t="s">
        <v>8</v>
      </c>
      <c r="Q302" s="114"/>
      <c r="R302" s="115"/>
      <c r="S302" s="115"/>
      <c r="T302" s="116"/>
      <c r="V302" s="11">
        <v>46320</v>
      </c>
      <c r="W302" s="33" t="s">
        <v>7</v>
      </c>
      <c r="X302" s="114"/>
      <c r="Y302" s="115"/>
      <c r="Z302" s="115"/>
      <c r="AA302" s="116"/>
      <c r="AC302" s="11">
        <v>46321</v>
      </c>
      <c r="AD302" s="33" t="s">
        <v>8</v>
      </c>
      <c r="AE302" s="114"/>
      <c r="AF302" s="115"/>
      <c r="AG302" s="115"/>
      <c r="AH302" s="116"/>
      <c r="AJ302" s="11">
        <v>46321</v>
      </c>
      <c r="AK302" s="33" t="s">
        <v>8</v>
      </c>
      <c r="AL302" s="114"/>
      <c r="AM302" s="115"/>
      <c r="AN302" s="115"/>
      <c r="AO302" s="116"/>
      <c r="AQ302" s="11">
        <v>46321</v>
      </c>
      <c r="AR302" s="33" t="s">
        <v>8</v>
      </c>
      <c r="AS302" s="114"/>
      <c r="AT302" s="115"/>
      <c r="AU302" s="115"/>
      <c r="AV302" s="116"/>
      <c r="AX302" s="11">
        <v>46320</v>
      </c>
      <c r="AY302" s="33" t="s">
        <v>7</v>
      </c>
      <c r="AZ302" s="114"/>
      <c r="BA302" s="115"/>
      <c r="BB302" s="115"/>
      <c r="BC302" s="116"/>
      <c r="BE302" s="11">
        <v>46321</v>
      </c>
      <c r="BF302" s="33" t="s">
        <v>8</v>
      </c>
      <c r="BG302" s="33"/>
      <c r="BH302" s="19"/>
      <c r="BI302" s="19"/>
      <c r="BJ302" s="20"/>
      <c r="BL302" s="11">
        <v>46321</v>
      </c>
      <c r="BM302" s="33" t="s">
        <v>8</v>
      </c>
      <c r="BN302" s="114"/>
      <c r="BO302" s="115"/>
      <c r="BP302" s="115"/>
      <c r="BQ302" s="116"/>
      <c r="BS302" s="11">
        <v>46321</v>
      </c>
      <c r="BT302" s="33" t="s">
        <v>8</v>
      </c>
      <c r="BU302" s="114"/>
      <c r="BV302" s="115"/>
      <c r="BW302" s="115"/>
      <c r="BX302" s="116"/>
      <c r="BZ302" s="11">
        <v>46320</v>
      </c>
      <c r="CA302" s="33" t="s">
        <v>7</v>
      </c>
      <c r="CB302" s="114"/>
      <c r="CC302" s="115"/>
      <c r="CD302" s="115"/>
      <c r="CE302" s="116"/>
      <c r="CG302" s="11">
        <v>46321</v>
      </c>
      <c r="CH302" s="33" t="s">
        <v>8</v>
      </c>
      <c r="CI302" s="114"/>
      <c r="CJ302" s="115"/>
      <c r="CK302" s="115"/>
      <c r="CL302" s="116"/>
      <c r="CN302" s="11">
        <v>46321</v>
      </c>
      <c r="CO302" s="33" t="s">
        <v>8</v>
      </c>
      <c r="CP302" s="114"/>
      <c r="CQ302" s="115"/>
      <c r="CR302" s="115"/>
      <c r="CS302" s="116"/>
      <c r="CU302" s="11">
        <v>46321</v>
      </c>
      <c r="CV302" s="33" t="s">
        <v>8</v>
      </c>
      <c r="CW302" s="114"/>
      <c r="CX302" s="115"/>
      <c r="CY302" s="115"/>
      <c r="CZ302" s="116"/>
      <c r="DB302" s="11">
        <v>46319</v>
      </c>
      <c r="DC302" s="33" t="s">
        <v>6</v>
      </c>
      <c r="DD302" s="114"/>
      <c r="DE302" s="115"/>
      <c r="DF302" s="115"/>
      <c r="DG302" s="116"/>
      <c r="DI302" s="11">
        <v>46321</v>
      </c>
      <c r="DJ302" s="33" t="s">
        <v>8</v>
      </c>
      <c r="DK302" s="114"/>
      <c r="DL302" s="115"/>
      <c r="DM302" s="115"/>
      <c r="DN302" s="116"/>
      <c r="DP302" s="11">
        <v>46319</v>
      </c>
      <c r="DQ302" s="33" t="s">
        <v>6</v>
      </c>
      <c r="DR302" s="114"/>
      <c r="DS302" s="115"/>
      <c r="DT302" s="115"/>
      <c r="DU302" s="116"/>
      <c r="DW302" s="11">
        <v>46321</v>
      </c>
      <c r="DX302" s="33" t="s">
        <v>8</v>
      </c>
      <c r="DY302" s="114"/>
      <c r="DZ302" s="115"/>
      <c r="EA302" s="115"/>
      <c r="EB302" s="116"/>
    </row>
    <row r="303" spans="1:132" x14ac:dyDescent="0.25">
      <c r="A303" s="11">
        <v>46322</v>
      </c>
      <c r="B303" s="33" t="s">
        <v>9</v>
      </c>
      <c r="C303" s="114"/>
      <c r="D303" s="115"/>
      <c r="E303" s="115"/>
      <c r="F303" s="116"/>
      <c r="H303" s="11">
        <v>46322</v>
      </c>
      <c r="I303" s="33" t="s">
        <v>9</v>
      </c>
      <c r="J303" s="114"/>
      <c r="K303" s="115"/>
      <c r="L303" s="115"/>
      <c r="M303" s="116"/>
      <c r="O303" s="11">
        <v>46322</v>
      </c>
      <c r="P303" s="33" t="s">
        <v>9</v>
      </c>
      <c r="Q303" s="114"/>
      <c r="R303" s="115"/>
      <c r="S303" s="115"/>
      <c r="T303" s="116"/>
      <c r="V303" s="11">
        <v>46321</v>
      </c>
      <c r="W303" s="33" t="s">
        <v>8</v>
      </c>
      <c r="X303" s="114"/>
      <c r="Y303" s="115"/>
      <c r="Z303" s="115"/>
      <c r="AA303" s="116"/>
      <c r="AC303" s="11">
        <v>46322</v>
      </c>
      <c r="AD303" s="33" t="s">
        <v>9</v>
      </c>
      <c r="AE303" s="114"/>
      <c r="AF303" s="115"/>
      <c r="AG303" s="115"/>
      <c r="AH303" s="116"/>
      <c r="AJ303" s="11">
        <v>46322</v>
      </c>
      <c r="AK303" s="33" t="s">
        <v>9</v>
      </c>
      <c r="AL303" s="114"/>
      <c r="AM303" s="115"/>
      <c r="AN303" s="115"/>
      <c r="AO303" s="116"/>
      <c r="AQ303" s="11">
        <v>46322</v>
      </c>
      <c r="AR303" s="33" t="s">
        <v>9</v>
      </c>
      <c r="AS303" s="114"/>
      <c r="AT303" s="115"/>
      <c r="AU303" s="115"/>
      <c r="AV303" s="116"/>
      <c r="AX303" s="11">
        <v>46321</v>
      </c>
      <c r="AY303" s="33" t="s">
        <v>8</v>
      </c>
      <c r="AZ303" s="114"/>
      <c r="BA303" s="115"/>
      <c r="BB303" s="115"/>
      <c r="BC303" s="116"/>
      <c r="BE303" s="11">
        <v>46322</v>
      </c>
      <c r="BF303" s="33" t="s">
        <v>9</v>
      </c>
      <c r="BG303" s="33"/>
      <c r="BH303" s="19"/>
      <c r="BI303" s="19"/>
      <c r="BJ303" s="20"/>
      <c r="BL303" s="11">
        <v>46322</v>
      </c>
      <c r="BM303" s="33" t="s">
        <v>9</v>
      </c>
      <c r="BN303" s="114"/>
      <c r="BO303" s="115"/>
      <c r="BP303" s="115"/>
      <c r="BQ303" s="116"/>
      <c r="BS303" s="11">
        <v>46322</v>
      </c>
      <c r="BT303" s="33" t="s">
        <v>9</v>
      </c>
      <c r="BU303" s="114"/>
      <c r="BV303" s="115"/>
      <c r="BW303" s="115"/>
      <c r="BX303" s="116"/>
      <c r="BZ303" s="11">
        <v>46321</v>
      </c>
      <c r="CA303" s="33" t="s">
        <v>8</v>
      </c>
      <c r="CB303" s="114"/>
      <c r="CC303" s="115"/>
      <c r="CD303" s="115"/>
      <c r="CE303" s="116"/>
      <c r="CG303" s="11">
        <v>46322</v>
      </c>
      <c r="CH303" s="33" t="s">
        <v>9</v>
      </c>
      <c r="CI303" s="114"/>
      <c r="CJ303" s="115"/>
      <c r="CK303" s="115"/>
      <c r="CL303" s="116"/>
      <c r="CN303" s="11">
        <v>46322</v>
      </c>
      <c r="CO303" s="33" t="s">
        <v>9</v>
      </c>
      <c r="CP303" s="114"/>
      <c r="CQ303" s="115"/>
      <c r="CR303" s="115"/>
      <c r="CS303" s="116"/>
      <c r="CU303" s="11">
        <v>46322</v>
      </c>
      <c r="CV303" s="33" t="s">
        <v>9</v>
      </c>
      <c r="CW303" s="114"/>
      <c r="CX303" s="115"/>
      <c r="CY303" s="115"/>
      <c r="CZ303" s="116"/>
      <c r="DB303" s="11">
        <v>46320</v>
      </c>
      <c r="DC303" s="33" t="s">
        <v>7</v>
      </c>
      <c r="DD303" s="114"/>
      <c r="DE303" s="115"/>
      <c r="DF303" s="115"/>
      <c r="DG303" s="116"/>
      <c r="DI303" s="11">
        <v>46322</v>
      </c>
      <c r="DJ303" s="33" t="s">
        <v>9</v>
      </c>
      <c r="DK303" s="114"/>
      <c r="DL303" s="115"/>
      <c r="DM303" s="115"/>
      <c r="DN303" s="116"/>
      <c r="DP303" s="11">
        <v>46320</v>
      </c>
      <c r="DQ303" s="33" t="s">
        <v>7</v>
      </c>
      <c r="DR303" s="114"/>
      <c r="DS303" s="115"/>
      <c r="DT303" s="115"/>
      <c r="DU303" s="116"/>
      <c r="DW303" s="11">
        <v>46322</v>
      </c>
      <c r="DX303" s="33" t="s">
        <v>9</v>
      </c>
      <c r="DY303" s="114"/>
      <c r="DZ303" s="115"/>
      <c r="EA303" s="115"/>
      <c r="EB303" s="116"/>
    </row>
    <row r="304" spans="1:132" x14ac:dyDescent="0.25">
      <c r="A304" s="11">
        <v>46323</v>
      </c>
      <c r="B304" s="33" t="s">
        <v>3</v>
      </c>
      <c r="C304" s="114"/>
      <c r="D304" s="115"/>
      <c r="E304" s="115"/>
      <c r="F304" s="116"/>
      <c r="H304" s="11">
        <v>46323</v>
      </c>
      <c r="I304" s="33" t="s">
        <v>3</v>
      </c>
      <c r="J304" s="114"/>
      <c r="K304" s="115"/>
      <c r="L304" s="115"/>
      <c r="M304" s="116"/>
      <c r="O304" s="11">
        <v>46323</v>
      </c>
      <c r="P304" s="33" t="s">
        <v>3</v>
      </c>
      <c r="Q304" s="114"/>
      <c r="R304" s="115"/>
      <c r="S304" s="115"/>
      <c r="T304" s="116"/>
      <c r="V304" s="11">
        <v>46322</v>
      </c>
      <c r="W304" s="33" t="s">
        <v>9</v>
      </c>
      <c r="X304" s="114"/>
      <c r="Y304" s="115"/>
      <c r="Z304" s="115"/>
      <c r="AA304" s="116"/>
      <c r="AC304" s="11">
        <v>46323</v>
      </c>
      <c r="AD304" s="33" t="s">
        <v>3</v>
      </c>
      <c r="AE304" s="114"/>
      <c r="AF304" s="115"/>
      <c r="AG304" s="115"/>
      <c r="AH304" s="116"/>
      <c r="AJ304" s="11">
        <v>46323</v>
      </c>
      <c r="AK304" s="33" t="s">
        <v>3</v>
      </c>
      <c r="AL304" s="114"/>
      <c r="AM304" s="115"/>
      <c r="AN304" s="115"/>
      <c r="AO304" s="116"/>
      <c r="AQ304" s="11">
        <v>46323</v>
      </c>
      <c r="AR304" s="33" t="s">
        <v>3</v>
      </c>
      <c r="AS304" s="114"/>
      <c r="AT304" s="115"/>
      <c r="AU304" s="115"/>
      <c r="AV304" s="116"/>
      <c r="AX304" s="11">
        <v>46322</v>
      </c>
      <c r="AY304" s="33" t="s">
        <v>9</v>
      </c>
      <c r="AZ304" s="114"/>
      <c r="BA304" s="115"/>
      <c r="BB304" s="115"/>
      <c r="BC304" s="116"/>
      <c r="BE304" s="11">
        <v>46323</v>
      </c>
      <c r="BF304" s="33" t="s">
        <v>3</v>
      </c>
      <c r="BG304" s="33"/>
      <c r="BH304" s="19"/>
      <c r="BI304" s="19"/>
      <c r="BJ304" s="20"/>
      <c r="BL304" s="11">
        <v>46323</v>
      </c>
      <c r="BM304" s="33" t="s">
        <v>3</v>
      </c>
      <c r="BN304" s="114"/>
      <c r="BO304" s="115"/>
      <c r="BP304" s="115"/>
      <c r="BQ304" s="116"/>
      <c r="BS304" s="11">
        <v>46323</v>
      </c>
      <c r="BT304" s="33" t="s">
        <v>3</v>
      </c>
      <c r="BU304" s="114"/>
      <c r="BV304" s="115"/>
      <c r="BW304" s="115"/>
      <c r="BX304" s="116"/>
      <c r="BZ304" s="11">
        <v>46322</v>
      </c>
      <c r="CA304" s="33" t="s">
        <v>9</v>
      </c>
      <c r="CB304" s="114"/>
      <c r="CC304" s="115"/>
      <c r="CD304" s="115"/>
      <c r="CE304" s="116"/>
      <c r="CG304" s="11">
        <v>46323</v>
      </c>
      <c r="CH304" s="33" t="s">
        <v>3</v>
      </c>
      <c r="CI304" s="114"/>
      <c r="CJ304" s="115"/>
      <c r="CK304" s="115"/>
      <c r="CL304" s="116"/>
      <c r="CN304" s="11">
        <v>46323</v>
      </c>
      <c r="CO304" s="33" t="s">
        <v>3</v>
      </c>
      <c r="CP304" s="114"/>
      <c r="CQ304" s="115"/>
      <c r="CR304" s="115"/>
      <c r="CS304" s="116"/>
      <c r="CU304" s="11">
        <v>46323</v>
      </c>
      <c r="CV304" s="33" t="s">
        <v>3</v>
      </c>
      <c r="CW304" s="114"/>
      <c r="CX304" s="115"/>
      <c r="CY304" s="115"/>
      <c r="CZ304" s="116"/>
      <c r="DB304" s="11">
        <v>46321</v>
      </c>
      <c r="DC304" s="33" t="s">
        <v>8</v>
      </c>
      <c r="DD304" s="114"/>
      <c r="DE304" s="115"/>
      <c r="DF304" s="115"/>
      <c r="DG304" s="116"/>
      <c r="DI304" s="11">
        <v>46323</v>
      </c>
      <c r="DJ304" s="33" t="s">
        <v>3</v>
      </c>
      <c r="DK304" s="114"/>
      <c r="DL304" s="115"/>
      <c r="DM304" s="115"/>
      <c r="DN304" s="116"/>
      <c r="DP304" s="11">
        <v>46321</v>
      </c>
      <c r="DQ304" s="33" t="s">
        <v>8</v>
      </c>
      <c r="DR304" s="114"/>
      <c r="DS304" s="115"/>
      <c r="DT304" s="115"/>
      <c r="DU304" s="116"/>
      <c r="DW304" s="11">
        <v>46323</v>
      </c>
      <c r="DX304" s="33" t="s">
        <v>3</v>
      </c>
      <c r="DY304" s="114"/>
      <c r="DZ304" s="115"/>
      <c r="EA304" s="115"/>
      <c r="EB304" s="116"/>
    </row>
    <row r="305" spans="1:132" x14ac:dyDescent="0.25">
      <c r="A305" s="11">
        <v>46324</v>
      </c>
      <c r="B305" s="33" t="s">
        <v>4</v>
      </c>
      <c r="C305" s="114"/>
      <c r="D305" s="115"/>
      <c r="E305" s="115"/>
      <c r="F305" s="116"/>
      <c r="H305" s="11">
        <v>46324</v>
      </c>
      <c r="I305" s="33" t="s">
        <v>4</v>
      </c>
      <c r="J305" s="114"/>
      <c r="K305" s="115"/>
      <c r="L305" s="115"/>
      <c r="M305" s="116"/>
      <c r="O305" s="11">
        <v>46324</v>
      </c>
      <c r="P305" s="33" t="s">
        <v>4</v>
      </c>
      <c r="Q305" s="114"/>
      <c r="R305" s="115"/>
      <c r="S305" s="115"/>
      <c r="T305" s="116"/>
      <c r="V305" s="11">
        <v>46323</v>
      </c>
      <c r="W305" s="33" t="s">
        <v>3</v>
      </c>
      <c r="X305" s="114"/>
      <c r="Y305" s="115"/>
      <c r="Z305" s="115"/>
      <c r="AA305" s="116"/>
      <c r="AC305" s="11">
        <v>46324</v>
      </c>
      <c r="AD305" s="33" t="s">
        <v>4</v>
      </c>
      <c r="AE305" s="114"/>
      <c r="AF305" s="115"/>
      <c r="AG305" s="115"/>
      <c r="AH305" s="116"/>
      <c r="AJ305" s="11">
        <v>46324</v>
      </c>
      <c r="AK305" s="33" t="s">
        <v>4</v>
      </c>
      <c r="AL305" s="114"/>
      <c r="AM305" s="115"/>
      <c r="AN305" s="115"/>
      <c r="AO305" s="116"/>
      <c r="AQ305" s="11">
        <v>46324</v>
      </c>
      <c r="AR305" s="33" t="s">
        <v>4</v>
      </c>
      <c r="AS305" s="114"/>
      <c r="AT305" s="115"/>
      <c r="AU305" s="115"/>
      <c r="AV305" s="116"/>
      <c r="AX305" s="11">
        <v>46323</v>
      </c>
      <c r="AY305" s="33" t="s">
        <v>3</v>
      </c>
      <c r="AZ305" s="114"/>
      <c r="BA305" s="115"/>
      <c r="BB305" s="115"/>
      <c r="BC305" s="116"/>
      <c r="BE305" s="11">
        <v>46324</v>
      </c>
      <c r="BF305" s="33" t="s">
        <v>4</v>
      </c>
      <c r="BG305" s="33"/>
      <c r="BH305" s="19"/>
      <c r="BI305" s="19"/>
      <c r="BJ305" s="20"/>
      <c r="BL305" s="11">
        <v>46324</v>
      </c>
      <c r="BM305" s="33" t="s">
        <v>4</v>
      </c>
      <c r="BN305" s="114"/>
      <c r="BO305" s="115"/>
      <c r="BP305" s="115"/>
      <c r="BQ305" s="116"/>
      <c r="BS305" s="11">
        <v>46324</v>
      </c>
      <c r="BT305" s="33" t="s">
        <v>4</v>
      </c>
      <c r="BU305" s="114"/>
      <c r="BV305" s="115"/>
      <c r="BW305" s="115"/>
      <c r="BX305" s="116"/>
      <c r="BZ305" s="11">
        <v>46323</v>
      </c>
      <c r="CA305" s="33" t="s">
        <v>3</v>
      </c>
      <c r="CB305" s="114"/>
      <c r="CC305" s="115"/>
      <c r="CD305" s="115"/>
      <c r="CE305" s="116"/>
      <c r="CG305" s="11">
        <v>46324</v>
      </c>
      <c r="CH305" s="33" t="s">
        <v>4</v>
      </c>
      <c r="CI305" s="114"/>
      <c r="CJ305" s="115"/>
      <c r="CK305" s="115"/>
      <c r="CL305" s="116"/>
      <c r="CN305" s="11">
        <v>46324</v>
      </c>
      <c r="CO305" s="33" t="s">
        <v>4</v>
      </c>
      <c r="CP305" s="114"/>
      <c r="CQ305" s="115"/>
      <c r="CR305" s="115"/>
      <c r="CS305" s="116"/>
      <c r="CU305" s="11">
        <v>46324</v>
      </c>
      <c r="CV305" s="33" t="s">
        <v>4</v>
      </c>
      <c r="CW305" s="114"/>
      <c r="CX305" s="115"/>
      <c r="CY305" s="115"/>
      <c r="CZ305" s="116"/>
      <c r="DB305" s="11">
        <v>46322</v>
      </c>
      <c r="DC305" s="33" t="s">
        <v>9</v>
      </c>
      <c r="DD305" s="114"/>
      <c r="DE305" s="115"/>
      <c r="DF305" s="115"/>
      <c r="DG305" s="116"/>
      <c r="DI305" s="11">
        <v>46324</v>
      </c>
      <c r="DJ305" s="33" t="s">
        <v>4</v>
      </c>
      <c r="DK305" s="114"/>
      <c r="DL305" s="115"/>
      <c r="DM305" s="115"/>
      <c r="DN305" s="116"/>
      <c r="DP305" s="11">
        <v>46322</v>
      </c>
      <c r="DQ305" s="33" t="s">
        <v>9</v>
      </c>
      <c r="DR305" s="114"/>
      <c r="DS305" s="115"/>
      <c r="DT305" s="115"/>
      <c r="DU305" s="116"/>
      <c r="DW305" s="11">
        <v>46324</v>
      </c>
      <c r="DX305" s="33" t="s">
        <v>4</v>
      </c>
      <c r="DY305" s="114"/>
      <c r="DZ305" s="115"/>
      <c r="EA305" s="115"/>
      <c r="EB305" s="116"/>
    </row>
    <row r="306" spans="1:132" x14ac:dyDescent="0.25">
      <c r="A306" s="11">
        <v>46325</v>
      </c>
      <c r="B306" s="33" t="s">
        <v>5</v>
      </c>
      <c r="C306" s="114"/>
      <c r="D306" s="115"/>
      <c r="E306" s="115"/>
      <c r="F306" s="116"/>
      <c r="H306" s="11">
        <v>46325</v>
      </c>
      <c r="I306" s="33" t="s">
        <v>5</v>
      </c>
      <c r="J306" s="114"/>
      <c r="K306" s="115"/>
      <c r="L306" s="115"/>
      <c r="M306" s="116"/>
      <c r="O306" s="11">
        <v>46325</v>
      </c>
      <c r="P306" s="33" t="s">
        <v>5</v>
      </c>
      <c r="Q306" s="114"/>
      <c r="R306" s="115"/>
      <c r="S306" s="115"/>
      <c r="T306" s="116"/>
      <c r="V306" s="11">
        <v>46324</v>
      </c>
      <c r="W306" s="33" t="s">
        <v>4</v>
      </c>
      <c r="X306" s="114"/>
      <c r="Y306" s="115"/>
      <c r="Z306" s="115"/>
      <c r="AA306" s="116"/>
      <c r="AC306" s="11">
        <v>46325</v>
      </c>
      <c r="AD306" s="33" t="s">
        <v>5</v>
      </c>
      <c r="AE306" s="114"/>
      <c r="AF306" s="115"/>
      <c r="AG306" s="115"/>
      <c r="AH306" s="116"/>
      <c r="AJ306" s="11">
        <v>46325</v>
      </c>
      <c r="AK306" s="33" t="s">
        <v>5</v>
      </c>
      <c r="AL306" s="114"/>
      <c r="AM306" s="115"/>
      <c r="AN306" s="115"/>
      <c r="AO306" s="116"/>
      <c r="AQ306" s="11">
        <v>46325</v>
      </c>
      <c r="AR306" s="33" t="s">
        <v>5</v>
      </c>
      <c r="AS306" s="114"/>
      <c r="AT306" s="115"/>
      <c r="AU306" s="115"/>
      <c r="AV306" s="116"/>
      <c r="AX306" s="11">
        <v>46324</v>
      </c>
      <c r="AY306" s="33" t="s">
        <v>4</v>
      </c>
      <c r="AZ306" s="114"/>
      <c r="BA306" s="115"/>
      <c r="BB306" s="115"/>
      <c r="BC306" s="116"/>
      <c r="BE306" s="11">
        <v>46325</v>
      </c>
      <c r="BF306" s="33" t="s">
        <v>5</v>
      </c>
      <c r="BG306" s="33"/>
      <c r="BH306" s="19"/>
      <c r="BI306" s="19"/>
      <c r="BJ306" s="20"/>
      <c r="BL306" s="11">
        <v>46325</v>
      </c>
      <c r="BM306" s="33" t="s">
        <v>5</v>
      </c>
      <c r="BN306" s="114"/>
      <c r="BO306" s="115"/>
      <c r="BP306" s="115"/>
      <c r="BQ306" s="116"/>
      <c r="BS306" s="11">
        <v>46325</v>
      </c>
      <c r="BT306" s="33" t="s">
        <v>5</v>
      </c>
      <c r="BU306" s="114"/>
      <c r="BV306" s="115"/>
      <c r="BW306" s="115"/>
      <c r="BX306" s="116"/>
      <c r="BZ306" s="11">
        <v>46324</v>
      </c>
      <c r="CA306" s="33" t="s">
        <v>4</v>
      </c>
      <c r="CB306" s="114"/>
      <c r="CC306" s="115"/>
      <c r="CD306" s="115"/>
      <c r="CE306" s="116"/>
      <c r="CG306" s="11">
        <v>46325</v>
      </c>
      <c r="CH306" s="33" t="s">
        <v>5</v>
      </c>
      <c r="CI306" s="114"/>
      <c r="CJ306" s="115"/>
      <c r="CK306" s="115"/>
      <c r="CL306" s="116"/>
      <c r="CN306" s="11">
        <v>46325</v>
      </c>
      <c r="CO306" s="33" t="s">
        <v>5</v>
      </c>
      <c r="CP306" s="114"/>
      <c r="CQ306" s="115"/>
      <c r="CR306" s="115"/>
      <c r="CS306" s="116"/>
      <c r="CU306" s="11">
        <v>46325</v>
      </c>
      <c r="CV306" s="33" t="s">
        <v>5</v>
      </c>
      <c r="CW306" s="114"/>
      <c r="CX306" s="115"/>
      <c r="CY306" s="115"/>
      <c r="CZ306" s="116"/>
      <c r="DB306" s="11">
        <v>46323</v>
      </c>
      <c r="DC306" s="33" t="s">
        <v>3</v>
      </c>
      <c r="DD306" s="114"/>
      <c r="DE306" s="115"/>
      <c r="DF306" s="115"/>
      <c r="DG306" s="116"/>
      <c r="DI306" s="11">
        <v>46325</v>
      </c>
      <c r="DJ306" s="33" t="s">
        <v>5</v>
      </c>
      <c r="DK306" s="114"/>
      <c r="DL306" s="115"/>
      <c r="DM306" s="115"/>
      <c r="DN306" s="116"/>
      <c r="DP306" s="11">
        <v>46323</v>
      </c>
      <c r="DQ306" s="33" t="s">
        <v>3</v>
      </c>
      <c r="DR306" s="114"/>
      <c r="DS306" s="115"/>
      <c r="DT306" s="115"/>
      <c r="DU306" s="116"/>
      <c r="DW306" s="11">
        <v>46325</v>
      </c>
      <c r="DX306" s="33" t="s">
        <v>5</v>
      </c>
      <c r="DY306" s="114"/>
      <c r="DZ306" s="115"/>
      <c r="EA306" s="115"/>
      <c r="EB306" s="116"/>
    </row>
    <row r="307" spans="1:132" x14ac:dyDescent="0.25">
      <c r="A307" s="11">
        <v>46326</v>
      </c>
      <c r="B307" s="33" t="s">
        <v>6</v>
      </c>
      <c r="C307" s="114"/>
      <c r="D307" s="115"/>
      <c r="E307" s="115"/>
      <c r="F307" s="116"/>
      <c r="H307" s="11">
        <v>46326</v>
      </c>
      <c r="I307" s="33" t="s">
        <v>6</v>
      </c>
      <c r="J307" s="114"/>
      <c r="K307" s="115"/>
      <c r="L307" s="115"/>
      <c r="M307" s="116"/>
      <c r="O307" s="11">
        <v>46326</v>
      </c>
      <c r="P307" s="33" t="s">
        <v>6</v>
      </c>
      <c r="Q307" s="114"/>
      <c r="R307" s="115"/>
      <c r="S307" s="115"/>
      <c r="T307" s="116"/>
      <c r="V307" s="11">
        <v>46325</v>
      </c>
      <c r="W307" s="33" t="s">
        <v>5</v>
      </c>
      <c r="X307" s="114"/>
      <c r="Y307" s="115"/>
      <c r="Z307" s="115"/>
      <c r="AA307" s="116"/>
      <c r="AC307" s="11">
        <v>46326</v>
      </c>
      <c r="AD307" s="33" t="s">
        <v>6</v>
      </c>
      <c r="AE307" s="114"/>
      <c r="AF307" s="115"/>
      <c r="AG307" s="115"/>
      <c r="AH307" s="116"/>
      <c r="AJ307" s="11">
        <v>46326</v>
      </c>
      <c r="AK307" s="33" t="s">
        <v>6</v>
      </c>
      <c r="AL307" s="114"/>
      <c r="AM307" s="115"/>
      <c r="AN307" s="115"/>
      <c r="AO307" s="116"/>
      <c r="AQ307" s="11">
        <v>46326</v>
      </c>
      <c r="AR307" s="33" t="s">
        <v>6</v>
      </c>
      <c r="AS307" s="114"/>
      <c r="AT307" s="115"/>
      <c r="AU307" s="115"/>
      <c r="AV307" s="116"/>
      <c r="AX307" s="11">
        <v>46325</v>
      </c>
      <c r="AY307" s="33" t="s">
        <v>5</v>
      </c>
      <c r="AZ307" s="114"/>
      <c r="BA307" s="115"/>
      <c r="BB307" s="115"/>
      <c r="BC307" s="116"/>
      <c r="BE307" s="11">
        <v>46326</v>
      </c>
      <c r="BF307" s="33" t="s">
        <v>6</v>
      </c>
      <c r="BG307" s="33"/>
      <c r="BH307" s="19"/>
      <c r="BI307" s="19"/>
      <c r="BJ307" s="20"/>
      <c r="BL307" s="11">
        <v>46326</v>
      </c>
      <c r="BM307" s="33" t="s">
        <v>6</v>
      </c>
      <c r="BN307" s="114"/>
      <c r="BO307" s="115"/>
      <c r="BP307" s="115"/>
      <c r="BQ307" s="116"/>
      <c r="BS307" s="11">
        <v>46326</v>
      </c>
      <c r="BT307" s="33" t="s">
        <v>6</v>
      </c>
      <c r="BU307" s="114"/>
      <c r="BV307" s="115"/>
      <c r="BW307" s="115"/>
      <c r="BX307" s="116"/>
      <c r="BZ307" s="11">
        <v>46325</v>
      </c>
      <c r="CA307" s="33" t="s">
        <v>5</v>
      </c>
      <c r="CB307" s="114"/>
      <c r="CC307" s="115"/>
      <c r="CD307" s="115"/>
      <c r="CE307" s="116"/>
      <c r="CG307" s="11">
        <v>46326</v>
      </c>
      <c r="CH307" s="33" t="s">
        <v>6</v>
      </c>
      <c r="CI307" s="114"/>
      <c r="CJ307" s="115"/>
      <c r="CK307" s="115"/>
      <c r="CL307" s="116"/>
      <c r="CN307" s="11">
        <v>46326</v>
      </c>
      <c r="CO307" s="33" t="s">
        <v>6</v>
      </c>
      <c r="CP307" s="114"/>
      <c r="CQ307" s="115"/>
      <c r="CR307" s="115"/>
      <c r="CS307" s="116"/>
      <c r="CU307" s="11">
        <v>46326</v>
      </c>
      <c r="CV307" s="33" t="s">
        <v>6</v>
      </c>
      <c r="CW307" s="114"/>
      <c r="CX307" s="115"/>
      <c r="CY307" s="115"/>
      <c r="CZ307" s="116"/>
      <c r="DB307" s="11">
        <v>46324</v>
      </c>
      <c r="DC307" s="33" t="s">
        <v>4</v>
      </c>
      <c r="DD307" s="114"/>
      <c r="DE307" s="115"/>
      <c r="DF307" s="115"/>
      <c r="DG307" s="116"/>
      <c r="DI307" s="11">
        <v>46326</v>
      </c>
      <c r="DJ307" s="33" t="s">
        <v>6</v>
      </c>
      <c r="DK307" s="114"/>
      <c r="DL307" s="115"/>
      <c r="DM307" s="115"/>
      <c r="DN307" s="116"/>
      <c r="DP307" s="11">
        <v>46324</v>
      </c>
      <c r="DQ307" s="33" t="s">
        <v>4</v>
      </c>
      <c r="DR307" s="114"/>
      <c r="DS307" s="115"/>
      <c r="DT307" s="115"/>
      <c r="DU307" s="116"/>
      <c r="DW307" s="11">
        <v>46326</v>
      </c>
      <c r="DX307" s="33" t="s">
        <v>6</v>
      </c>
      <c r="DY307" s="114"/>
      <c r="DZ307" s="115"/>
      <c r="EA307" s="115"/>
      <c r="EB307" s="116"/>
    </row>
    <row r="308" spans="1:132" x14ac:dyDescent="0.25">
      <c r="A308" s="11">
        <v>46327</v>
      </c>
      <c r="B308" s="33" t="s">
        <v>7</v>
      </c>
      <c r="C308" s="114"/>
      <c r="D308" s="115"/>
      <c r="E308" s="115"/>
      <c r="F308" s="116"/>
      <c r="H308" s="11">
        <v>46327</v>
      </c>
      <c r="I308" s="33" t="s">
        <v>7</v>
      </c>
      <c r="J308" s="114"/>
      <c r="K308" s="115"/>
      <c r="L308" s="115"/>
      <c r="M308" s="116"/>
      <c r="O308" s="11">
        <v>46327</v>
      </c>
      <c r="P308" s="33" t="s">
        <v>7</v>
      </c>
      <c r="Q308" s="114"/>
      <c r="R308" s="115"/>
      <c r="S308" s="115"/>
      <c r="T308" s="116"/>
      <c r="V308" s="11">
        <v>46326</v>
      </c>
      <c r="W308" s="33" t="s">
        <v>6</v>
      </c>
      <c r="X308" s="114"/>
      <c r="Y308" s="115"/>
      <c r="Z308" s="115"/>
      <c r="AA308" s="116"/>
      <c r="AC308" s="11">
        <v>46327</v>
      </c>
      <c r="AD308" s="33" t="s">
        <v>7</v>
      </c>
      <c r="AE308" s="114"/>
      <c r="AF308" s="115"/>
      <c r="AG308" s="115"/>
      <c r="AH308" s="116"/>
      <c r="AJ308" s="11">
        <v>46327</v>
      </c>
      <c r="AK308" s="33" t="s">
        <v>7</v>
      </c>
      <c r="AL308" s="114"/>
      <c r="AM308" s="115"/>
      <c r="AN308" s="115"/>
      <c r="AO308" s="116"/>
      <c r="AQ308" s="11">
        <v>46327</v>
      </c>
      <c r="AR308" s="33" t="s">
        <v>7</v>
      </c>
      <c r="AS308" s="114"/>
      <c r="AT308" s="115"/>
      <c r="AU308" s="115"/>
      <c r="AV308" s="116"/>
      <c r="AX308" s="11">
        <v>46326</v>
      </c>
      <c r="AY308" s="33" t="s">
        <v>6</v>
      </c>
      <c r="AZ308" s="114"/>
      <c r="BA308" s="115"/>
      <c r="BB308" s="115"/>
      <c r="BC308" s="116"/>
      <c r="BE308" s="11">
        <v>46327</v>
      </c>
      <c r="BF308" s="33" t="s">
        <v>7</v>
      </c>
      <c r="BG308" s="33"/>
      <c r="BH308" s="19"/>
      <c r="BI308" s="19"/>
      <c r="BJ308" s="20"/>
      <c r="BL308" s="11">
        <v>46327</v>
      </c>
      <c r="BM308" s="33" t="s">
        <v>7</v>
      </c>
      <c r="BN308" s="114"/>
      <c r="BO308" s="115"/>
      <c r="BP308" s="115"/>
      <c r="BQ308" s="116"/>
      <c r="BS308" s="11">
        <v>46327</v>
      </c>
      <c r="BT308" s="33" t="s">
        <v>7</v>
      </c>
      <c r="BU308" s="114"/>
      <c r="BV308" s="115"/>
      <c r="BW308" s="115"/>
      <c r="BX308" s="116"/>
      <c r="BZ308" s="11">
        <v>46326</v>
      </c>
      <c r="CA308" s="33" t="s">
        <v>6</v>
      </c>
      <c r="CB308" s="114"/>
      <c r="CC308" s="115"/>
      <c r="CD308" s="115"/>
      <c r="CE308" s="116"/>
      <c r="CG308" s="11">
        <v>46327</v>
      </c>
      <c r="CH308" s="33" t="s">
        <v>7</v>
      </c>
      <c r="CI308" s="114"/>
      <c r="CJ308" s="115"/>
      <c r="CK308" s="115"/>
      <c r="CL308" s="116"/>
      <c r="CN308" s="11">
        <v>46327</v>
      </c>
      <c r="CO308" s="33" t="s">
        <v>7</v>
      </c>
      <c r="CP308" s="114"/>
      <c r="CQ308" s="115"/>
      <c r="CR308" s="115"/>
      <c r="CS308" s="116"/>
      <c r="CU308" s="11">
        <v>46327</v>
      </c>
      <c r="CV308" s="33" t="s">
        <v>7</v>
      </c>
      <c r="CW308" s="114"/>
      <c r="CX308" s="115"/>
      <c r="CY308" s="115"/>
      <c r="CZ308" s="116"/>
      <c r="DB308" s="11">
        <v>46325</v>
      </c>
      <c r="DC308" s="33" t="s">
        <v>5</v>
      </c>
      <c r="DD308" s="114"/>
      <c r="DE308" s="115"/>
      <c r="DF308" s="115"/>
      <c r="DG308" s="116"/>
      <c r="DI308" s="11">
        <v>46327</v>
      </c>
      <c r="DJ308" s="33" t="s">
        <v>7</v>
      </c>
      <c r="DK308" s="114"/>
      <c r="DL308" s="115"/>
      <c r="DM308" s="115"/>
      <c r="DN308" s="116"/>
      <c r="DP308" s="11">
        <v>46325</v>
      </c>
      <c r="DQ308" s="33" t="s">
        <v>5</v>
      </c>
      <c r="DR308" s="114"/>
      <c r="DS308" s="115"/>
      <c r="DT308" s="115"/>
      <c r="DU308" s="116"/>
      <c r="DW308" s="11">
        <v>46327</v>
      </c>
      <c r="DX308" s="33" t="s">
        <v>7</v>
      </c>
      <c r="DY308" s="114"/>
      <c r="DZ308" s="115"/>
      <c r="EA308" s="115"/>
      <c r="EB308" s="116"/>
    </row>
    <row r="309" spans="1:132" x14ac:dyDescent="0.25">
      <c r="A309" s="11">
        <v>46328</v>
      </c>
      <c r="B309" s="33" t="s">
        <v>8</v>
      </c>
      <c r="C309" s="114" t="s">
        <v>60</v>
      </c>
      <c r="D309" s="115"/>
      <c r="E309" s="115"/>
      <c r="F309" s="116"/>
      <c r="H309" s="11">
        <v>46328</v>
      </c>
      <c r="I309" s="33" t="s">
        <v>8</v>
      </c>
      <c r="J309" s="114" t="s">
        <v>60</v>
      </c>
      <c r="K309" s="115"/>
      <c r="L309" s="115"/>
      <c r="M309" s="116"/>
      <c r="O309" s="11">
        <v>46328</v>
      </c>
      <c r="P309" s="33" t="s">
        <v>8</v>
      </c>
      <c r="Q309" s="114" t="s">
        <v>60</v>
      </c>
      <c r="R309" s="115"/>
      <c r="S309" s="115"/>
      <c r="T309" s="116"/>
      <c r="V309" s="11">
        <v>46327</v>
      </c>
      <c r="W309" s="33" t="s">
        <v>7</v>
      </c>
      <c r="X309" s="114"/>
      <c r="Y309" s="115"/>
      <c r="Z309" s="115"/>
      <c r="AA309" s="116"/>
      <c r="AC309" s="11">
        <v>46328</v>
      </c>
      <c r="AD309" s="33" t="s">
        <v>8</v>
      </c>
      <c r="AE309" s="114" t="s">
        <v>60</v>
      </c>
      <c r="AF309" s="115"/>
      <c r="AG309" s="115"/>
      <c r="AH309" s="116"/>
      <c r="AJ309" s="11">
        <v>46328</v>
      </c>
      <c r="AK309" s="33" t="s">
        <v>8</v>
      </c>
      <c r="AL309" s="114" t="s">
        <v>60</v>
      </c>
      <c r="AM309" s="115"/>
      <c r="AN309" s="115"/>
      <c r="AO309" s="116"/>
      <c r="AQ309" s="11">
        <v>46328</v>
      </c>
      <c r="AR309" s="33" t="s">
        <v>8</v>
      </c>
      <c r="AS309" s="114" t="s">
        <v>60</v>
      </c>
      <c r="AT309" s="115"/>
      <c r="AU309" s="115"/>
      <c r="AV309" s="116"/>
      <c r="AX309" s="11">
        <v>46327</v>
      </c>
      <c r="AY309" s="33" t="s">
        <v>7</v>
      </c>
      <c r="AZ309" s="114"/>
      <c r="BA309" s="115"/>
      <c r="BB309" s="115"/>
      <c r="BC309" s="116"/>
      <c r="BE309" s="11">
        <v>46328</v>
      </c>
      <c r="BF309" s="33" t="s">
        <v>8</v>
      </c>
      <c r="BG309" s="33" t="s">
        <v>60</v>
      </c>
      <c r="BH309" s="19"/>
      <c r="BI309" s="19"/>
      <c r="BJ309" s="20"/>
      <c r="BL309" s="11">
        <v>46328</v>
      </c>
      <c r="BM309" s="33" t="s">
        <v>8</v>
      </c>
      <c r="BN309" s="114" t="s">
        <v>60</v>
      </c>
      <c r="BO309" s="115"/>
      <c r="BP309" s="115"/>
      <c r="BQ309" s="116"/>
      <c r="BS309" s="11">
        <v>46328</v>
      </c>
      <c r="BT309" s="33" t="s">
        <v>8</v>
      </c>
      <c r="BU309" s="114" t="s">
        <v>60</v>
      </c>
      <c r="BV309" s="115"/>
      <c r="BW309" s="115"/>
      <c r="BX309" s="116"/>
      <c r="BZ309" s="11">
        <v>46327</v>
      </c>
      <c r="CA309" s="33" t="s">
        <v>7</v>
      </c>
      <c r="CB309" s="114"/>
      <c r="CC309" s="115"/>
      <c r="CD309" s="115"/>
      <c r="CE309" s="116"/>
      <c r="CG309" s="11">
        <v>46328</v>
      </c>
      <c r="CH309" s="33" t="s">
        <v>8</v>
      </c>
      <c r="CI309" s="114" t="s">
        <v>60</v>
      </c>
      <c r="CJ309" s="115"/>
      <c r="CK309" s="115"/>
      <c r="CL309" s="116"/>
      <c r="CN309" s="11">
        <v>46328</v>
      </c>
      <c r="CO309" s="33" t="s">
        <v>8</v>
      </c>
      <c r="CP309" s="114" t="s">
        <v>60</v>
      </c>
      <c r="CQ309" s="115"/>
      <c r="CR309" s="115"/>
      <c r="CS309" s="116"/>
      <c r="CU309" s="11">
        <v>46328</v>
      </c>
      <c r="CV309" s="33" t="s">
        <v>8</v>
      </c>
      <c r="CW309" s="114" t="s">
        <v>60</v>
      </c>
      <c r="CX309" s="115"/>
      <c r="CY309" s="115"/>
      <c r="CZ309" s="116"/>
      <c r="DB309" s="11">
        <v>46326</v>
      </c>
      <c r="DC309" s="33" t="s">
        <v>6</v>
      </c>
      <c r="DD309" s="114"/>
      <c r="DE309" s="115"/>
      <c r="DF309" s="115"/>
      <c r="DG309" s="116"/>
      <c r="DI309" s="11">
        <v>46328</v>
      </c>
      <c r="DJ309" s="33" t="s">
        <v>8</v>
      </c>
      <c r="DK309" s="114" t="s">
        <v>60</v>
      </c>
      <c r="DL309" s="115"/>
      <c r="DM309" s="115"/>
      <c r="DN309" s="116"/>
      <c r="DP309" s="11">
        <v>46326</v>
      </c>
      <c r="DQ309" s="33" t="s">
        <v>6</v>
      </c>
      <c r="DR309" s="114"/>
      <c r="DS309" s="115"/>
      <c r="DT309" s="115"/>
      <c r="DU309" s="116"/>
      <c r="DW309" s="11">
        <v>46328</v>
      </c>
      <c r="DX309" s="33" t="s">
        <v>8</v>
      </c>
      <c r="DY309" s="114" t="s">
        <v>60</v>
      </c>
      <c r="DZ309" s="115"/>
      <c r="EA309" s="115"/>
      <c r="EB309" s="116"/>
    </row>
    <row r="310" spans="1:132" x14ac:dyDescent="0.25">
      <c r="A310" s="11">
        <v>46329</v>
      </c>
      <c r="B310" s="33" t="s">
        <v>9</v>
      </c>
      <c r="C310" s="114"/>
      <c r="D310" s="115"/>
      <c r="E310" s="115"/>
      <c r="F310" s="116"/>
      <c r="H310" s="11">
        <v>46329</v>
      </c>
      <c r="I310" s="33" t="s">
        <v>9</v>
      </c>
      <c r="J310" s="114"/>
      <c r="K310" s="115"/>
      <c r="L310" s="115"/>
      <c r="M310" s="116"/>
      <c r="O310" s="11">
        <v>46329</v>
      </c>
      <c r="P310" s="33" t="s">
        <v>9</v>
      </c>
      <c r="Q310" s="114"/>
      <c r="R310" s="115"/>
      <c r="S310" s="115"/>
      <c r="T310" s="116"/>
      <c r="V310" s="11">
        <v>46328</v>
      </c>
      <c r="W310" s="33" t="s">
        <v>8</v>
      </c>
      <c r="X310" s="114" t="s">
        <v>60</v>
      </c>
      <c r="Y310" s="115"/>
      <c r="Z310" s="115"/>
      <c r="AA310" s="116"/>
      <c r="AC310" s="11">
        <v>46329</v>
      </c>
      <c r="AD310" s="33" t="s">
        <v>9</v>
      </c>
      <c r="AE310" s="114"/>
      <c r="AF310" s="115"/>
      <c r="AG310" s="115"/>
      <c r="AH310" s="116"/>
      <c r="AJ310" s="11">
        <v>46329</v>
      </c>
      <c r="AK310" s="33" t="s">
        <v>9</v>
      </c>
      <c r="AL310" s="114"/>
      <c r="AM310" s="115"/>
      <c r="AN310" s="115"/>
      <c r="AO310" s="116"/>
      <c r="AQ310" s="11">
        <v>46329</v>
      </c>
      <c r="AR310" s="33" t="s">
        <v>9</v>
      </c>
      <c r="AS310" s="114"/>
      <c r="AT310" s="115"/>
      <c r="AU310" s="115"/>
      <c r="AV310" s="116"/>
      <c r="AX310" s="11">
        <v>46328</v>
      </c>
      <c r="AY310" s="33" t="s">
        <v>8</v>
      </c>
      <c r="AZ310" s="114" t="s">
        <v>60</v>
      </c>
      <c r="BA310" s="115"/>
      <c r="BB310" s="115"/>
      <c r="BC310" s="116"/>
      <c r="BE310" s="11">
        <v>46329</v>
      </c>
      <c r="BF310" s="33" t="s">
        <v>9</v>
      </c>
      <c r="BG310" s="33"/>
      <c r="BH310" s="19"/>
      <c r="BI310" s="19"/>
      <c r="BJ310" s="20"/>
      <c r="BL310" s="11">
        <v>46329</v>
      </c>
      <c r="BM310" s="33" t="s">
        <v>9</v>
      </c>
      <c r="BN310" s="114"/>
      <c r="BO310" s="115"/>
      <c r="BP310" s="115"/>
      <c r="BQ310" s="116"/>
      <c r="BS310" s="11">
        <v>46329</v>
      </c>
      <c r="BT310" s="33" t="s">
        <v>9</v>
      </c>
      <c r="BU310" s="114"/>
      <c r="BV310" s="115"/>
      <c r="BW310" s="115"/>
      <c r="BX310" s="116"/>
      <c r="BZ310" s="11">
        <v>46328</v>
      </c>
      <c r="CA310" s="33" t="s">
        <v>8</v>
      </c>
      <c r="CB310" s="114" t="s">
        <v>60</v>
      </c>
      <c r="CC310" s="115"/>
      <c r="CD310" s="115"/>
      <c r="CE310" s="116"/>
      <c r="CG310" s="11">
        <v>46329</v>
      </c>
      <c r="CH310" s="33" t="s">
        <v>9</v>
      </c>
      <c r="CI310" s="114"/>
      <c r="CJ310" s="115"/>
      <c r="CK310" s="115"/>
      <c r="CL310" s="116"/>
      <c r="CN310" s="11">
        <v>46329</v>
      </c>
      <c r="CO310" s="33" t="s">
        <v>9</v>
      </c>
      <c r="CP310" s="114"/>
      <c r="CQ310" s="115"/>
      <c r="CR310" s="115"/>
      <c r="CS310" s="116"/>
      <c r="CU310" s="11">
        <v>46329</v>
      </c>
      <c r="CV310" s="33" t="s">
        <v>9</v>
      </c>
      <c r="CW310" s="114"/>
      <c r="CX310" s="115"/>
      <c r="CY310" s="115"/>
      <c r="CZ310" s="116"/>
      <c r="DB310" s="11">
        <v>46327</v>
      </c>
      <c r="DC310" s="33" t="s">
        <v>7</v>
      </c>
      <c r="DD310" s="114"/>
      <c r="DE310" s="115"/>
      <c r="DF310" s="115"/>
      <c r="DG310" s="116"/>
      <c r="DI310" s="11">
        <v>46329</v>
      </c>
      <c r="DJ310" s="33" t="s">
        <v>9</v>
      </c>
      <c r="DK310" s="114"/>
      <c r="DL310" s="115"/>
      <c r="DM310" s="115"/>
      <c r="DN310" s="116"/>
      <c r="DP310" s="11">
        <v>46327</v>
      </c>
      <c r="DQ310" s="33" t="s">
        <v>7</v>
      </c>
      <c r="DR310" s="114"/>
      <c r="DS310" s="115"/>
      <c r="DT310" s="115"/>
      <c r="DU310" s="116"/>
      <c r="DW310" s="11">
        <v>46329</v>
      </c>
      <c r="DX310" s="33" t="s">
        <v>9</v>
      </c>
      <c r="DY310" s="114"/>
      <c r="DZ310" s="115"/>
      <c r="EA310" s="115"/>
      <c r="EB310" s="116"/>
    </row>
    <row r="311" spans="1:132" x14ac:dyDescent="0.25">
      <c r="A311" s="11">
        <v>46330</v>
      </c>
      <c r="B311" s="33" t="s">
        <v>3</v>
      </c>
      <c r="C311" s="114"/>
      <c r="D311" s="115"/>
      <c r="E311" s="115"/>
      <c r="F311" s="116"/>
      <c r="H311" s="11">
        <v>46330</v>
      </c>
      <c r="I311" s="33" t="s">
        <v>3</v>
      </c>
      <c r="J311" s="114"/>
      <c r="K311" s="115"/>
      <c r="L311" s="115"/>
      <c r="M311" s="116"/>
      <c r="O311" s="11">
        <v>46330</v>
      </c>
      <c r="P311" s="33" t="s">
        <v>3</v>
      </c>
      <c r="Q311" s="114"/>
      <c r="R311" s="115"/>
      <c r="S311" s="115"/>
      <c r="T311" s="116"/>
      <c r="V311" s="11">
        <v>46329</v>
      </c>
      <c r="W311" s="33" t="s">
        <v>9</v>
      </c>
      <c r="X311" s="114"/>
      <c r="Y311" s="115"/>
      <c r="Z311" s="115"/>
      <c r="AA311" s="116"/>
      <c r="AC311" s="11">
        <v>46330</v>
      </c>
      <c r="AD311" s="33" t="s">
        <v>3</v>
      </c>
      <c r="AE311" s="114"/>
      <c r="AF311" s="115"/>
      <c r="AG311" s="115"/>
      <c r="AH311" s="116"/>
      <c r="AI311" s="100"/>
      <c r="AJ311" s="11">
        <v>46330</v>
      </c>
      <c r="AK311" s="33" t="s">
        <v>3</v>
      </c>
      <c r="AL311" s="114"/>
      <c r="AM311" s="115"/>
      <c r="AN311" s="115"/>
      <c r="AO311" s="116"/>
      <c r="AQ311" s="11">
        <v>46330</v>
      </c>
      <c r="AR311" s="33" t="s">
        <v>3</v>
      </c>
      <c r="AS311" s="114"/>
      <c r="AT311" s="115"/>
      <c r="AU311" s="115"/>
      <c r="AV311" s="116"/>
      <c r="AX311" s="11">
        <v>46329</v>
      </c>
      <c r="AY311" s="33" t="s">
        <v>9</v>
      </c>
      <c r="AZ311" s="114"/>
      <c r="BA311" s="115"/>
      <c r="BB311" s="115"/>
      <c r="BC311" s="116"/>
      <c r="BE311" s="11">
        <v>46330</v>
      </c>
      <c r="BF311" s="33" t="s">
        <v>3</v>
      </c>
      <c r="BG311" s="33"/>
      <c r="BH311" s="19"/>
      <c r="BI311" s="19"/>
      <c r="BJ311" s="20"/>
      <c r="BL311" s="11">
        <v>46330</v>
      </c>
      <c r="BM311" s="33" t="s">
        <v>3</v>
      </c>
      <c r="BN311" s="114"/>
      <c r="BO311" s="115"/>
      <c r="BP311" s="115"/>
      <c r="BQ311" s="116"/>
      <c r="BS311" s="11">
        <v>46330</v>
      </c>
      <c r="BT311" s="33" t="s">
        <v>3</v>
      </c>
      <c r="BU311" s="114"/>
      <c r="BV311" s="115"/>
      <c r="BW311" s="115"/>
      <c r="BX311" s="116"/>
      <c r="BZ311" s="11">
        <v>46329</v>
      </c>
      <c r="CA311" s="33" t="s">
        <v>9</v>
      </c>
      <c r="CB311" s="114"/>
      <c r="CC311" s="115"/>
      <c r="CD311" s="115"/>
      <c r="CE311" s="116"/>
      <c r="CG311" s="11">
        <v>46330</v>
      </c>
      <c r="CH311" s="33" t="s">
        <v>3</v>
      </c>
      <c r="CI311" s="114"/>
      <c r="CJ311" s="115"/>
      <c r="CK311" s="115"/>
      <c r="CL311" s="116"/>
      <c r="CN311" s="11">
        <v>46330</v>
      </c>
      <c r="CO311" s="33" t="s">
        <v>3</v>
      </c>
      <c r="CP311" s="114"/>
      <c r="CQ311" s="115"/>
      <c r="CR311" s="115"/>
      <c r="CS311" s="116"/>
      <c r="CU311" s="11">
        <v>46330</v>
      </c>
      <c r="CV311" s="33" t="s">
        <v>3</v>
      </c>
      <c r="CW311" s="114"/>
      <c r="CX311" s="115"/>
      <c r="CY311" s="115"/>
      <c r="CZ311" s="116"/>
      <c r="DB311" s="11">
        <v>46328</v>
      </c>
      <c r="DC311" s="33" t="s">
        <v>8</v>
      </c>
      <c r="DD311" s="114" t="s">
        <v>60</v>
      </c>
      <c r="DE311" s="115"/>
      <c r="DF311" s="115"/>
      <c r="DG311" s="116"/>
      <c r="DI311" s="11">
        <v>46330</v>
      </c>
      <c r="DJ311" s="33" t="s">
        <v>3</v>
      </c>
      <c r="DK311" s="114"/>
      <c r="DL311" s="115"/>
      <c r="DM311" s="115"/>
      <c r="DN311" s="116"/>
      <c r="DP311" s="11">
        <v>46328</v>
      </c>
      <c r="DQ311" s="33" t="s">
        <v>8</v>
      </c>
      <c r="DR311" s="114" t="s">
        <v>60</v>
      </c>
      <c r="DS311" s="115"/>
      <c r="DT311" s="115"/>
      <c r="DU311" s="116"/>
      <c r="DW311" s="11">
        <v>46330</v>
      </c>
      <c r="DX311" s="33" t="s">
        <v>3</v>
      </c>
      <c r="DY311" s="114"/>
      <c r="DZ311" s="115"/>
      <c r="EA311" s="115"/>
      <c r="EB311" s="116"/>
    </row>
    <row r="312" spans="1:132" x14ac:dyDescent="0.25">
      <c r="A312" s="11">
        <v>46331</v>
      </c>
      <c r="B312" s="33" t="s">
        <v>4</v>
      </c>
      <c r="C312" s="114"/>
      <c r="D312" s="115"/>
      <c r="E312" s="115"/>
      <c r="F312" s="116"/>
      <c r="H312" s="11">
        <v>46331</v>
      </c>
      <c r="I312" s="33" t="s">
        <v>4</v>
      </c>
      <c r="J312" s="114"/>
      <c r="K312" s="115"/>
      <c r="L312" s="115"/>
      <c r="M312" s="116"/>
      <c r="O312" s="11">
        <v>46331</v>
      </c>
      <c r="P312" s="33" t="s">
        <v>4</v>
      </c>
      <c r="Q312" s="114"/>
      <c r="R312" s="115"/>
      <c r="S312" s="115"/>
      <c r="T312" s="116"/>
      <c r="V312" s="11">
        <v>46330</v>
      </c>
      <c r="W312" s="33" t="s">
        <v>3</v>
      </c>
      <c r="X312" s="114"/>
      <c r="Y312" s="115"/>
      <c r="Z312" s="115"/>
      <c r="AA312" s="116"/>
      <c r="AC312" s="11">
        <v>46331</v>
      </c>
      <c r="AD312" s="33" t="s">
        <v>4</v>
      </c>
      <c r="AE312" s="114"/>
      <c r="AF312" s="115"/>
      <c r="AG312" s="115"/>
      <c r="AH312" s="116"/>
      <c r="AI312" s="100"/>
      <c r="AJ312" s="11">
        <v>46331</v>
      </c>
      <c r="AK312" s="33" t="s">
        <v>4</v>
      </c>
      <c r="AL312" s="114"/>
      <c r="AM312" s="115"/>
      <c r="AN312" s="115"/>
      <c r="AO312" s="116"/>
      <c r="AQ312" s="11">
        <v>46331</v>
      </c>
      <c r="AR312" s="33" t="s">
        <v>4</v>
      </c>
      <c r="AS312" s="114"/>
      <c r="AT312" s="115"/>
      <c r="AU312" s="115"/>
      <c r="AV312" s="116"/>
      <c r="AX312" s="11">
        <v>46330</v>
      </c>
      <c r="AY312" s="33" t="s">
        <v>3</v>
      </c>
      <c r="AZ312" s="114"/>
      <c r="BA312" s="115"/>
      <c r="BB312" s="115"/>
      <c r="BC312" s="116"/>
      <c r="BE312" s="11">
        <v>46331</v>
      </c>
      <c r="BF312" s="33" t="s">
        <v>4</v>
      </c>
      <c r="BG312" s="33"/>
      <c r="BH312" s="19"/>
      <c r="BI312" s="19"/>
      <c r="BJ312" s="20"/>
      <c r="BL312" s="11">
        <v>46331</v>
      </c>
      <c r="BM312" s="33" t="s">
        <v>4</v>
      </c>
      <c r="BN312" s="114"/>
      <c r="BO312" s="115"/>
      <c r="BP312" s="115"/>
      <c r="BQ312" s="116"/>
      <c r="BS312" s="11">
        <v>46331</v>
      </c>
      <c r="BT312" s="33" t="s">
        <v>4</v>
      </c>
      <c r="BU312" s="114"/>
      <c r="BV312" s="115"/>
      <c r="BW312" s="115"/>
      <c r="BX312" s="116"/>
      <c r="BZ312" s="11">
        <v>46330</v>
      </c>
      <c r="CA312" s="33" t="s">
        <v>3</v>
      </c>
      <c r="CB312" s="114"/>
      <c r="CC312" s="115"/>
      <c r="CD312" s="115"/>
      <c r="CE312" s="116"/>
      <c r="CG312" s="11">
        <v>46331</v>
      </c>
      <c r="CH312" s="33" t="s">
        <v>4</v>
      </c>
      <c r="CI312" s="114"/>
      <c r="CJ312" s="115"/>
      <c r="CK312" s="115"/>
      <c r="CL312" s="116"/>
      <c r="CN312" s="11">
        <v>46331</v>
      </c>
      <c r="CO312" s="33" t="s">
        <v>4</v>
      </c>
      <c r="CP312" s="114"/>
      <c r="CQ312" s="115"/>
      <c r="CR312" s="115"/>
      <c r="CS312" s="116"/>
      <c r="CU312" s="11">
        <v>46331</v>
      </c>
      <c r="CV312" s="33" t="s">
        <v>4</v>
      </c>
      <c r="CW312" s="114"/>
      <c r="CX312" s="115"/>
      <c r="CY312" s="115"/>
      <c r="CZ312" s="116"/>
      <c r="DB312" s="11">
        <v>46329</v>
      </c>
      <c r="DC312" s="33" t="s">
        <v>9</v>
      </c>
      <c r="DD312" s="114"/>
      <c r="DE312" s="115"/>
      <c r="DF312" s="115"/>
      <c r="DG312" s="116"/>
      <c r="DI312" s="11">
        <v>46331</v>
      </c>
      <c r="DJ312" s="33" t="s">
        <v>4</v>
      </c>
      <c r="DK312" s="114"/>
      <c r="DL312" s="115"/>
      <c r="DM312" s="115"/>
      <c r="DN312" s="116"/>
      <c r="DP312" s="11">
        <v>46329</v>
      </c>
      <c r="DQ312" s="33" t="s">
        <v>9</v>
      </c>
      <c r="DR312" s="114"/>
      <c r="DS312" s="115"/>
      <c r="DT312" s="115"/>
      <c r="DU312" s="116"/>
      <c r="DW312" s="11">
        <v>46331</v>
      </c>
      <c r="DX312" s="33" t="s">
        <v>4</v>
      </c>
      <c r="DY312" s="114"/>
      <c r="DZ312" s="115"/>
      <c r="EA312" s="115"/>
      <c r="EB312" s="116"/>
    </row>
    <row r="313" spans="1:132" x14ac:dyDescent="0.25">
      <c r="A313" s="11">
        <v>46332</v>
      </c>
      <c r="B313" s="33" t="s">
        <v>5</v>
      </c>
      <c r="C313" s="114"/>
      <c r="D313" s="115"/>
      <c r="E313" s="115"/>
      <c r="F313" s="116"/>
      <c r="H313" s="11">
        <v>46332</v>
      </c>
      <c r="I313" s="33" t="s">
        <v>5</v>
      </c>
      <c r="J313" s="114"/>
      <c r="K313" s="115"/>
      <c r="L313" s="115"/>
      <c r="M313" s="116"/>
      <c r="O313" s="11">
        <v>46332</v>
      </c>
      <c r="P313" s="33" t="s">
        <v>5</v>
      </c>
      <c r="Q313" s="114"/>
      <c r="R313" s="115"/>
      <c r="S313" s="115"/>
      <c r="T313" s="116"/>
      <c r="V313" s="11">
        <v>46331</v>
      </c>
      <c r="W313" s="33" t="s">
        <v>4</v>
      </c>
      <c r="X313" s="114"/>
      <c r="Y313" s="115"/>
      <c r="Z313" s="115"/>
      <c r="AA313" s="116"/>
      <c r="AC313" s="11">
        <v>46332</v>
      </c>
      <c r="AD313" s="33" t="s">
        <v>5</v>
      </c>
      <c r="AE313" s="114"/>
      <c r="AF313" s="115"/>
      <c r="AG313" s="115"/>
      <c r="AH313" s="116"/>
      <c r="AI313" s="100"/>
      <c r="AJ313" s="11">
        <v>46332</v>
      </c>
      <c r="AK313" s="33" t="s">
        <v>5</v>
      </c>
      <c r="AL313" s="114"/>
      <c r="AM313" s="115"/>
      <c r="AN313" s="115"/>
      <c r="AO313" s="116"/>
      <c r="AQ313" s="11">
        <v>46332</v>
      </c>
      <c r="AR313" s="33" t="s">
        <v>5</v>
      </c>
      <c r="AS313" s="114"/>
      <c r="AT313" s="115"/>
      <c r="AU313" s="115"/>
      <c r="AV313" s="116"/>
      <c r="AX313" s="11">
        <v>46331</v>
      </c>
      <c r="AY313" s="33" t="s">
        <v>4</v>
      </c>
      <c r="AZ313" s="114"/>
      <c r="BA313" s="115"/>
      <c r="BB313" s="115"/>
      <c r="BC313" s="116"/>
      <c r="BE313" s="11">
        <v>46332</v>
      </c>
      <c r="BF313" s="33" t="s">
        <v>5</v>
      </c>
      <c r="BG313" s="33"/>
      <c r="BH313" s="19"/>
      <c r="BI313" s="19"/>
      <c r="BJ313" s="20"/>
      <c r="BL313" s="11">
        <v>46332</v>
      </c>
      <c r="BM313" s="33" t="s">
        <v>5</v>
      </c>
      <c r="BN313" s="114"/>
      <c r="BO313" s="115"/>
      <c r="BP313" s="115"/>
      <c r="BQ313" s="116"/>
      <c r="BS313" s="11">
        <v>46332</v>
      </c>
      <c r="BT313" s="33" t="s">
        <v>5</v>
      </c>
      <c r="BU313" s="114"/>
      <c r="BV313" s="115"/>
      <c r="BW313" s="115"/>
      <c r="BX313" s="116"/>
      <c r="BZ313" s="11">
        <v>46331</v>
      </c>
      <c r="CA313" s="33" t="s">
        <v>4</v>
      </c>
      <c r="CB313" s="114"/>
      <c r="CC313" s="115"/>
      <c r="CD313" s="115"/>
      <c r="CE313" s="116"/>
      <c r="CG313" s="11">
        <v>46332</v>
      </c>
      <c r="CH313" s="33" t="s">
        <v>5</v>
      </c>
      <c r="CI313" s="114"/>
      <c r="CJ313" s="115"/>
      <c r="CK313" s="115"/>
      <c r="CL313" s="116"/>
      <c r="CN313" s="11">
        <v>46332</v>
      </c>
      <c r="CO313" s="33" t="s">
        <v>5</v>
      </c>
      <c r="CP313" s="114"/>
      <c r="CQ313" s="115"/>
      <c r="CR313" s="115"/>
      <c r="CS313" s="116"/>
      <c r="CU313" s="11">
        <v>46332</v>
      </c>
      <c r="CV313" s="33" t="s">
        <v>5</v>
      </c>
      <c r="CW313" s="114"/>
      <c r="CX313" s="115"/>
      <c r="CY313" s="115"/>
      <c r="CZ313" s="116"/>
      <c r="DB313" s="11">
        <v>46330</v>
      </c>
      <c r="DC313" s="33" t="s">
        <v>3</v>
      </c>
      <c r="DD313" s="114"/>
      <c r="DE313" s="115"/>
      <c r="DF313" s="115"/>
      <c r="DG313" s="116"/>
      <c r="DI313" s="11">
        <v>46332</v>
      </c>
      <c r="DJ313" s="33" t="s">
        <v>5</v>
      </c>
      <c r="DK313" s="114"/>
      <c r="DL313" s="115"/>
      <c r="DM313" s="115"/>
      <c r="DN313" s="116"/>
      <c r="DP313" s="11">
        <v>46330</v>
      </c>
      <c r="DQ313" s="33" t="s">
        <v>3</v>
      </c>
      <c r="DR313" s="114"/>
      <c r="DS313" s="115"/>
      <c r="DT313" s="115"/>
      <c r="DU313" s="116"/>
      <c r="DW313" s="11">
        <v>46332</v>
      </c>
      <c r="DX313" s="33" t="s">
        <v>5</v>
      </c>
      <c r="DY313" s="114"/>
      <c r="DZ313" s="115"/>
      <c r="EA313" s="115"/>
      <c r="EB313" s="116"/>
    </row>
    <row r="314" spans="1:132" x14ac:dyDescent="0.25">
      <c r="A314" s="11">
        <v>46333</v>
      </c>
      <c r="B314" s="33" t="s">
        <v>6</v>
      </c>
      <c r="C314" s="114"/>
      <c r="D314" s="115"/>
      <c r="E314" s="115"/>
      <c r="F314" s="116"/>
      <c r="H314" s="11">
        <v>46333</v>
      </c>
      <c r="I314" s="33" t="s">
        <v>6</v>
      </c>
      <c r="J314" s="114"/>
      <c r="K314" s="115"/>
      <c r="L314" s="115"/>
      <c r="M314" s="116"/>
      <c r="O314" s="11">
        <v>46333</v>
      </c>
      <c r="P314" s="33" t="s">
        <v>6</v>
      </c>
      <c r="Q314" s="114"/>
      <c r="R314" s="115"/>
      <c r="S314" s="115"/>
      <c r="T314" s="116"/>
      <c r="V314" s="11">
        <v>46332</v>
      </c>
      <c r="W314" s="33" t="s">
        <v>5</v>
      </c>
      <c r="X314" s="114"/>
      <c r="Y314" s="115"/>
      <c r="Z314" s="115"/>
      <c r="AA314" s="116"/>
      <c r="AC314" s="11">
        <v>46333</v>
      </c>
      <c r="AD314" s="33" t="s">
        <v>6</v>
      </c>
      <c r="AE314" s="114"/>
      <c r="AF314" s="115"/>
      <c r="AG314" s="115"/>
      <c r="AH314" s="116"/>
      <c r="AI314" s="100"/>
      <c r="AJ314" s="11">
        <v>46333</v>
      </c>
      <c r="AK314" s="33" t="s">
        <v>6</v>
      </c>
      <c r="AL314" s="114"/>
      <c r="AM314" s="115"/>
      <c r="AN314" s="115"/>
      <c r="AO314" s="116"/>
      <c r="AQ314" s="11">
        <v>46333</v>
      </c>
      <c r="AR314" s="33" t="s">
        <v>6</v>
      </c>
      <c r="AS314" s="114"/>
      <c r="AT314" s="115"/>
      <c r="AU314" s="115"/>
      <c r="AV314" s="116"/>
      <c r="AX314" s="11">
        <v>46332</v>
      </c>
      <c r="AY314" s="33" t="s">
        <v>5</v>
      </c>
      <c r="AZ314" s="114"/>
      <c r="BA314" s="115"/>
      <c r="BB314" s="115"/>
      <c r="BC314" s="116"/>
      <c r="BE314" s="11">
        <v>46333</v>
      </c>
      <c r="BF314" s="33" t="s">
        <v>6</v>
      </c>
      <c r="BG314" s="33"/>
      <c r="BH314" s="19"/>
      <c r="BI314" s="19"/>
      <c r="BJ314" s="20"/>
      <c r="BL314" s="11">
        <v>46333</v>
      </c>
      <c r="BM314" s="33" t="s">
        <v>6</v>
      </c>
      <c r="BN314" s="114"/>
      <c r="BO314" s="115"/>
      <c r="BP314" s="115"/>
      <c r="BQ314" s="116"/>
      <c r="BS314" s="11">
        <v>46333</v>
      </c>
      <c r="BT314" s="33" t="s">
        <v>6</v>
      </c>
      <c r="BU314" s="114"/>
      <c r="BV314" s="115"/>
      <c r="BW314" s="115"/>
      <c r="BX314" s="116"/>
      <c r="BZ314" s="11">
        <v>46332</v>
      </c>
      <c r="CA314" s="33" t="s">
        <v>5</v>
      </c>
      <c r="CB314" s="114"/>
      <c r="CC314" s="115"/>
      <c r="CD314" s="115"/>
      <c r="CE314" s="116"/>
      <c r="CG314" s="11">
        <v>46333</v>
      </c>
      <c r="CH314" s="33" t="s">
        <v>6</v>
      </c>
      <c r="CI314" s="114"/>
      <c r="CJ314" s="115"/>
      <c r="CK314" s="115"/>
      <c r="CL314" s="116"/>
      <c r="CN314" s="11">
        <v>46333</v>
      </c>
      <c r="CO314" s="33" t="s">
        <v>6</v>
      </c>
      <c r="CP314" s="114"/>
      <c r="CQ314" s="115"/>
      <c r="CR314" s="115"/>
      <c r="CS314" s="116"/>
      <c r="CU314" s="11">
        <v>46333</v>
      </c>
      <c r="CV314" s="33" t="s">
        <v>6</v>
      </c>
      <c r="CW314" s="114"/>
      <c r="CX314" s="115"/>
      <c r="CY314" s="115"/>
      <c r="CZ314" s="116"/>
      <c r="DB314" s="11">
        <v>46331</v>
      </c>
      <c r="DC314" s="33" t="s">
        <v>4</v>
      </c>
      <c r="DD314" s="114"/>
      <c r="DE314" s="115"/>
      <c r="DF314" s="115"/>
      <c r="DG314" s="116"/>
      <c r="DI314" s="11">
        <v>46333</v>
      </c>
      <c r="DJ314" s="33" t="s">
        <v>6</v>
      </c>
      <c r="DK314" s="114"/>
      <c r="DL314" s="115"/>
      <c r="DM314" s="115"/>
      <c r="DN314" s="116"/>
      <c r="DP314" s="11">
        <v>46331</v>
      </c>
      <c r="DQ314" s="33" t="s">
        <v>4</v>
      </c>
      <c r="DR314" s="114"/>
      <c r="DS314" s="115"/>
      <c r="DT314" s="115"/>
      <c r="DU314" s="116"/>
      <c r="DW314" s="11">
        <v>46333</v>
      </c>
      <c r="DX314" s="33" t="s">
        <v>6</v>
      </c>
      <c r="DY314" s="114"/>
      <c r="DZ314" s="115"/>
      <c r="EA314" s="115"/>
      <c r="EB314" s="116"/>
    </row>
    <row r="315" spans="1:132" x14ac:dyDescent="0.25">
      <c r="A315" s="11">
        <v>46334</v>
      </c>
      <c r="B315" s="33" t="s">
        <v>7</v>
      </c>
      <c r="C315" s="114"/>
      <c r="D315" s="115"/>
      <c r="E315" s="115"/>
      <c r="F315" s="116"/>
      <c r="H315" s="11">
        <v>46334</v>
      </c>
      <c r="I315" s="33" t="s">
        <v>7</v>
      </c>
      <c r="J315" s="114"/>
      <c r="K315" s="115"/>
      <c r="L315" s="115"/>
      <c r="M315" s="116"/>
      <c r="O315" s="11">
        <v>46334</v>
      </c>
      <c r="P315" s="33" t="s">
        <v>7</v>
      </c>
      <c r="Q315" s="114"/>
      <c r="R315" s="115"/>
      <c r="S315" s="115"/>
      <c r="T315" s="116"/>
      <c r="V315" s="11">
        <v>46333</v>
      </c>
      <c r="W315" s="33" t="s">
        <v>6</v>
      </c>
      <c r="X315" s="114"/>
      <c r="Y315" s="115"/>
      <c r="Z315" s="115"/>
      <c r="AA315" s="116"/>
      <c r="AC315" s="11">
        <v>46334</v>
      </c>
      <c r="AD315" s="33" t="s">
        <v>7</v>
      </c>
      <c r="AE315" s="114"/>
      <c r="AF315" s="115"/>
      <c r="AG315" s="115"/>
      <c r="AH315" s="116"/>
      <c r="AI315" s="100"/>
      <c r="AJ315" s="11">
        <v>46334</v>
      </c>
      <c r="AK315" s="33" t="s">
        <v>7</v>
      </c>
      <c r="AL315" s="114"/>
      <c r="AM315" s="115"/>
      <c r="AN315" s="115"/>
      <c r="AO315" s="116"/>
      <c r="AQ315" s="11">
        <v>46334</v>
      </c>
      <c r="AR315" s="33" t="s">
        <v>7</v>
      </c>
      <c r="AS315" s="114"/>
      <c r="AT315" s="115"/>
      <c r="AU315" s="115"/>
      <c r="AV315" s="116"/>
      <c r="AX315" s="11">
        <v>46333</v>
      </c>
      <c r="AY315" s="33" t="s">
        <v>6</v>
      </c>
      <c r="AZ315" s="114"/>
      <c r="BA315" s="115"/>
      <c r="BB315" s="115"/>
      <c r="BC315" s="116"/>
      <c r="BE315" s="11">
        <v>46334</v>
      </c>
      <c r="BF315" s="33" t="s">
        <v>7</v>
      </c>
      <c r="BG315" s="33"/>
      <c r="BH315" s="19"/>
      <c r="BI315" s="19"/>
      <c r="BJ315" s="20"/>
      <c r="BL315" s="11">
        <v>46334</v>
      </c>
      <c r="BM315" s="33" t="s">
        <v>7</v>
      </c>
      <c r="BN315" s="114"/>
      <c r="BO315" s="115"/>
      <c r="BP315" s="115"/>
      <c r="BQ315" s="116"/>
      <c r="BS315" s="11">
        <v>46334</v>
      </c>
      <c r="BT315" s="33" t="s">
        <v>7</v>
      </c>
      <c r="BU315" s="114"/>
      <c r="BV315" s="115"/>
      <c r="BW315" s="115"/>
      <c r="BX315" s="116"/>
      <c r="BZ315" s="11">
        <v>46333</v>
      </c>
      <c r="CA315" s="33" t="s">
        <v>6</v>
      </c>
      <c r="CB315" s="114"/>
      <c r="CC315" s="115"/>
      <c r="CD315" s="115"/>
      <c r="CE315" s="116"/>
      <c r="CG315" s="11">
        <v>46334</v>
      </c>
      <c r="CH315" s="33" t="s">
        <v>7</v>
      </c>
      <c r="CI315" s="114"/>
      <c r="CJ315" s="115"/>
      <c r="CK315" s="115"/>
      <c r="CL315" s="116"/>
      <c r="CN315" s="11">
        <v>46334</v>
      </c>
      <c r="CO315" s="33" t="s">
        <v>7</v>
      </c>
      <c r="CP315" s="114"/>
      <c r="CQ315" s="115"/>
      <c r="CR315" s="115"/>
      <c r="CS315" s="116"/>
      <c r="CU315" s="11">
        <v>46334</v>
      </c>
      <c r="CV315" s="33" t="s">
        <v>7</v>
      </c>
      <c r="CW315" s="114"/>
      <c r="CX315" s="115"/>
      <c r="CY315" s="115"/>
      <c r="CZ315" s="116"/>
      <c r="DB315" s="11">
        <v>46332</v>
      </c>
      <c r="DC315" s="33" t="s">
        <v>5</v>
      </c>
      <c r="DD315" s="114"/>
      <c r="DE315" s="115"/>
      <c r="DF315" s="115"/>
      <c r="DG315" s="116"/>
      <c r="DI315" s="11">
        <v>46334</v>
      </c>
      <c r="DJ315" s="33" t="s">
        <v>7</v>
      </c>
      <c r="DK315" s="114"/>
      <c r="DL315" s="115"/>
      <c r="DM315" s="115"/>
      <c r="DN315" s="116"/>
      <c r="DP315" s="11">
        <v>46332</v>
      </c>
      <c r="DQ315" s="33" t="s">
        <v>5</v>
      </c>
      <c r="DR315" s="114"/>
      <c r="DS315" s="115"/>
      <c r="DT315" s="115"/>
      <c r="DU315" s="116"/>
      <c r="DW315" s="11">
        <v>46334</v>
      </c>
      <c r="DX315" s="33" t="s">
        <v>7</v>
      </c>
      <c r="DY315" s="114"/>
      <c r="DZ315" s="115"/>
      <c r="EA315" s="115"/>
      <c r="EB315" s="116"/>
    </row>
    <row r="316" spans="1:132" x14ac:dyDescent="0.25">
      <c r="A316" s="11">
        <v>46335</v>
      </c>
      <c r="B316" s="33" t="s">
        <v>8</v>
      </c>
      <c r="C316" s="114"/>
      <c r="D316" s="115"/>
      <c r="E316" s="115"/>
      <c r="F316" s="116"/>
      <c r="H316" s="11">
        <v>46335</v>
      </c>
      <c r="I316" s="33" t="s">
        <v>8</v>
      </c>
      <c r="J316" s="114"/>
      <c r="K316" s="115"/>
      <c r="L316" s="115"/>
      <c r="M316" s="116"/>
      <c r="O316" s="11">
        <v>46335</v>
      </c>
      <c r="P316" s="33" t="s">
        <v>8</v>
      </c>
      <c r="Q316" s="114"/>
      <c r="R316" s="115"/>
      <c r="S316" s="115"/>
      <c r="T316" s="116"/>
      <c r="V316" s="11">
        <v>46334</v>
      </c>
      <c r="W316" s="33" t="s">
        <v>7</v>
      </c>
      <c r="X316" s="114"/>
      <c r="Y316" s="115"/>
      <c r="Z316" s="115"/>
      <c r="AA316" s="116"/>
      <c r="AC316" s="11">
        <v>46335</v>
      </c>
      <c r="AD316" s="33" t="s">
        <v>8</v>
      </c>
      <c r="AE316" s="114"/>
      <c r="AF316" s="115"/>
      <c r="AG316" s="115"/>
      <c r="AH316" s="116"/>
      <c r="AJ316" s="11">
        <v>46335</v>
      </c>
      <c r="AK316" s="33" t="s">
        <v>8</v>
      </c>
      <c r="AL316" s="114"/>
      <c r="AM316" s="115"/>
      <c r="AN316" s="115"/>
      <c r="AO316" s="116"/>
      <c r="AQ316" s="11">
        <v>46335</v>
      </c>
      <c r="AR316" s="33" t="s">
        <v>8</v>
      </c>
      <c r="AS316" s="114"/>
      <c r="AT316" s="115"/>
      <c r="AU316" s="115"/>
      <c r="AV316" s="116"/>
      <c r="AX316" s="11">
        <v>46334</v>
      </c>
      <c r="AY316" s="33" t="s">
        <v>7</v>
      </c>
      <c r="AZ316" s="114"/>
      <c r="BA316" s="115"/>
      <c r="BB316" s="115"/>
      <c r="BC316" s="116"/>
      <c r="BE316" s="11">
        <v>46335</v>
      </c>
      <c r="BF316" s="33" t="s">
        <v>8</v>
      </c>
      <c r="BG316" s="33"/>
      <c r="BH316" s="19"/>
      <c r="BI316" s="19"/>
      <c r="BJ316" s="20"/>
      <c r="BL316" s="11">
        <v>46335</v>
      </c>
      <c r="BM316" s="33" t="s">
        <v>8</v>
      </c>
      <c r="BN316" s="114"/>
      <c r="BO316" s="115"/>
      <c r="BP316" s="115"/>
      <c r="BQ316" s="116"/>
      <c r="BS316" s="11">
        <v>46335</v>
      </c>
      <c r="BT316" s="33" t="s">
        <v>8</v>
      </c>
      <c r="BU316" s="114"/>
      <c r="BV316" s="115"/>
      <c r="BW316" s="115"/>
      <c r="BX316" s="116"/>
      <c r="BZ316" s="11">
        <v>46334</v>
      </c>
      <c r="CA316" s="33" t="s">
        <v>7</v>
      </c>
      <c r="CB316" s="114"/>
      <c r="CC316" s="115"/>
      <c r="CD316" s="115"/>
      <c r="CE316" s="116"/>
      <c r="CG316" s="11">
        <v>46335</v>
      </c>
      <c r="CH316" s="33" t="s">
        <v>8</v>
      </c>
      <c r="CI316" s="114"/>
      <c r="CJ316" s="115"/>
      <c r="CK316" s="115"/>
      <c r="CL316" s="116"/>
      <c r="CN316" s="11">
        <v>46335</v>
      </c>
      <c r="CO316" s="33" t="s">
        <v>8</v>
      </c>
      <c r="CP316" s="114"/>
      <c r="CQ316" s="115"/>
      <c r="CR316" s="115"/>
      <c r="CS316" s="116"/>
      <c r="CU316" s="11">
        <v>46335</v>
      </c>
      <c r="CV316" s="33" t="s">
        <v>8</v>
      </c>
      <c r="CW316" s="114"/>
      <c r="CX316" s="115"/>
      <c r="CY316" s="115"/>
      <c r="CZ316" s="116"/>
      <c r="DB316" s="11">
        <v>46333</v>
      </c>
      <c r="DC316" s="33" t="s">
        <v>6</v>
      </c>
      <c r="DD316" s="114"/>
      <c r="DE316" s="115"/>
      <c r="DF316" s="115"/>
      <c r="DG316" s="116"/>
      <c r="DI316" s="11">
        <v>46335</v>
      </c>
      <c r="DJ316" s="33" t="s">
        <v>8</v>
      </c>
      <c r="DK316" s="114"/>
      <c r="DL316" s="115"/>
      <c r="DM316" s="115"/>
      <c r="DN316" s="116"/>
      <c r="DP316" s="11">
        <v>46333</v>
      </c>
      <c r="DQ316" s="33" t="s">
        <v>6</v>
      </c>
      <c r="DR316" s="114"/>
      <c r="DS316" s="115"/>
      <c r="DT316" s="115"/>
      <c r="DU316" s="116"/>
      <c r="DW316" s="11">
        <v>46335</v>
      </c>
      <c r="DX316" s="33" t="s">
        <v>8</v>
      </c>
      <c r="DY316" s="114"/>
      <c r="DZ316" s="115"/>
      <c r="EA316" s="115"/>
      <c r="EB316" s="116"/>
    </row>
    <row r="317" spans="1:132" x14ac:dyDescent="0.25">
      <c r="A317" s="11">
        <v>46336</v>
      </c>
      <c r="B317" s="33" t="s">
        <v>9</v>
      </c>
      <c r="C317" s="114"/>
      <c r="D317" s="115"/>
      <c r="E317" s="115"/>
      <c r="F317" s="116"/>
      <c r="H317" s="11">
        <v>46336</v>
      </c>
      <c r="I317" s="33" t="s">
        <v>9</v>
      </c>
      <c r="J317" s="114"/>
      <c r="K317" s="115"/>
      <c r="L317" s="115"/>
      <c r="M317" s="116"/>
      <c r="O317" s="11">
        <v>46336</v>
      </c>
      <c r="P317" s="33" t="s">
        <v>9</v>
      </c>
      <c r="Q317" s="114"/>
      <c r="R317" s="115"/>
      <c r="S317" s="115"/>
      <c r="T317" s="116"/>
      <c r="V317" s="11">
        <v>46335</v>
      </c>
      <c r="W317" s="33" t="s">
        <v>8</v>
      </c>
      <c r="X317" s="114"/>
      <c r="Y317" s="115"/>
      <c r="Z317" s="115"/>
      <c r="AA317" s="116"/>
      <c r="AC317" s="11">
        <v>46336</v>
      </c>
      <c r="AD317" s="33" t="s">
        <v>9</v>
      </c>
      <c r="AE317" s="114"/>
      <c r="AF317" s="115"/>
      <c r="AG317" s="115"/>
      <c r="AH317" s="116"/>
      <c r="AJ317" s="11">
        <v>46336</v>
      </c>
      <c r="AK317" s="33" t="s">
        <v>9</v>
      </c>
      <c r="AL317" s="114"/>
      <c r="AM317" s="115"/>
      <c r="AN317" s="115"/>
      <c r="AO317" s="116"/>
      <c r="AQ317" s="11">
        <v>46336</v>
      </c>
      <c r="AR317" s="33" t="s">
        <v>9</v>
      </c>
      <c r="AS317" s="114"/>
      <c r="AT317" s="115"/>
      <c r="AU317" s="115"/>
      <c r="AV317" s="116"/>
      <c r="AX317" s="11">
        <v>46335</v>
      </c>
      <c r="AY317" s="33" t="s">
        <v>8</v>
      </c>
      <c r="AZ317" s="114"/>
      <c r="BA317" s="115"/>
      <c r="BB317" s="115"/>
      <c r="BC317" s="116"/>
      <c r="BE317" s="11">
        <v>46336</v>
      </c>
      <c r="BF317" s="33" t="s">
        <v>9</v>
      </c>
      <c r="BG317" s="33"/>
      <c r="BH317" s="19"/>
      <c r="BI317" s="19"/>
      <c r="BJ317" s="20"/>
      <c r="BL317" s="11">
        <v>46336</v>
      </c>
      <c r="BM317" s="33" t="s">
        <v>9</v>
      </c>
      <c r="BN317" s="114"/>
      <c r="BO317" s="115"/>
      <c r="BP317" s="115"/>
      <c r="BQ317" s="116"/>
      <c r="BS317" s="11">
        <v>46336</v>
      </c>
      <c r="BT317" s="33" t="s">
        <v>9</v>
      </c>
      <c r="BU317" s="114"/>
      <c r="BV317" s="115"/>
      <c r="BW317" s="115"/>
      <c r="BX317" s="116"/>
      <c r="BZ317" s="11">
        <v>46335</v>
      </c>
      <c r="CA317" s="33" t="s">
        <v>8</v>
      </c>
      <c r="CB317" s="114"/>
      <c r="CC317" s="115"/>
      <c r="CD317" s="115"/>
      <c r="CE317" s="116"/>
      <c r="CG317" s="11">
        <v>46336</v>
      </c>
      <c r="CH317" s="33" t="s">
        <v>9</v>
      </c>
      <c r="CI317" s="114"/>
      <c r="CJ317" s="115"/>
      <c r="CK317" s="115"/>
      <c r="CL317" s="116"/>
      <c r="CN317" s="11">
        <v>46336</v>
      </c>
      <c r="CO317" s="33" t="s">
        <v>9</v>
      </c>
      <c r="CP317" s="114"/>
      <c r="CQ317" s="115"/>
      <c r="CR317" s="115"/>
      <c r="CS317" s="116"/>
      <c r="CU317" s="11">
        <v>46336</v>
      </c>
      <c r="CV317" s="33" t="s">
        <v>9</v>
      </c>
      <c r="CW317" s="114"/>
      <c r="CX317" s="115"/>
      <c r="CY317" s="115"/>
      <c r="CZ317" s="116"/>
      <c r="DB317" s="11">
        <v>46334</v>
      </c>
      <c r="DC317" s="33" t="s">
        <v>7</v>
      </c>
      <c r="DD317" s="114"/>
      <c r="DE317" s="115"/>
      <c r="DF317" s="115"/>
      <c r="DG317" s="116"/>
      <c r="DI317" s="11">
        <v>46336</v>
      </c>
      <c r="DJ317" s="33" t="s">
        <v>9</v>
      </c>
      <c r="DK317" s="114"/>
      <c r="DL317" s="115"/>
      <c r="DM317" s="115"/>
      <c r="DN317" s="116"/>
      <c r="DP317" s="11">
        <v>46334</v>
      </c>
      <c r="DQ317" s="33" t="s">
        <v>7</v>
      </c>
      <c r="DR317" s="114"/>
      <c r="DS317" s="115"/>
      <c r="DT317" s="115"/>
      <c r="DU317" s="116"/>
      <c r="DW317" s="11">
        <v>46336</v>
      </c>
      <c r="DX317" s="33" t="s">
        <v>9</v>
      </c>
      <c r="DY317" s="114"/>
      <c r="DZ317" s="115"/>
      <c r="EA317" s="115"/>
      <c r="EB317" s="116"/>
    </row>
    <row r="318" spans="1:132" x14ac:dyDescent="0.25">
      <c r="A318" s="11">
        <v>46337</v>
      </c>
      <c r="B318" s="33" t="s">
        <v>3</v>
      </c>
      <c r="C318" s="114"/>
      <c r="D318" s="115"/>
      <c r="E318" s="115"/>
      <c r="F318" s="116"/>
      <c r="H318" s="11">
        <v>46337</v>
      </c>
      <c r="I318" s="33" t="s">
        <v>3</v>
      </c>
      <c r="J318" s="114"/>
      <c r="K318" s="115"/>
      <c r="L318" s="115"/>
      <c r="M318" s="116"/>
      <c r="O318" s="11">
        <v>46337</v>
      </c>
      <c r="P318" s="33" t="s">
        <v>3</v>
      </c>
      <c r="Q318" s="114"/>
      <c r="R318" s="115"/>
      <c r="S318" s="115"/>
      <c r="T318" s="116"/>
      <c r="V318" s="11">
        <v>46336</v>
      </c>
      <c r="W318" s="33" t="s">
        <v>9</v>
      </c>
      <c r="X318" s="114"/>
      <c r="Y318" s="115"/>
      <c r="Z318" s="115"/>
      <c r="AA318" s="116"/>
      <c r="AC318" s="11">
        <v>46337</v>
      </c>
      <c r="AD318" s="33" t="s">
        <v>3</v>
      </c>
      <c r="AE318" s="114"/>
      <c r="AF318" s="115"/>
      <c r="AG318" s="115"/>
      <c r="AH318" s="116"/>
      <c r="AI318" s="100"/>
      <c r="AJ318" s="11">
        <v>46337</v>
      </c>
      <c r="AK318" s="33" t="s">
        <v>3</v>
      </c>
      <c r="AL318" s="114"/>
      <c r="AM318" s="115"/>
      <c r="AN318" s="115"/>
      <c r="AO318" s="116"/>
      <c r="AQ318" s="11">
        <v>46337</v>
      </c>
      <c r="AR318" s="33" t="s">
        <v>3</v>
      </c>
      <c r="AS318" s="114"/>
      <c r="AT318" s="115"/>
      <c r="AU318" s="115"/>
      <c r="AV318" s="116"/>
      <c r="AX318" s="11">
        <v>46336</v>
      </c>
      <c r="AY318" s="33" t="s">
        <v>9</v>
      </c>
      <c r="AZ318" s="114"/>
      <c r="BA318" s="115"/>
      <c r="BB318" s="115"/>
      <c r="BC318" s="116"/>
      <c r="BE318" s="11">
        <v>46337</v>
      </c>
      <c r="BF318" s="33" t="s">
        <v>3</v>
      </c>
      <c r="BG318" s="33"/>
      <c r="BH318" s="19"/>
      <c r="BI318" s="19"/>
      <c r="BJ318" s="20"/>
      <c r="BL318" s="11">
        <v>46337</v>
      </c>
      <c r="BM318" s="33" t="s">
        <v>3</v>
      </c>
      <c r="BN318" s="114"/>
      <c r="BO318" s="115"/>
      <c r="BP318" s="115"/>
      <c r="BQ318" s="116"/>
      <c r="BS318" s="11">
        <v>46337</v>
      </c>
      <c r="BT318" s="33" t="s">
        <v>3</v>
      </c>
      <c r="BU318" s="114"/>
      <c r="BV318" s="115"/>
      <c r="BW318" s="115"/>
      <c r="BX318" s="116"/>
      <c r="BZ318" s="11">
        <v>46336</v>
      </c>
      <c r="CA318" s="33" t="s">
        <v>9</v>
      </c>
      <c r="CB318" s="114"/>
      <c r="CC318" s="115"/>
      <c r="CD318" s="115"/>
      <c r="CE318" s="116"/>
      <c r="CG318" s="11">
        <v>46337</v>
      </c>
      <c r="CH318" s="33" t="s">
        <v>3</v>
      </c>
      <c r="CI318" s="114"/>
      <c r="CJ318" s="115"/>
      <c r="CK318" s="115"/>
      <c r="CL318" s="116"/>
      <c r="CN318" s="11">
        <v>46337</v>
      </c>
      <c r="CO318" s="33" t="s">
        <v>3</v>
      </c>
      <c r="CP318" s="114"/>
      <c r="CQ318" s="115"/>
      <c r="CR318" s="115"/>
      <c r="CS318" s="116"/>
      <c r="CU318" s="11">
        <v>46337</v>
      </c>
      <c r="CV318" s="33" t="s">
        <v>3</v>
      </c>
      <c r="CW318" s="114"/>
      <c r="CX318" s="115"/>
      <c r="CY318" s="115"/>
      <c r="CZ318" s="116"/>
      <c r="DB318" s="11">
        <v>46335</v>
      </c>
      <c r="DC318" s="33" t="s">
        <v>8</v>
      </c>
      <c r="DD318" s="114"/>
      <c r="DE318" s="115"/>
      <c r="DF318" s="115"/>
      <c r="DG318" s="116"/>
      <c r="DI318" s="11">
        <v>46337</v>
      </c>
      <c r="DJ318" s="33" t="s">
        <v>3</v>
      </c>
      <c r="DK318" s="114"/>
      <c r="DL318" s="115"/>
      <c r="DM318" s="115"/>
      <c r="DN318" s="116"/>
      <c r="DP318" s="11">
        <v>46335</v>
      </c>
      <c r="DQ318" s="33" t="s">
        <v>8</v>
      </c>
      <c r="DR318" s="114"/>
      <c r="DS318" s="115"/>
      <c r="DT318" s="115"/>
      <c r="DU318" s="116"/>
      <c r="DW318" s="11">
        <v>46337</v>
      </c>
      <c r="DX318" s="33" t="s">
        <v>3</v>
      </c>
      <c r="DY318" s="114"/>
      <c r="DZ318" s="115"/>
      <c r="EA318" s="115"/>
      <c r="EB318" s="116"/>
    </row>
    <row r="319" spans="1:132" x14ac:dyDescent="0.25">
      <c r="A319" s="11">
        <v>46338</v>
      </c>
      <c r="B319" s="33" t="s">
        <v>4</v>
      </c>
      <c r="C319" s="114"/>
      <c r="D319" s="115"/>
      <c r="E319" s="115"/>
      <c r="F319" s="116"/>
      <c r="H319" s="11">
        <v>46338</v>
      </c>
      <c r="I319" s="33" t="s">
        <v>4</v>
      </c>
      <c r="J319" s="114"/>
      <c r="K319" s="115"/>
      <c r="L319" s="115"/>
      <c r="M319" s="116"/>
      <c r="O319" s="11">
        <v>46338</v>
      </c>
      <c r="P319" s="33" t="s">
        <v>4</v>
      </c>
      <c r="Q319" s="114"/>
      <c r="R319" s="115"/>
      <c r="S319" s="115"/>
      <c r="T319" s="116"/>
      <c r="V319" s="11">
        <v>46337</v>
      </c>
      <c r="W319" s="33" t="s">
        <v>3</v>
      </c>
      <c r="X319" s="114"/>
      <c r="Y319" s="115"/>
      <c r="Z319" s="115"/>
      <c r="AA319" s="116"/>
      <c r="AC319" s="11">
        <v>46338</v>
      </c>
      <c r="AD319" s="33" t="s">
        <v>4</v>
      </c>
      <c r="AE319" s="114"/>
      <c r="AF319" s="115"/>
      <c r="AG319" s="115"/>
      <c r="AH319" s="116"/>
      <c r="AI319" s="100"/>
      <c r="AJ319" s="11">
        <v>46338</v>
      </c>
      <c r="AK319" s="33" t="s">
        <v>4</v>
      </c>
      <c r="AL319" s="114"/>
      <c r="AM319" s="115"/>
      <c r="AN319" s="115"/>
      <c r="AO319" s="116"/>
      <c r="AQ319" s="11">
        <v>46338</v>
      </c>
      <c r="AR319" s="33" t="s">
        <v>4</v>
      </c>
      <c r="AS319" s="114"/>
      <c r="AT319" s="115"/>
      <c r="AU319" s="115"/>
      <c r="AV319" s="116"/>
      <c r="AX319" s="11">
        <v>46337</v>
      </c>
      <c r="AY319" s="33" t="s">
        <v>3</v>
      </c>
      <c r="AZ319" s="114"/>
      <c r="BA319" s="115"/>
      <c r="BB319" s="115"/>
      <c r="BC319" s="116"/>
      <c r="BE319" s="11">
        <v>46338</v>
      </c>
      <c r="BF319" s="33" t="s">
        <v>4</v>
      </c>
      <c r="BG319" s="33"/>
      <c r="BH319" s="19"/>
      <c r="BI319" s="19"/>
      <c r="BJ319" s="20"/>
      <c r="BL319" s="11">
        <v>46338</v>
      </c>
      <c r="BM319" s="33" t="s">
        <v>4</v>
      </c>
      <c r="BN319" s="114"/>
      <c r="BO319" s="115"/>
      <c r="BP319" s="115"/>
      <c r="BQ319" s="116"/>
      <c r="BS319" s="11">
        <v>46338</v>
      </c>
      <c r="BT319" s="33" t="s">
        <v>4</v>
      </c>
      <c r="BU319" s="114"/>
      <c r="BV319" s="115"/>
      <c r="BW319" s="115"/>
      <c r="BX319" s="116"/>
      <c r="BZ319" s="11">
        <v>46337</v>
      </c>
      <c r="CA319" s="33" t="s">
        <v>3</v>
      </c>
      <c r="CB319" s="114"/>
      <c r="CC319" s="115"/>
      <c r="CD319" s="115"/>
      <c r="CE319" s="116"/>
      <c r="CG319" s="11">
        <v>46338</v>
      </c>
      <c r="CH319" s="33" t="s">
        <v>4</v>
      </c>
      <c r="CI319" s="114"/>
      <c r="CJ319" s="115"/>
      <c r="CK319" s="115"/>
      <c r="CL319" s="116"/>
      <c r="CN319" s="11">
        <v>46338</v>
      </c>
      <c r="CO319" s="33" t="s">
        <v>4</v>
      </c>
      <c r="CP319" s="114"/>
      <c r="CQ319" s="115"/>
      <c r="CR319" s="115"/>
      <c r="CS319" s="116"/>
      <c r="CU319" s="11">
        <v>46338</v>
      </c>
      <c r="CV319" s="33" t="s">
        <v>4</v>
      </c>
      <c r="CW319" s="114"/>
      <c r="CX319" s="115"/>
      <c r="CY319" s="115"/>
      <c r="CZ319" s="116"/>
      <c r="DB319" s="11">
        <v>46336</v>
      </c>
      <c r="DC319" s="33" t="s">
        <v>9</v>
      </c>
      <c r="DD319" s="114"/>
      <c r="DE319" s="115"/>
      <c r="DF319" s="115"/>
      <c r="DG319" s="116"/>
      <c r="DI319" s="11">
        <v>46338</v>
      </c>
      <c r="DJ319" s="33" t="s">
        <v>4</v>
      </c>
      <c r="DK319" s="114"/>
      <c r="DL319" s="115"/>
      <c r="DM319" s="115"/>
      <c r="DN319" s="116"/>
      <c r="DP319" s="11">
        <v>46336</v>
      </c>
      <c r="DQ319" s="33" t="s">
        <v>9</v>
      </c>
      <c r="DR319" s="114"/>
      <c r="DS319" s="115"/>
      <c r="DT319" s="115"/>
      <c r="DU319" s="116"/>
      <c r="DW319" s="11">
        <v>46338</v>
      </c>
      <c r="DX319" s="33" t="s">
        <v>4</v>
      </c>
      <c r="DY319" s="114"/>
      <c r="DZ319" s="115"/>
      <c r="EA319" s="115"/>
      <c r="EB319" s="116"/>
    </row>
    <row r="320" spans="1:132" x14ac:dyDescent="0.25">
      <c r="A320" s="11">
        <v>46339</v>
      </c>
      <c r="B320" s="33" t="s">
        <v>5</v>
      </c>
      <c r="C320" s="114"/>
      <c r="D320" s="115"/>
      <c r="E320" s="115"/>
      <c r="F320" s="116"/>
      <c r="H320" s="11">
        <v>46339</v>
      </c>
      <c r="I320" s="33" t="s">
        <v>5</v>
      </c>
      <c r="J320" s="114"/>
      <c r="K320" s="115"/>
      <c r="L320" s="115"/>
      <c r="M320" s="116"/>
      <c r="O320" s="11">
        <v>46339</v>
      </c>
      <c r="P320" s="33" t="s">
        <v>5</v>
      </c>
      <c r="Q320" s="114"/>
      <c r="R320" s="115"/>
      <c r="S320" s="115"/>
      <c r="T320" s="116"/>
      <c r="V320" s="11">
        <v>46338</v>
      </c>
      <c r="W320" s="33" t="s">
        <v>4</v>
      </c>
      <c r="X320" s="114"/>
      <c r="Y320" s="115"/>
      <c r="Z320" s="115"/>
      <c r="AA320" s="116"/>
      <c r="AC320" s="11">
        <v>46339</v>
      </c>
      <c r="AD320" s="33" t="s">
        <v>5</v>
      </c>
      <c r="AE320" s="114"/>
      <c r="AF320" s="115"/>
      <c r="AG320" s="115"/>
      <c r="AH320" s="116"/>
      <c r="AI320" s="100"/>
      <c r="AJ320" s="11">
        <v>46339</v>
      </c>
      <c r="AK320" s="33" t="s">
        <v>5</v>
      </c>
      <c r="AL320" s="114"/>
      <c r="AM320" s="115"/>
      <c r="AN320" s="115"/>
      <c r="AO320" s="116"/>
      <c r="AQ320" s="11">
        <v>46339</v>
      </c>
      <c r="AR320" s="33" t="s">
        <v>5</v>
      </c>
      <c r="AS320" s="114"/>
      <c r="AT320" s="115"/>
      <c r="AU320" s="115"/>
      <c r="AV320" s="116"/>
      <c r="AX320" s="11">
        <v>46338</v>
      </c>
      <c r="AY320" s="33" t="s">
        <v>4</v>
      </c>
      <c r="AZ320" s="114"/>
      <c r="BA320" s="115"/>
      <c r="BB320" s="115"/>
      <c r="BC320" s="116"/>
      <c r="BE320" s="11">
        <v>46339</v>
      </c>
      <c r="BF320" s="33" t="s">
        <v>5</v>
      </c>
      <c r="BG320" s="33"/>
      <c r="BH320" s="19"/>
      <c r="BI320" s="19"/>
      <c r="BJ320" s="20"/>
      <c r="BL320" s="11">
        <v>46339</v>
      </c>
      <c r="BM320" s="33" t="s">
        <v>5</v>
      </c>
      <c r="BN320" s="114"/>
      <c r="BO320" s="115"/>
      <c r="BP320" s="115"/>
      <c r="BQ320" s="116"/>
      <c r="BS320" s="11">
        <v>46339</v>
      </c>
      <c r="BT320" s="33" t="s">
        <v>5</v>
      </c>
      <c r="BU320" s="114"/>
      <c r="BV320" s="115"/>
      <c r="BW320" s="115"/>
      <c r="BX320" s="116"/>
      <c r="BZ320" s="11">
        <v>46338</v>
      </c>
      <c r="CA320" s="33" t="s">
        <v>4</v>
      </c>
      <c r="CB320" s="114"/>
      <c r="CC320" s="115"/>
      <c r="CD320" s="115"/>
      <c r="CE320" s="116"/>
      <c r="CG320" s="11">
        <v>46339</v>
      </c>
      <c r="CH320" s="33" t="s">
        <v>5</v>
      </c>
      <c r="CI320" s="114"/>
      <c r="CJ320" s="115"/>
      <c r="CK320" s="115"/>
      <c r="CL320" s="116"/>
      <c r="CN320" s="11">
        <v>46339</v>
      </c>
      <c r="CO320" s="33" t="s">
        <v>5</v>
      </c>
      <c r="CP320" s="114"/>
      <c r="CQ320" s="115"/>
      <c r="CR320" s="115"/>
      <c r="CS320" s="116"/>
      <c r="CU320" s="11">
        <v>46339</v>
      </c>
      <c r="CV320" s="33" t="s">
        <v>5</v>
      </c>
      <c r="CW320" s="114"/>
      <c r="CX320" s="115"/>
      <c r="CY320" s="115"/>
      <c r="CZ320" s="116"/>
      <c r="DB320" s="11">
        <v>46337</v>
      </c>
      <c r="DC320" s="33" t="s">
        <v>3</v>
      </c>
      <c r="DD320" s="114"/>
      <c r="DE320" s="115"/>
      <c r="DF320" s="115"/>
      <c r="DG320" s="116"/>
      <c r="DI320" s="11">
        <v>46339</v>
      </c>
      <c r="DJ320" s="33" t="s">
        <v>5</v>
      </c>
      <c r="DK320" s="114"/>
      <c r="DL320" s="115"/>
      <c r="DM320" s="115"/>
      <c r="DN320" s="116"/>
      <c r="DP320" s="11">
        <v>46337</v>
      </c>
      <c r="DQ320" s="33" t="s">
        <v>3</v>
      </c>
      <c r="DR320" s="114"/>
      <c r="DS320" s="115"/>
      <c r="DT320" s="115"/>
      <c r="DU320" s="116"/>
      <c r="DW320" s="11">
        <v>46339</v>
      </c>
      <c r="DX320" s="33" t="s">
        <v>5</v>
      </c>
      <c r="DY320" s="114"/>
      <c r="DZ320" s="115"/>
      <c r="EA320" s="115"/>
      <c r="EB320" s="116"/>
    </row>
    <row r="321" spans="1:132" x14ac:dyDescent="0.25">
      <c r="A321" s="11">
        <v>46340</v>
      </c>
      <c r="B321" s="33" t="s">
        <v>6</v>
      </c>
      <c r="C321" s="114"/>
      <c r="D321" s="115"/>
      <c r="E321" s="115"/>
      <c r="F321" s="116"/>
      <c r="H321" s="11">
        <v>46340</v>
      </c>
      <c r="I321" s="33" t="s">
        <v>6</v>
      </c>
      <c r="J321" s="114"/>
      <c r="K321" s="115"/>
      <c r="L321" s="115"/>
      <c r="M321" s="116"/>
      <c r="O321" s="11">
        <v>46340</v>
      </c>
      <c r="P321" s="33" t="s">
        <v>6</v>
      </c>
      <c r="Q321" s="114"/>
      <c r="R321" s="115"/>
      <c r="S321" s="115"/>
      <c r="T321" s="116"/>
      <c r="V321" s="11">
        <v>46339</v>
      </c>
      <c r="W321" s="33" t="s">
        <v>5</v>
      </c>
      <c r="X321" s="114"/>
      <c r="Y321" s="115"/>
      <c r="Z321" s="115"/>
      <c r="AA321" s="116"/>
      <c r="AC321" s="11">
        <v>46340</v>
      </c>
      <c r="AD321" s="33" t="s">
        <v>6</v>
      </c>
      <c r="AE321" s="114"/>
      <c r="AF321" s="115"/>
      <c r="AG321" s="115"/>
      <c r="AH321" s="116"/>
      <c r="AI321" s="100"/>
      <c r="AJ321" s="11">
        <v>46340</v>
      </c>
      <c r="AK321" s="33" t="s">
        <v>6</v>
      </c>
      <c r="AL321" s="114"/>
      <c r="AM321" s="115"/>
      <c r="AN321" s="115"/>
      <c r="AO321" s="116"/>
      <c r="AQ321" s="11">
        <v>46340</v>
      </c>
      <c r="AR321" s="33" t="s">
        <v>6</v>
      </c>
      <c r="AS321" s="114"/>
      <c r="AT321" s="115"/>
      <c r="AU321" s="115"/>
      <c r="AV321" s="116"/>
      <c r="AX321" s="11">
        <v>46339</v>
      </c>
      <c r="AY321" s="33" t="s">
        <v>5</v>
      </c>
      <c r="AZ321" s="114"/>
      <c r="BA321" s="115"/>
      <c r="BB321" s="115"/>
      <c r="BC321" s="116"/>
      <c r="BE321" s="11">
        <v>46340</v>
      </c>
      <c r="BF321" s="33" t="s">
        <v>6</v>
      </c>
      <c r="BG321" s="33"/>
      <c r="BH321" s="19"/>
      <c r="BI321" s="19"/>
      <c r="BJ321" s="20"/>
      <c r="BL321" s="11">
        <v>46340</v>
      </c>
      <c r="BM321" s="33" t="s">
        <v>6</v>
      </c>
      <c r="BN321" s="114"/>
      <c r="BO321" s="115"/>
      <c r="BP321" s="115"/>
      <c r="BQ321" s="116"/>
      <c r="BS321" s="11">
        <v>46340</v>
      </c>
      <c r="BT321" s="33" t="s">
        <v>6</v>
      </c>
      <c r="BU321" s="114"/>
      <c r="BV321" s="115"/>
      <c r="BW321" s="115"/>
      <c r="BX321" s="116"/>
      <c r="BZ321" s="11">
        <v>46339</v>
      </c>
      <c r="CA321" s="33" t="s">
        <v>5</v>
      </c>
      <c r="CB321" s="114"/>
      <c r="CC321" s="115"/>
      <c r="CD321" s="115"/>
      <c r="CE321" s="116"/>
      <c r="CG321" s="11">
        <v>46340</v>
      </c>
      <c r="CH321" s="33" t="s">
        <v>6</v>
      </c>
      <c r="CI321" s="114"/>
      <c r="CJ321" s="115"/>
      <c r="CK321" s="115"/>
      <c r="CL321" s="116"/>
      <c r="CN321" s="11">
        <v>46340</v>
      </c>
      <c r="CO321" s="33" t="s">
        <v>6</v>
      </c>
      <c r="CP321" s="114"/>
      <c r="CQ321" s="115"/>
      <c r="CR321" s="115"/>
      <c r="CS321" s="116"/>
      <c r="CU321" s="11">
        <v>46340</v>
      </c>
      <c r="CV321" s="33" t="s">
        <v>6</v>
      </c>
      <c r="CW321" s="114"/>
      <c r="CX321" s="115"/>
      <c r="CY321" s="115"/>
      <c r="CZ321" s="116"/>
      <c r="DB321" s="11">
        <v>46338</v>
      </c>
      <c r="DC321" s="33" t="s">
        <v>4</v>
      </c>
      <c r="DD321" s="114"/>
      <c r="DE321" s="115"/>
      <c r="DF321" s="115"/>
      <c r="DG321" s="116"/>
      <c r="DI321" s="11">
        <v>46340</v>
      </c>
      <c r="DJ321" s="33" t="s">
        <v>6</v>
      </c>
      <c r="DK321" s="114"/>
      <c r="DL321" s="115"/>
      <c r="DM321" s="115"/>
      <c r="DN321" s="116"/>
      <c r="DP321" s="11">
        <v>46338</v>
      </c>
      <c r="DQ321" s="33" t="s">
        <v>4</v>
      </c>
      <c r="DR321" s="114"/>
      <c r="DS321" s="115"/>
      <c r="DT321" s="115"/>
      <c r="DU321" s="116"/>
      <c r="DW321" s="11">
        <v>46340</v>
      </c>
      <c r="DX321" s="33" t="s">
        <v>6</v>
      </c>
      <c r="DY321" s="114"/>
      <c r="DZ321" s="115"/>
      <c r="EA321" s="115"/>
      <c r="EB321" s="116"/>
    </row>
    <row r="322" spans="1:132" x14ac:dyDescent="0.25">
      <c r="A322" s="11">
        <v>46341</v>
      </c>
      <c r="B322" s="33" t="s">
        <v>7</v>
      </c>
      <c r="C322" s="114" t="s">
        <v>60</v>
      </c>
      <c r="D322" s="115"/>
      <c r="E322" s="115"/>
      <c r="F322" s="116"/>
      <c r="H322" s="11">
        <v>46341</v>
      </c>
      <c r="I322" s="33" t="s">
        <v>7</v>
      </c>
      <c r="J322" s="114" t="s">
        <v>60</v>
      </c>
      <c r="K322" s="115"/>
      <c r="L322" s="115"/>
      <c r="M322" s="116"/>
      <c r="O322" s="11">
        <v>46341</v>
      </c>
      <c r="P322" s="33" t="s">
        <v>7</v>
      </c>
      <c r="Q322" s="114" t="s">
        <v>60</v>
      </c>
      <c r="R322" s="115"/>
      <c r="S322" s="115"/>
      <c r="T322" s="116"/>
      <c r="V322" s="11">
        <v>46340</v>
      </c>
      <c r="W322" s="33" t="s">
        <v>6</v>
      </c>
      <c r="X322" s="114"/>
      <c r="Y322" s="115"/>
      <c r="Z322" s="115"/>
      <c r="AA322" s="116"/>
      <c r="AC322" s="11">
        <v>46341</v>
      </c>
      <c r="AD322" s="33" t="s">
        <v>7</v>
      </c>
      <c r="AE322" s="114" t="s">
        <v>60</v>
      </c>
      <c r="AF322" s="115"/>
      <c r="AG322" s="115"/>
      <c r="AH322" s="116"/>
      <c r="AI322" s="100"/>
      <c r="AJ322" s="11">
        <v>46341</v>
      </c>
      <c r="AK322" s="33" t="s">
        <v>7</v>
      </c>
      <c r="AL322" s="114" t="s">
        <v>60</v>
      </c>
      <c r="AM322" s="115"/>
      <c r="AN322" s="115"/>
      <c r="AO322" s="116"/>
      <c r="AQ322" s="11">
        <v>46341</v>
      </c>
      <c r="AR322" s="33" t="s">
        <v>7</v>
      </c>
      <c r="AS322" s="114" t="s">
        <v>60</v>
      </c>
      <c r="AT322" s="115"/>
      <c r="AU322" s="115"/>
      <c r="AV322" s="116"/>
      <c r="AX322" s="11">
        <v>46340</v>
      </c>
      <c r="AY322" s="33" t="s">
        <v>6</v>
      </c>
      <c r="AZ322" s="114"/>
      <c r="BA322" s="115"/>
      <c r="BB322" s="115"/>
      <c r="BC322" s="116"/>
      <c r="BE322" s="11">
        <v>46341</v>
      </c>
      <c r="BF322" s="33" t="s">
        <v>7</v>
      </c>
      <c r="BG322" s="33" t="s">
        <v>60</v>
      </c>
      <c r="BH322" s="19"/>
      <c r="BI322" s="19"/>
      <c r="BJ322" s="20"/>
      <c r="BL322" s="11">
        <v>46341</v>
      </c>
      <c r="BM322" s="33" t="s">
        <v>7</v>
      </c>
      <c r="BN322" s="114" t="s">
        <v>60</v>
      </c>
      <c r="BO322" s="115"/>
      <c r="BP322" s="115"/>
      <c r="BQ322" s="116"/>
      <c r="BS322" s="11">
        <v>46341</v>
      </c>
      <c r="BT322" s="33" t="s">
        <v>7</v>
      </c>
      <c r="BU322" s="114" t="s">
        <v>60</v>
      </c>
      <c r="BV322" s="115"/>
      <c r="BW322" s="115"/>
      <c r="BX322" s="116"/>
      <c r="BZ322" s="11">
        <v>46340</v>
      </c>
      <c r="CA322" s="33" t="s">
        <v>6</v>
      </c>
      <c r="CB322" s="114"/>
      <c r="CC322" s="115"/>
      <c r="CD322" s="115"/>
      <c r="CE322" s="116"/>
      <c r="CG322" s="11">
        <v>46341</v>
      </c>
      <c r="CH322" s="33" t="s">
        <v>7</v>
      </c>
      <c r="CI322" s="114" t="s">
        <v>60</v>
      </c>
      <c r="CJ322" s="115"/>
      <c r="CK322" s="115"/>
      <c r="CL322" s="116"/>
      <c r="CN322" s="11">
        <v>46341</v>
      </c>
      <c r="CO322" s="33" t="s">
        <v>7</v>
      </c>
      <c r="CP322" s="114" t="s">
        <v>60</v>
      </c>
      <c r="CQ322" s="115"/>
      <c r="CR322" s="115"/>
      <c r="CS322" s="116"/>
      <c r="CU322" s="11">
        <v>46341</v>
      </c>
      <c r="CV322" s="33" t="s">
        <v>7</v>
      </c>
      <c r="CW322" s="114" t="s">
        <v>60</v>
      </c>
      <c r="CX322" s="115"/>
      <c r="CY322" s="115"/>
      <c r="CZ322" s="116"/>
      <c r="DB322" s="11">
        <v>46339</v>
      </c>
      <c r="DC322" s="33" t="s">
        <v>5</v>
      </c>
      <c r="DD322" s="114"/>
      <c r="DE322" s="115"/>
      <c r="DF322" s="115"/>
      <c r="DG322" s="116"/>
      <c r="DI322" s="11">
        <v>46341</v>
      </c>
      <c r="DJ322" s="33" t="s">
        <v>7</v>
      </c>
      <c r="DK322" s="114" t="s">
        <v>60</v>
      </c>
      <c r="DL322" s="115"/>
      <c r="DM322" s="115"/>
      <c r="DN322" s="116"/>
      <c r="DP322" s="11">
        <v>46339</v>
      </c>
      <c r="DQ322" s="33" t="s">
        <v>5</v>
      </c>
      <c r="DR322" s="114"/>
      <c r="DS322" s="115"/>
      <c r="DT322" s="115"/>
      <c r="DU322" s="116"/>
      <c r="DW322" s="11">
        <v>46341</v>
      </c>
      <c r="DX322" s="33" t="s">
        <v>7</v>
      </c>
      <c r="DY322" s="114" t="s">
        <v>60</v>
      </c>
      <c r="DZ322" s="115"/>
      <c r="EA322" s="115"/>
      <c r="EB322" s="116"/>
    </row>
    <row r="323" spans="1:132" x14ac:dyDescent="0.25">
      <c r="A323" s="11">
        <v>46342</v>
      </c>
      <c r="B323" s="33" t="s">
        <v>8</v>
      </c>
      <c r="C323" s="114"/>
      <c r="D323" s="115"/>
      <c r="E323" s="115"/>
      <c r="F323" s="116"/>
      <c r="H323" s="11">
        <v>46342</v>
      </c>
      <c r="I323" s="33" t="s">
        <v>8</v>
      </c>
      <c r="J323" s="114"/>
      <c r="K323" s="115"/>
      <c r="L323" s="115"/>
      <c r="M323" s="116"/>
      <c r="O323" s="11">
        <v>46342</v>
      </c>
      <c r="P323" s="33" t="s">
        <v>8</v>
      </c>
      <c r="Q323" s="114"/>
      <c r="R323" s="115"/>
      <c r="S323" s="115"/>
      <c r="T323" s="116"/>
      <c r="V323" s="11">
        <v>46341</v>
      </c>
      <c r="W323" s="33" t="s">
        <v>7</v>
      </c>
      <c r="X323" s="114" t="s">
        <v>60</v>
      </c>
      <c r="Y323" s="115"/>
      <c r="Z323" s="115"/>
      <c r="AA323" s="116"/>
      <c r="AC323" s="11">
        <v>46342</v>
      </c>
      <c r="AD323" s="33" t="s">
        <v>8</v>
      </c>
      <c r="AE323" s="114"/>
      <c r="AF323" s="115"/>
      <c r="AG323" s="115"/>
      <c r="AH323" s="116"/>
      <c r="AI323" s="100"/>
      <c r="AJ323" s="11">
        <v>46342</v>
      </c>
      <c r="AK323" s="33" t="s">
        <v>8</v>
      </c>
      <c r="AL323" s="114"/>
      <c r="AM323" s="115"/>
      <c r="AN323" s="115"/>
      <c r="AO323" s="116"/>
      <c r="AQ323" s="11">
        <v>46342</v>
      </c>
      <c r="AR323" s="33" t="s">
        <v>8</v>
      </c>
      <c r="AS323" s="114"/>
      <c r="AT323" s="115"/>
      <c r="AU323" s="115"/>
      <c r="AV323" s="116"/>
      <c r="AX323" s="11">
        <v>46341</v>
      </c>
      <c r="AY323" s="33" t="s">
        <v>7</v>
      </c>
      <c r="AZ323" s="114" t="s">
        <v>60</v>
      </c>
      <c r="BA323" s="115"/>
      <c r="BB323" s="115"/>
      <c r="BC323" s="116"/>
      <c r="BE323" s="11">
        <v>46342</v>
      </c>
      <c r="BF323" s="33" t="s">
        <v>8</v>
      </c>
      <c r="BG323" s="33"/>
      <c r="BH323" s="19"/>
      <c r="BI323" s="19"/>
      <c r="BJ323" s="20"/>
      <c r="BL323" s="11">
        <v>46342</v>
      </c>
      <c r="BM323" s="33" t="s">
        <v>8</v>
      </c>
      <c r="BN323" s="114"/>
      <c r="BO323" s="115"/>
      <c r="BP323" s="115"/>
      <c r="BQ323" s="116"/>
      <c r="BS323" s="11">
        <v>46342</v>
      </c>
      <c r="BT323" s="33" t="s">
        <v>8</v>
      </c>
      <c r="BU323" s="114"/>
      <c r="BV323" s="115"/>
      <c r="BW323" s="115"/>
      <c r="BX323" s="116"/>
      <c r="BZ323" s="11">
        <v>46341</v>
      </c>
      <c r="CA323" s="33" t="s">
        <v>7</v>
      </c>
      <c r="CB323" s="114" t="s">
        <v>60</v>
      </c>
      <c r="CC323" s="115"/>
      <c r="CD323" s="115"/>
      <c r="CE323" s="116"/>
      <c r="CG323" s="11">
        <v>46342</v>
      </c>
      <c r="CH323" s="33" t="s">
        <v>8</v>
      </c>
      <c r="CI323" s="114"/>
      <c r="CJ323" s="115"/>
      <c r="CK323" s="115"/>
      <c r="CL323" s="116"/>
      <c r="CN323" s="11">
        <v>46342</v>
      </c>
      <c r="CO323" s="33" t="s">
        <v>8</v>
      </c>
      <c r="CP323" s="114"/>
      <c r="CQ323" s="115"/>
      <c r="CR323" s="115"/>
      <c r="CS323" s="116"/>
      <c r="CU323" s="11">
        <v>46342</v>
      </c>
      <c r="CV323" s="33" t="s">
        <v>8</v>
      </c>
      <c r="CW323" s="114"/>
      <c r="CX323" s="115"/>
      <c r="CY323" s="115"/>
      <c r="CZ323" s="116"/>
      <c r="DB323" s="11">
        <v>46340</v>
      </c>
      <c r="DC323" s="33" t="s">
        <v>6</v>
      </c>
      <c r="DD323" s="114"/>
      <c r="DE323" s="115"/>
      <c r="DF323" s="115"/>
      <c r="DG323" s="116"/>
      <c r="DI323" s="11">
        <v>46342</v>
      </c>
      <c r="DJ323" s="33" t="s">
        <v>8</v>
      </c>
      <c r="DK323" s="114"/>
      <c r="DL323" s="115"/>
      <c r="DM323" s="115"/>
      <c r="DN323" s="116"/>
      <c r="DP323" s="11">
        <v>46340</v>
      </c>
      <c r="DQ323" s="33" t="s">
        <v>6</v>
      </c>
      <c r="DR323" s="114"/>
      <c r="DS323" s="115"/>
      <c r="DT323" s="115"/>
      <c r="DU323" s="116"/>
      <c r="DW323" s="11">
        <v>46342</v>
      </c>
      <c r="DX323" s="33" t="s">
        <v>8</v>
      </c>
      <c r="DY323" s="114"/>
      <c r="DZ323" s="115"/>
      <c r="EA323" s="115"/>
      <c r="EB323" s="116"/>
    </row>
    <row r="324" spans="1:132" x14ac:dyDescent="0.25">
      <c r="A324" s="11">
        <v>46343</v>
      </c>
      <c r="B324" s="33" t="s">
        <v>9</v>
      </c>
      <c r="C324" s="114"/>
      <c r="D324" s="115"/>
      <c r="E324" s="115"/>
      <c r="F324" s="116"/>
      <c r="H324" s="11">
        <v>46343</v>
      </c>
      <c r="I324" s="33" t="s">
        <v>9</v>
      </c>
      <c r="J324" s="114"/>
      <c r="K324" s="115"/>
      <c r="L324" s="115"/>
      <c r="M324" s="116"/>
      <c r="O324" s="11">
        <v>46343</v>
      </c>
      <c r="P324" s="33" t="s">
        <v>9</v>
      </c>
      <c r="Q324" s="114"/>
      <c r="R324" s="115"/>
      <c r="S324" s="115"/>
      <c r="T324" s="116"/>
      <c r="V324" s="11">
        <v>46342</v>
      </c>
      <c r="W324" s="33" t="s">
        <v>8</v>
      </c>
      <c r="X324" s="114"/>
      <c r="Y324" s="115"/>
      <c r="Z324" s="115"/>
      <c r="AA324" s="116"/>
      <c r="AC324" s="11">
        <v>46343</v>
      </c>
      <c r="AD324" s="33" t="s">
        <v>9</v>
      </c>
      <c r="AE324" s="114"/>
      <c r="AF324" s="115"/>
      <c r="AG324" s="115"/>
      <c r="AH324" s="116"/>
      <c r="AI324" s="100"/>
      <c r="AJ324" s="11">
        <v>46343</v>
      </c>
      <c r="AK324" s="33" t="s">
        <v>9</v>
      </c>
      <c r="AL324" s="114"/>
      <c r="AM324" s="115"/>
      <c r="AN324" s="115"/>
      <c r="AO324" s="116"/>
      <c r="AQ324" s="11">
        <v>46343</v>
      </c>
      <c r="AR324" s="33" t="s">
        <v>9</v>
      </c>
      <c r="AS324" s="114"/>
      <c r="AT324" s="115"/>
      <c r="AU324" s="115"/>
      <c r="AV324" s="116"/>
      <c r="AX324" s="11">
        <v>46342</v>
      </c>
      <c r="AY324" s="33" t="s">
        <v>8</v>
      </c>
      <c r="AZ324" s="114"/>
      <c r="BA324" s="115"/>
      <c r="BB324" s="115"/>
      <c r="BC324" s="116"/>
      <c r="BE324" s="11">
        <v>46343</v>
      </c>
      <c r="BF324" s="33" t="s">
        <v>9</v>
      </c>
      <c r="BG324" s="33"/>
      <c r="BH324" s="19"/>
      <c r="BI324" s="19"/>
      <c r="BJ324" s="20"/>
      <c r="BL324" s="11">
        <v>46343</v>
      </c>
      <c r="BM324" s="33" t="s">
        <v>9</v>
      </c>
      <c r="BN324" s="114"/>
      <c r="BO324" s="115"/>
      <c r="BP324" s="115"/>
      <c r="BQ324" s="116"/>
      <c r="BS324" s="11">
        <v>46343</v>
      </c>
      <c r="BT324" s="33" t="s">
        <v>9</v>
      </c>
      <c r="BU324" s="114"/>
      <c r="BV324" s="115"/>
      <c r="BW324" s="115"/>
      <c r="BX324" s="116"/>
      <c r="BZ324" s="11">
        <v>46342</v>
      </c>
      <c r="CA324" s="33" t="s">
        <v>8</v>
      </c>
      <c r="CB324" s="114"/>
      <c r="CC324" s="115"/>
      <c r="CD324" s="115"/>
      <c r="CE324" s="116"/>
      <c r="CG324" s="11">
        <v>46343</v>
      </c>
      <c r="CH324" s="33" t="s">
        <v>9</v>
      </c>
      <c r="CI324" s="114"/>
      <c r="CJ324" s="115"/>
      <c r="CK324" s="115"/>
      <c r="CL324" s="116"/>
      <c r="CN324" s="11">
        <v>46343</v>
      </c>
      <c r="CO324" s="33" t="s">
        <v>9</v>
      </c>
      <c r="CP324" s="114"/>
      <c r="CQ324" s="115"/>
      <c r="CR324" s="115"/>
      <c r="CS324" s="116"/>
      <c r="CU324" s="11">
        <v>46343</v>
      </c>
      <c r="CV324" s="33" t="s">
        <v>9</v>
      </c>
      <c r="CW324" s="114"/>
      <c r="CX324" s="115"/>
      <c r="CY324" s="115"/>
      <c r="CZ324" s="116"/>
      <c r="DB324" s="11">
        <v>46341</v>
      </c>
      <c r="DC324" s="33" t="s">
        <v>7</v>
      </c>
      <c r="DD324" s="114" t="s">
        <v>60</v>
      </c>
      <c r="DE324" s="115"/>
      <c r="DF324" s="115"/>
      <c r="DG324" s="116"/>
      <c r="DI324" s="11">
        <v>46343</v>
      </c>
      <c r="DJ324" s="33" t="s">
        <v>9</v>
      </c>
      <c r="DK324" s="114"/>
      <c r="DL324" s="115"/>
      <c r="DM324" s="115"/>
      <c r="DN324" s="116"/>
      <c r="DP324" s="11">
        <v>46341</v>
      </c>
      <c r="DQ324" s="33" t="s">
        <v>7</v>
      </c>
      <c r="DR324" s="114" t="s">
        <v>60</v>
      </c>
      <c r="DS324" s="115"/>
      <c r="DT324" s="115"/>
      <c r="DU324" s="116"/>
      <c r="DW324" s="11">
        <v>46343</v>
      </c>
      <c r="DX324" s="33" t="s">
        <v>9</v>
      </c>
      <c r="DY324" s="114"/>
      <c r="DZ324" s="115"/>
      <c r="EA324" s="115"/>
      <c r="EB324" s="116"/>
    </row>
    <row r="325" spans="1:132" x14ac:dyDescent="0.25">
      <c r="A325" s="11">
        <v>46344</v>
      </c>
      <c r="B325" s="33" t="s">
        <v>3</v>
      </c>
      <c r="C325" s="114"/>
      <c r="D325" s="115"/>
      <c r="E325" s="115"/>
      <c r="F325" s="116"/>
      <c r="H325" s="11">
        <v>46344</v>
      </c>
      <c r="I325" s="33" t="s">
        <v>3</v>
      </c>
      <c r="J325" s="114"/>
      <c r="K325" s="115"/>
      <c r="L325" s="115"/>
      <c r="M325" s="116"/>
      <c r="O325" s="11">
        <v>46344</v>
      </c>
      <c r="P325" s="33" t="s">
        <v>3</v>
      </c>
      <c r="Q325" s="114"/>
      <c r="R325" s="115"/>
      <c r="S325" s="115"/>
      <c r="T325" s="116"/>
      <c r="V325" s="11">
        <v>46343</v>
      </c>
      <c r="W325" s="33" t="s">
        <v>9</v>
      </c>
      <c r="X325" s="114"/>
      <c r="Y325" s="115"/>
      <c r="Z325" s="115"/>
      <c r="AA325" s="116"/>
      <c r="AC325" s="11">
        <v>46344</v>
      </c>
      <c r="AD325" s="33" t="s">
        <v>3</v>
      </c>
      <c r="AE325" s="114"/>
      <c r="AF325" s="115"/>
      <c r="AG325" s="115"/>
      <c r="AH325" s="116"/>
      <c r="AI325" s="100"/>
      <c r="AJ325" s="11">
        <v>46344</v>
      </c>
      <c r="AK325" s="33" t="s">
        <v>3</v>
      </c>
      <c r="AL325" s="114"/>
      <c r="AM325" s="115"/>
      <c r="AN325" s="115"/>
      <c r="AO325" s="116"/>
      <c r="AQ325" s="11">
        <v>46344</v>
      </c>
      <c r="AR325" s="33" t="s">
        <v>3</v>
      </c>
      <c r="AS325" s="114"/>
      <c r="AT325" s="115"/>
      <c r="AU325" s="115"/>
      <c r="AV325" s="116"/>
      <c r="AX325" s="11">
        <v>46343</v>
      </c>
      <c r="AY325" s="33" t="s">
        <v>9</v>
      </c>
      <c r="AZ325" s="114"/>
      <c r="BA325" s="115"/>
      <c r="BB325" s="115"/>
      <c r="BC325" s="116"/>
      <c r="BE325" s="11">
        <v>46344</v>
      </c>
      <c r="BF325" s="33" t="s">
        <v>3</v>
      </c>
      <c r="BG325" s="33"/>
      <c r="BH325" s="19"/>
      <c r="BI325" s="19"/>
      <c r="BJ325" s="20"/>
      <c r="BL325" s="11">
        <v>46344</v>
      </c>
      <c r="BM325" s="33" t="s">
        <v>3</v>
      </c>
      <c r="BN325" s="114"/>
      <c r="BO325" s="115"/>
      <c r="BP325" s="115"/>
      <c r="BQ325" s="116"/>
      <c r="BS325" s="11">
        <v>46344</v>
      </c>
      <c r="BT325" s="33" t="s">
        <v>3</v>
      </c>
      <c r="BU325" s="114"/>
      <c r="BV325" s="115"/>
      <c r="BW325" s="115"/>
      <c r="BX325" s="116"/>
      <c r="BZ325" s="11">
        <v>46343</v>
      </c>
      <c r="CA325" s="33" t="s">
        <v>9</v>
      </c>
      <c r="CB325" s="114"/>
      <c r="CC325" s="115"/>
      <c r="CD325" s="115"/>
      <c r="CE325" s="116"/>
      <c r="CG325" s="11">
        <v>46344</v>
      </c>
      <c r="CH325" s="33" t="s">
        <v>3</v>
      </c>
      <c r="CI325" s="114"/>
      <c r="CJ325" s="115"/>
      <c r="CK325" s="115"/>
      <c r="CL325" s="116"/>
      <c r="CN325" s="11">
        <v>46344</v>
      </c>
      <c r="CO325" s="33" t="s">
        <v>3</v>
      </c>
      <c r="CP325" s="114"/>
      <c r="CQ325" s="115"/>
      <c r="CR325" s="115"/>
      <c r="CS325" s="116"/>
      <c r="CU325" s="11">
        <v>46344</v>
      </c>
      <c r="CV325" s="33" t="s">
        <v>3</v>
      </c>
      <c r="CW325" s="114"/>
      <c r="CX325" s="115"/>
      <c r="CY325" s="115"/>
      <c r="CZ325" s="116"/>
      <c r="DB325" s="11">
        <v>46342</v>
      </c>
      <c r="DC325" s="33" t="s">
        <v>8</v>
      </c>
      <c r="DD325" s="114"/>
      <c r="DE325" s="115"/>
      <c r="DF325" s="115"/>
      <c r="DG325" s="116"/>
      <c r="DI325" s="11">
        <v>46344</v>
      </c>
      <c r="DJ325" s="33" t="s">
        <v>3</v>
      </c>
      <c r="DK325" s="114"/>
      <c r="DL325" s="115"/>
      <c r="DM325" s="115"/>
      <c r="DN325" s="116"/>
      <c r="DP325" s="11">
        <v>46342</v>
      </c>
      <c r="DQ325" s="33" t="s">
        <v>8</v>
      </c>
      <c r="DR325" s="114"/>
      <c r="DS325" s="115"/>
      <c r="DT325" s="115"/>
      <c r="DU325" s="116"/>
      <c r="DW325" s="11">
        <v>46344</v>
      </c>
      <c r="DX325" s="33" t="s">
        <v>3</v>
      </c>
      <c r="DY325" s="114"/>
      <c r="DZ325" s="115"/>
      <c r="EA325" s="115"/>
      <c r="EB325" s="116"/>
    </row>
    <row r="326" spans="1:132" x14ac:dyDescent="0.25">
      <c r="A326" s="11">
        <v>46345</v>
      </c>
      <c r="B326" s="33" t="s">
        <v>4</v>
      </c>
      <c r="C326" s="114"/>
      <c r="D326" s="115"/>
      <c r="E326" s="115"/>
      <c r="F326" s="116"/>
      <c r="H326" s="11">
        <v>46345</v>
      </c>
      <c r="I326" s="33" t="s">
        <v>4</v>
      </c>
      <c r="J326" s="114"/>
      <c r="K326" s="115"/>
      <c r="L326" s="115"/>
      <c r="M326" s="116"/>
      <c r="O326" s="11">
        <v>46345</v>
      </c>
      <c r="P326" s="33" t="s">
        <v>4</v>
      </c>
      <c r="Q326" s="114"/>
      <c r="R326" s="115"/>
      <c r="S326" s="115"/>
      <c r="T326" s="116"/>
      <c r="V326" s="11">
        <v>46344</v>
      </c>
      <c r="W326" s="33" t="s">
        <v>3</v>
      </c>
      <c r="X326" s="114"/>
      <c r="Y326" s="115"/>
      <c r="Z326" s="115"/>
      <c r="AA326" s="116"/>
      <c r="AC326" s="11">
        <v>46345</v>
      </c>
      <c r="AD326" s="33" t="s">
        <v>4</v>
      </c>
      <c r="AE326" s="114"/>
      <c r="AF326" s="115"/>
      <c r="AG326" s="115"/>
      <c r="AH326" s="116"/>
      <c r="AI326" s="100"/>
      <c r="AJ326" s="11">
        <v>46345</v>
      </c>
      <c r="AK326" s="33" t="s">
        <v>4</v>
      </c>
      <c r="AL326" s="114"/>
      <c r="AM326" s="115"/>
      <c r="AN326" s="115"/>
      <c r="AO326" s="116"/>
      <c r="AQ326" s="11">
        <v>46345</v>
      </c>
      <c r="AR326" s="33" t="s">
        <v>4</v>
      </c>
      <c r="AS326" s="114"/>
      <c r="AT326" s="115"/>
      <c r="AU326" s="115"/>
      <c r="AV326" s="116"/>
      <c r="AX326" s="11">
        <v>46344</v>
      </c>
      <c r="AY326" s="33" t="s">
        <v>3</v>
      </c>
      <c r="AZ326" s="114"/>
      <c r="BA326" s="115"/>
      <c r="BB326" s="115"/>
      <c r="BC326" s="116"/>
      <c r="BE326" s="11">
        <v>46345</v>
      </c>
      <c r="BF326" s="33" t="s">
        <v>4</v>
      </c>
      <c r="BG326" s="33"/>
      <c r="BH326" s="19"/>
      <c r="BI326" s="19"/>
      <c r="BJ326" s="20"/>
      <c r="BL326" s="11">
        <v>46345</v>
      </c>
      <c r="BM326" s="33" t="s">
        <v>4</v>
      </c>
      <c r="BN326" s="114"/>
      <c r="BO326" s="115"/>
      <c r="BP326" s="115"/>
      <c r="BQ326" s="116"/>
      <c r="BS326" s="11">
        <v>46345</v>
      </c>
      <c r="BT326" s="33" t="s">
        <v>4</v>
      </c>
      <c r="BU326" s="114"/>
      <c r="BV326" s="115"/>
      <c r="BW326" s="115"/>
      <c r="BX326" s="116"/>
      <c r="BZ326" s="11">
        <v>46344</v>
      </c>
      <c r="CA326" s="33" t="s">
        <v>3</v>
      </c>
      <c r="CB326" s="114"/>
      <c r="CC326" s="115"/>
      <c r="CD326" s="115"/>
      <c r="CE326" s="116"/>
      <c r="CG326" s="11">
        <v>46345</v>
      </c>
      <c r="CH326" s="33" t="s">
        <v>4</v>
      </c>
      <c r="CI326" s="114"/>
      <c r="CJ326" s="115"/>
      <c r="CK326" s="115"/>
      <c r="CL326" s="116"/>
      <c r="CN326" s="11">
        <v>46345</v>
      </c>
      <c r="CO326" s="33" t="s">
        <v>4</v>
      </c>
      <c r="CP326" s="114"/>
      <c r="CQ326" s="115"/>
      <c r="CR326" s="115"/>
      <c r="CS326" s="116"/>
      <c r="CU326" s="11">
        <v>46345</v>
      </c>
      <c r="CV326" s="33" t="s">
        <v>4</v>
      </c>
      <c r="CW326" s="114"/>
      <c r="CX326" s="115"/>
      <c r="CY326" s="115"/>
      <c r="CZ326" s="116"/>
      <c r="DB326" s="11">
        <v>46343</v>
      </c>
      <c r="DC326" s="33" t="s">
        <v>9</v>
      </c>
      <c r="DD326" s="114"/>
      <c r="DE326" s="115"/>
      <c r="DF326" s="115"/>
      <c r="DG326" s="116"/>
      <c r="DI326" s="11">
        <v>46345</v>
      </c>
      <c r="DJ326" s="33" t="s">
        <v>4</v>
      </c>
      <c r="DK326" s="114"/>
      <c r="DL326" s="115"/>
      <c r="DM326" s="115"/>
      <c r="DN326" s="116"/>
      <c r="DP326" s="11">
        <v>46343</v>
      </c>
      <c r="DQ326" s="33" t="s">
        <v>9</v>
      </c>
      <c r="DR326" s="114"/>
      <c r="DS326" s="115"/>
      <c r="DT326" s="115"/>
      <c r="DU326" s="116"/>
      <c r="DW326" s="11">
        <v>46345</v>
      </c>
      <c r="DX326" s="33" t="s">
        <v>4</v>
      </c>
      <c r="DY326" s="114"/>
      <c r="DZ326" s="115"/>
      <c r="EA326" s="115"/>
      <c r="EB326" s="116"/>
    </row>
    <row r="327" spans="1:132" x14ac:dyDescent="0.25">
      <c r="A327" s="11">
        <v>46346</v>
      </c>
      <c r="B327" s="33" t="s">
        <v>5</v>
      </c>
      <c r="C327" s="114" t="s">
        <v>60</v>
      </c>
      <c r="D327" s="115"/>
      <c r="E327" s="115"/>
      <c r="F327" s="116"/>
      <c r="H327" s="11">
        <v>46346</v>
      </c>
      <c r="I327" s="33" t="s">
        <v>5</v>
      </c>
      <c r="J327" s="114" t="s">
        <v>60</v>
      </c>
      <c r="K327" s="115"/>
      <c r="L327" s="115"/>
      <c r="M327" s="116"/>
      <c r="O327" s="11">
        <v>46346</v>
      </c>
      <c r="P327" s="33" t="s">
        <v>5</v>
      </c>
      <c r="Q327" s="114" t="s">
        <v>60</v>
      </c>
      <c r="R327" s="115"/>
      <c r="S327" s="115"/>
      <c r="T327" s="116"/>
      <c r="V327" s="11">
        <v>46345</v>
      </c>
      <c r="W327" s="33" t="s">
        <v>4</v>
      </c>
      <c r="X327" s="114"/>
      <c r="Y327" s="115"/>
      <c r="Z327" s="115"/>
      <c r="AA327" s="116"/>
      <c r="AC327" s="11">
        <v>46346</v>
      </c>
      <c r="AD327" s="33" t="s">
        <v>5</v>
      </c>
      <c r="AE327" s="114" t="s">
        <v>60</v>
      </c>
      <c r="AF327" s="115"/>
      <c r="AG327" s="115"/>
      <c r="AH327" s="116"/>
      <c r="AI327" s="100"/>
      <c r="AJ327" s="11">
        <v>46346</v>
      </c>
      <c r="AK327" s="33" t="s">
        <v>5</v>
      </c>
      <c r="AL327" s="114" t="s">
        <v>60</v>
      </c>
      <c r="AM327" s="115"/>
      <c r="AN327" s="115"/>
      <c r="AO327" s="116"/>
      <c r="AQ327" s="11">
        <v>46346</v>
      </c>
      <c r="AR327" s="33" t="s">
        <v>5</v>
      </c>
      <c r="AS327" s="114" t="s">
        <v>60</v>
      </c>
      <c r="AT327" s="115"/>
      <c r="AU327" s="115"/>
      <c r="AV327" s="116"/>
      <c r="AX327" s="11">
        <v>46345</v>
      </c>
      <c r="AY327" s="33" t="s">
        <v>4</v>
      </c>
      <c r="AZ327" s="114"/>
      <c r="BA327" s="115"/>
      <c r="BB327" s="115"/>
      <c r="BC327" s="116"/>
      <c r="BE327" s="11">
        <v>46346</v>
      </c>
      <c r="BF327" s="33" t="s">
        <v>5</v>
      </c>
      <c r="BG327" s="33" t="s">
        <v>60</v>
      </c>
      <c r="BH327" s="19"/>
      <c r="BI327" s="19"/>
      <c r="BJ327" s="20"/>
      <c r="BL327" s="11">
        <v>46346</v>
      </c>
      <c r="BM327" s="33" t="s">
        <v>5</v>
      </c>
      <c r="BN327" s="114" t="s">
        <v>60</v>
      </c>
      <c r="BO327" s="115"/>
      <c r="BP327" s="115"/>
      <c r="BQ327" s="116"/>
      <c r="BS327" s="11">
        <v>46346</v>
      </c>
      <c r="BT327" s="33" t="s">
        <v>5</v>
      </c>
      <c r="BU327" s="114" t="s">
        <v>60</v>
      </c>
      <c r="BV327" s="115"/>
      <c r="BW327" s="115"/>
      <c r="BX327" s="116"/>
      <c r="BZ327" s="11">
        <v>46345</v>
      </c>
      <c r="CA327" s="33" t="s">
        <v>4</v>
      </c>
      <c r="CB327" s="114"/>
      <c r="CC327" s="115"/>
      <c r="CD327" s="115"/>
      <c r="CE327" s="116"/>
      <c r="CG327" s="11">
        <v>46346</v>
      </c>
      <c r="CH327" s="33" t="s">
        <v>5</v>
      </c>
      <c r="CI327" s="114" t="s">
        <v>60</v>
      </c>
      <c r="CJ327" s="115"/>
      <c r="CK327" s="115"/>
      <c r="CL327" s="116"/>
      <c r="CN327" s="11">
        <v>46346</v>
      </c>
      <c r="CO327" s="33" t="s">
        <v>5</v>
      </c>
      <c r="CP327" s="114" t="s">
        <v>60</v>
      </c>
      <c r="CQ327" s="115"/>
      <c r="CR327" s="115"/>
      <c r="CS327" s="116"/>
      <c r="CU327" s="11">
        <v>46346</v>
      </c>
      <c r="CV327" s="33" t="s">
        <v>5</v>
      </c>
      <c r="CW327" s="114" t="s">
        <v>60</v>
      </c>
      <c r="CX327" s="115"/>
      <c r="CY327" s="115"/>
      <c r="CZ327" s="116"/>
      <c r="DB327" s="11">
        <v>46344</v>
      </c>
      <c r="DC327" s="33" t="s">
        <v>3</v>
      </c>
      <c r="DD327" s="114"/>
      <c r="DE327" s="115"/>
      <c r="DF327" s="115"/>
      <c r="DG327" s="116"/>
      <c r="DI327" s="11">
        <v>46346</v>
      </c>
      <c r="DJ327" s="33" t="s">
        <v>5</v>
      </c>
      <c r="DK327" s="114" t="s">
        <v>60</v>
      </c>
      <c r="DL327" s="115"/>
      <c r="DM327" s="115"/>
      <c r="DN327" s="116"/>
      <c r="DP327" s="11">
        <v>46344</v>
      </c>
      <c r="DQ327" s="33" t="s">
        <v>3</v>
      </c>
      <c r="DR327" s="114"/>
      <c r="DS327" s="115"/>
      <c r="DT327" s="115"/>
      <c r="DU327" s="116"/>
      <c r="DW327" s="11">
        <v>46346</v>
      </c>
      <c r="DX327" s="33" t="s">
        <v>5</v>
      </c>
      <c r="DY327" s="114" t="s">
        <v>60</v>
      </c>
      <c r="DZ327" s="115"/>
      <c r="EA327" s="115"/>
      <c r="EB327" s="116"/>
    </row>
    <row r="328" spans="1:132" x14ac:dyDescent="0.25">
      <c r="A328" s="11">
        <v>46347</v>
      </c>
      <c r="B328" s="33" t="s">
        <v>6</v>
      </c>
      <c r="C328" s="114"/>
      <c r="D328" s="115"/>
      <c r="E328" s="115"/>
      <c r="F328" s="116"/>
      <c r="H328" s="11">
        <v>46347</v>
      </c>
      <c r="I328" s="33" t="s">
        <v>6</v>
      </c>
      <c r="J328" s="114"/>
      <c r="K328" s="115"/>
      <c r="L328" s="115"/>
      <c r="M328" s="116"/>
      <c r="O328" s="11">
        <v>46347</v>
      </c>
      <c r="P328" s="33" t="s">
        <v>6</v>
      </c>
      <c r="Q328" s="114"/>
      <c r="R328" s="115"/>
      <c r="S328" s="115"/>
      <c r="T328" s="116"/>
      <c r="V328" s="11">
        <v>46346</v>
      </c>
      <c r="W328" s="33" t="s">
        <v>5</v>
      </c>
      <c r="X328" s="114" t="s">
        <v>60</v>
      </c>
      <c r="Y328" s="115"/>
      <c r="Z328" s="115"/>
      <c r="AA328" s="116"/>
      <c r="AC328" s="11">
        <v>46347</v>
      </c>
      <c r="AD328" s="33" t="s">
        <v>6</v>
      </c>
      <c r="AE328" s="114"/>
      <c r="AF328" s="115"/>
      <c r="AG328" s="115"/>
      <c r="AH328" s="116"/>
      <c r="AI328" s="100"/>
      <c r="AJ328" s="11">
        <v>46347</v>
      </c>
      <c r="AK328" s="33" t="s">
        <v>6</v>
      </c>
      <c r="AL328" s="114"/>
      <c r="AM328" s="115"/>
      <c r="AN328" s="115"/>
      <c r="AO328" s="116"/>
      <c r="AQ328" s="11">
        <v>46347</v>
      </c>
      <c r="AR328" s="33" t="s">
        <v>6</v>
      </c>
      <c r="AS328" s="114"/>
      <c r="AT328" s="115"/>
      <c r="AU328" s="115"/>
      <c r="AV328" s="116"/>
      <c r="AX328" s="11">
        <v>46346</v>
      </c>
      <c r="AY328" s="33" t="s">
        <v>5</v>
      </c>
      <c r="AZ328" s="114" t="s">
        <v>60</v>
      </c>
      <c r="BA328" s="115"/>
      <c r="BB328" s="115"/>
      <c r="BC328" s="116"/>
      <c r="BE328" s="11">
        <v>46347</v>
      </c>
      <c r="BF328" s="33" t="s">
        <v>6</v>
      </c>
      <c r="BG328" s="33"/>
      <c r="BH328" s="19"/>
      <c r="BI328" s="19"/>
      <c r="BJ328" s="20"/>
      <c r="BL328" s="11">
        <v>46347</v>
      </c>
      <c r="BM328" s="33" t="s">
        <v>6</v>
      </c>
      <c r="BN328" s="114"/>
      <c r="BO328" s="115"/>
      <c r="BP328" s="115"/>
      <c r="BQ328" s="116"/>
      <c r="BS328" s="11">
        <v>46347</v>
      </c>
      <c r="BT328" s="33" t="s">
        <v>6</v>
      </c>
      <c r="BU328" s="114"/>
      <c r="BV328" s="115"/>
      <c r="BW328" s="115"/>
      <c r="BX328" s="116"/>
      <c r="BZ328" s="11">
        <v>46346</v>
      </c>
      <c r="CA328" s="33" t="s">
        <v>5</v>
      </c>
      <c r="CB328" s="114" t="s">
        <v>60</v>
      </c>
      <c r="CC328" s="115"/>
      <c r="CD328" s="115"/>
      <c r="CE328" s="116"/>
      <c r="CG328" s="11">
        <v>46347</v>
      </c>
      <c r="CH328" s="33" t="s">
        <v>6</v>
      </c>
      <c r="CI328" s="114"/>
      <c r="CJ328" s="115"/>
      <c r="CK328" s="115"/>
      <c r="CL328" s="116"/>
      <c r="CN328" s="11">
        <v>46347</v>
      </c>
      <c r="CO328" s="33" t="s">
        <v>6</v>
      </c>
      <c r="CP328" s="114"/>
      <c r="CQ328" s="115"/>
      <c r="CR328" s="115"/>
      <c r="CS328" s="116"/>
      <c r="CU328" s="11">
        <v>46347</v>
      </c>
      <c r="CV328" s="33" t="s">
        <v>6</v>
      </c>
      <c r="CW328" s="114"/>
      <c r="CX328" s="115"/>
      <c r="CY328" s="115"/>
      <c r="CZ328" s="116"/>
      <c r="DB328" s="11">
        <v>46345</v>
      </c>
      <c r="DC328" s="33" t="s">
        <v>4</v>
      </c>
      <c r="DD328" s="114"/>
      <c r="DE328" s="115"/>
      <c r="DF328" s="115"/>
      <c r="DG328" s="116"/>
      <c r="DI328" s="11">
        <v>46347</v>
      </c>
      <c r="DJ328" s="33" t="s">
        <v>6</v>
      </c>
      <c r="DK328" s="114"/>
      <c r="DL328" s="115"/>
      <c r="DM328" s="115"/>
      <c r="DN328" s="116"/>
      <c r="DP328" s="11">
        <v>46345</v>
      </c>
      <c r="DQ328" s="33" t="s">
        <v>4</v>
      </c>
      <c r="DR328" s="114"/>
      <c r="DS328" s="115"/>
      <c r="DT328" s="115"/>
      <c r="DU328" s="116"/>
      <c r="DW328" s="11">
        <v>46347</v>
      </c>
      <c r="DX328" s="33" t="s">
        <v>6</v>
      </c>
      <c r="DY328" s="114"/>
      <c r="DZ328" s="115"/>
      <c r="EA328" s="115"/>
      <c r="EB328" s="116"/>
    </row>
    <row r="329" spans="1:132" x14ac:dyDescent="0.25">
      <c r="A329" s="11">
        <v>46348</v>
      </c>
      <c r="B329" s="33" t="s">
        <v>7</v>
      </c>
      <c r="C329" s="114"/>
      <c r="D329" s="115"/>
      <c r="E329" s="115"/>
      <c r="F329" s="116"/>
      <c r="H329" s="11">
        <v>46348</v>
      </c>
      <c r="I329" s="33" t="s">
        <v>7</v>
      </c>
      <c r="J329" s="114"/>
      <c r="K329" s="115"/>
      <c r="L329" s="115"/>
      <c r="M329" s="116"/>
      <c r="O329" s="11">
        <v>46348</v>
      </c>
      <c r="P329" s="33" t="s">
        <v>7</v>
      </c>
      <c r="Q329" s="114"/>
      <c r="R329" s="115"/>
      <c r="S329" s="115"/>
      <c r="T329" s="116"/>
      <c r="V329" s="11">
        <v>46347</v>
      </c>
      <c r="W329" s="33" t="s">
        <v>6</v>
      </c>
      <c r="X329" s="114"/>
      <c r="Y329" s="115"/>
      <c r="Z329" s="115"/>
      <c r="AA329" s="116"/>
      <c r="AC329" s="11">
        <v>46348</v>
      </c>
      <c r="AD329" s="33" t="s">
        <v>7</v>
      </c>
      <c r="AE329" s="114"/>
      <c r="AF329" s="115"/>
      <c r="AG329" s="115"/>
      <c r="AH329" s="116"/>
      <c r="AI329" s="100"/>
      <c r="AJ329" s="11">
        <v>46348</v>
      </c>
      <c r="AK329" s="33" t="s">
        <v>7</v>
      </c>
      <c r="AL329" s="114"/>
      <c r="AM329" s="115"/>
      <c r="AN329" s="115"/>
      <c r="AO329" s="116"/>
      <c r="AQ329" s="11">
        <v>46348</v>
      </c>
      <c r="AR329" s="33" t="s">
        <v>7</v>
      </c>
      <c r="AS329" s="114"/>
      <c r="AT329" s="115"/>
      <c r="AU329" s="115"/>
      <c r="AV329" s="116"/>
      <c r="AX329" s="11">
        <v>46347</v>
      </c>
      <c r="AY329" s="33" t="s">
        <v>6</v>
      </c>
      <c r="AZ329" s="114"/>
      <c r="BA329" s="115"/>
      <c r="BB329" s="115"/>
      <c r="BC329" s="116"/>
      <c r="BE329" s="11">
        <v>46348</v>
      </c>
      <c r="BF329" s="33" t="s">
        <v>7</v>
      </c>
      <c r="BG329" s="33"/>
      <c r="BH329" s="19"/>
      <c r="BI329" s="19"/>
      <c r="BJ329" s="20"/>
      <c r="BL329" s="11">
        <v>46348</v>
      </c>
      <c r="BM329" s="33" t="s">
        <v>7</v>
      </c>
      <c r="BN329" s="114"/>
      <c r="BO329" s="115"/>
      <c r="BP329" s="115"/>
      <c r="BQ329" s="116"/>
      <c r="BS329" s="11">
        <v>46348</v>
      </c>
      <c r="BT329" s="33" t="s">
        <v>7</v>
      </c>
      <c r="BU329" s="114"/>
      <c r="BV329" s="115"/>
      <c r="BW329" s="115"/>
      <c r="BX329" s="116"/>
      <c r="BZ329" s="11">
        <v>46347</v>
      </c>
      <c r="CA329" s="33" t="s">
        <v>6</v>
      </c>
      <c r="CB329" s="114"/>
      <c r="CC329" s="115"/>
      <c r="CD329" s="115"/>
      <c r="CE329" s="116"/>
      <c r="CG329" s="11">
        <v>46348</v>
      </c>
      <c r="CH329" s="33" t="s">
        <v>7</v>
      </c>
      <c r="CI329" s="114"/>
      <c r="CJ329" s="115"/>
      <c r="CK329" s="115"/>
      <c r="CL329" s="116"/>
      <c r="CN329" s="11">
        <v>46348</v>
      </c>
      <c r="CO329" s="33" t="s">
        <v>7</v>
      </c>
      <c r="CP329" s="114"/>
      <c r="CQ329" s="115"/>
      <c r="CR329" s="115"/>
      <c r="CS329" s="116"/>
      <c r="CU329" s="11">
        <v>46348</v>
      </c>
      <c r="CV329" s="33" t="s">
        <v>7</v>
      </c>
      <c r="CW329" s="114"/>
      <c r="CX329" s="115"/>
      <c r="CY329" s="115"/>
      <c r="CZ329" s="116"/>
      <c r="DB329" s="11">
        <v>46346</v>
      </c>
      <c r="DC329" s="33" t="s">
        <v>5</v>
      </c>
      <c r="DD329" s="114" t="s">
        <v>60</v>
      </c>
      <c r="DE329" s="115"/>
      <c r="DF329" s="115"/>
      <c r="DG329" s="116"/>
      <c r="DI329" s="11">
        <v>46348</v>
      </c>
      <c r="DJ329" s="33" t="s">
        <v>7</v>
      </c>
      <c r="DK329" s="114"/>
      <c r="DL329" s="115"/>
      <c r="DM329" s="115"/>
      <c r="DN329" s="116"/>
      <c r="DP329" s="11">
        <v>46346</v>
      </c>
      <c r="DQ329" s="33" t="s">
        <v>5</v>
      </c>
      <c r="DR329" s="114" t="s">
        <v>60</v>
      </c>
      <c r="DS329" s="115"/>
      <c r="DT329" s="115"/>
      <c r="DU329" s="116"/>
      <c r="DW329" s="11">
        <v>46348</v>
      </c>
      <c r="DX329" s="33" t="s">
        <v>7</v>
      </c>
      <c r="DY329" s="114"/>
      <c r="DZ329" s="115"/>
      <c r="EA329" s="115"/>
      <c r="EB329" s="116"/>
    </row>
    <row r="330" spans="1:132" x14ac:dyDescent="0.25">
      <c r="A330" s="11">
        <v>46349</v>
      </c>
      <c r="B330" s="33" t="s">
        <v>8</v>
      </c>
      <c r="C330" s="114"/>
      <c r="D330" s="115"/>
      <c r="E330" s="115"/>
      <c r="F330" s="116"/>
      <c r="H330" s="11">
        <v>46349</v>
      </c>
      <c r="I330" s="33" t="s">
        <v>8</v>
      </c>
      <c r="J330" s="114"/>
      <c r="K330" s="115"/>
      <c r="L330" s="115"/>
      <c r="M330" s="116"/>
      <c r="O330" s="11">
        <v>46349</v>
      </c>
      <c r="P330" s="33" t="s">
        <v>8</v>
      </c>
      <c r="Q330" s="114"/>
      <c r="R330" s="115"/>
      <c r="S330" s="115"/>
      <c r="T330" s="116"/>
      <c r="V330" s="11">
        <v>46348</v>
      </c>
      <c r="W330" s="33" t="s">
        <v>7</v>
      </c>
      <c r="X330" s="114"/>
      <c r="Y330" s="115"/>
      <c r="Z330" s="115"/>
      <c r="AA330" s="116"/>
      <c r="AC330" s="11">
        <v>46349</v>
      </c>
      <c r="AD330" s="33" t="s">
        <v>8</v>
      </c>
      <c r="AE330" s="114"/>
      <c r="AF330" s="115"/>
      <c r="AG330" s="115"/>
      <c r="AH330" s="116"/>
      <c r="AJ330" s="11">
        <v>46349</v>
      </c>
      <c r="AK330" s="33" t="s">
        <v>8</v>
      </c>
      <c r="AL330" s="114"/>
      <c r="AM330" s="115"/>
      <c r="AN330" s="115"/>
      <c r="AO330" s="116"/>
      <c r="AQ330" s="11">
        <v>46349</v>
      </c>
      <c r="AR330" s="33" t="s">
        <v>8</v>
      </c>
      <c r="AS330" s="114"/>
      <c r="AT330" s="115"/>
      <c r="AU330" s="115"/>
      <c r="AV330" s="116"/>
      <c r="AX330" s="11">
        <v>46348</v>
      </c>
      <c r="AY330" s="33" t="s">
        <v>7</v>
      </c>
      <c r="AZ330" s="114"/>
      <c r="BA330" s="115"/>
      <c r="BB330" s="115"/>
      <c r="BC330" s="116"/>
      <c r="BE330" s="11">
        <v>46349</v>
      </c>
      <c r="BF330" s="33" t="s">
        <v>8</v>
      </c>
      <c r="BG330" s="33"/>
      <c r="BH330" s="19"/>
      <c r="BI330" s="19"/>
      <c r="BJ330" s="20"/>
      <c r="BL330" s="11">
        <v>46349</v>
      </c>
      <c r="BM330" s="33" t="s">
        <v>8</v>
      </c>
      <c r="BN330" s="114"/>
      <c r="BO330" s="115"/>
      <c r="BP330" s="115"/>
      <c r="BQ330" s="116"/>
      <c r="BS330" s="11">
        <v>46349</v>
      </c>
      <c r="BT330" s="33" t="s">
        <v>8</v>
      </c>
      <c r="BU330" s="114"/>
      <c r="BV330" s="115"/>
      <c r="BW330" s="115"/>
      <c r="BX330" s="116"/>
      <c r="BZ330" s="11">
        <v>46348</v>
      </c>
      <c r="CA330" s="33" t="s">
        <v>7</v>
      </c>
      <c r="CB330" s="114"/>
      <c r="CC330" s="115"/>
      <c r="CD330" s="115"/>
      <c r="CE330" s="116"/>
      <c r="CG330" s="11">
        <v>46349</v>
      </c>
      <c r="CH330" s="33" t="s">
        <v>8</v>
      </c>
      <c r="CI330" s="114"/>
      <c r="CJ330" s="115"/>
      <c r="CK330" s="115"/>
      <c r="CL330" s="116"/>
      <c r="CN330" s="11">
        <v>46349</v>
      </c>
      <c r="CO330" s="33" t="s">
        <v>8</v>
      </c>
      <c r="CP330" s="114"/>
      <c r="CQ330" s="115"/>
      <c r="CR330" s="115"/>
      <c r="CS330" s="116"/>
      <c r="CU330" s="11">
        <v>46349</v>
      </c>
      <c r="CV330" s="33" t="s">
        <v>8</v>
      </c>
      <c r="CW330" s="114"/>
      <c r="CX330" s="115"/>
      <c r="CY330" s="115"/>
      <c r="CZ330" s="116"/>
      <c r="DB330" s="11">
        <v>46347</v>
      </c>
      <c r="DC330" s="33" t="s">
        <v>6</v>
      </c>
      <c r="DD330" s="114"/>
      <c r="DE330" s="115"/>
      <c r="DF330" s="115"/>
      <c r="DG330" s="116"/>
      <c r="DI330" s="11">
        <v>46349</v>
      </c>
      <c r="DJ330" s="33" t="s">
        <v>8</v>
      </c>
      <c r="DK330" s="114"/>
      <c r="DL330" s="115"/>
      <c r="DM330" s="115"/>
      <c r="DN330" s="116"/>
      <c r="DP330" s="11">
        <v>46347</v>
      </c>
      <c r="DQ330" s="33" t="s">
        <v>6</v>
      </c>
      <c r="DR330" s="114"/>
      <c r="DS330" s="115"/>
      <c r="DT330" s="115"/>
      <c r="DU330" s="116"/>
      <c r="DW330" s="11">
        <v>46349</v>
      </c>
      <c r="DX330" s="33" t="s">
        <v>8</v>
      </c>
      <c r="DY330" s="114"/>
      <c r="DZ330" s="115"/>
      <c r="EA330" s="115"/>
      <c r="EB330" s="116"/>
    </row>
    <row r="331" spans="1:132" x14ac:dyDescent="0.25">
      <c r="A331" s="11">
        <v>46350</v>
      </c>
      <c r="B331" s="33" t="s">
        <v>9</v>
      </c>
      <c r="C331" s="114" t="s">
        <v>60</v>
      </c>
      <c r="D331" s="115"/>
      <c r="E331" s="115"/>
      <c r="F331" s="116"/>
      <c r="H331" s="11">
        <v>46350</v>
      </c>
      <c r="I331" s="33" t="s">
        <v>9</v>
      </c>
      <c r="J331" s="114" t="s">
        <v>60</v>
      </c>
      <c r="K331" s="115"/>
      <c r="L331" s="115"/>
      <c r="M331" s="116"/>
      <c r="O331" s="11">
        <v>46350</v>
      </c>
      <c r="P331" s="33" t="s">
        <v>9</v>
      </c>
      <c r="Q331" s="114" t="s">
        <v>60</v>
      </c>
      <c r="R331" s="115"/>
      <c r="S331" s="115"/>
      <c r="T331" s="116"/>
      <c r="V331" s="11">
        <v>46349</v>
      </c>
      <c r="W331" s="33" t="s">
        <v>8</v>
      </c>
      <c r="X331" s="114"/>
      <c r="Y331" s="115"/>
      <c r="Z331" s="115"/>
      <c r="AA331" s="116"/>
      <c r="AC331" s="11">
        <v>46350</v>
      </c>
      <c r="AD331" s="33" t="s">
        <v>9</v>
      </c>
      <c r="AE331" s="114" t="s">
        <v>60</v>
      </c>
      <c r="AF331" s="115"/>
      <c r="AG331" s="115"/>
      <c r="AH331" s="116"/>
      <c r="AJ331" s="11">
        <v>46350</v>
      </c>
      <c r="AK331" s="33" t="s">
        <v>9</v>
      </c>
      <c r="AL331" s="114" t="s">
        <v>60</v>
      </c>
      <c r="AM331" s="115"/>
      <c r="AN331" s="115"/>
      <c r="AO331" s="116"/>
      <c r="AQ331" s="11">
        <v>46350</v>
      </c>
      <c r="AR331" s="33" t="s">
        <v>9</v>
      </c>
      <c r="AS331" s="114" t="s">
        <v>60</v>
      </c>
      <c r="AT331" s="115"/>
      <c r="AU331" s="115"/>
      <c r="AV331" s="116"/>
      <c r="AX331" s="11">
        <v>46349</v>
      </c>
      <c r="AY331" s="33" t="s">
        <v>8</v>
      </c>
      <c r="AZ331" s="114"/>
      <c r="BA331" s="115"/>
      <c r="BB331" s="115"/>
      <c r="BC331" s="116"/>
      <c r="BE331" s="11">
        <v>46350</v>
      </c>
      <c r="BF331" s="33" t="s">
        <v>9</v>
      </c>
      <c r="BG331" s="33" t="s">
        <v>60</v>
      </c>
      <c r="BH331" s="19"/>
      <c r="BI331" s="19"/>
      <c r="BJ331" s="20"/>
      <c r="BL331" s="11">
        <v>46350</v>
      </c>
      <c r="BM331" s="33" t="s">
        <v>9</v>
      </c>
      <c r="BN331" s="114" t="s">
        <v>60</v>
      </c>
      <c r="BO331" s="115"/>
      <c r="BP331" s="115"/>
      <c r="BQ331" s="116"/>
      <c r="BS331" s="11">
        <v>46350</v>
      </c>
      <c r="BT331" s="33" t="s">
        <v>9</v>
      </c>
      <c r="BU331" s="114" t="s">
        <v>60</v>
      </c>
      <c r="BV331" s="115"/>
      <c r="BW331" s="115"/>
      <c r="BX331" s="116"/>
      <c r="BZ331" s="11">
        <v>46349</v>
      </c>
      <c r="CA331" s="33" t="s">
        <v>8</v>
      </c>
      <c r="CB331" s="114"/>
      <c r="CC331" s="115"/>
      <c r="CD331" s="115"/>
      <c r="CE331" s="116"/>
      <c r="CG331" s="11">
        <v>46350</v>
      </c>
      <c r="CH331" s="33" t="s">
        <v>9</v>
      </c>
      <c r="CI331" s="114" t="s">
        <v>60</v>
      </c>
      <c r="CJ331" s="115"/>
      <c r="CK331" s="115"/>
      <c r="CL331" s="116"/>
      <c r="CN331" s="11">
        <v>46350</v>
      </c>
      <c r="CO331" s="33" t="s">
        <v>9</v>
      </c>
      <c r="CP331" s="114" t="s">
        <v>60</v>
      </c>
      <c r="CQ331" s="115"/>
      <c r="CR331" s="115"/>
      <c r="CS331" s="116"/>
      <c r="CU331" s="11">
        <v>46350</v>
      </c>
      <c r="CV331" s="33" t="s">
        <v>9</v>
      </c>
      <c r="CW331" s="114" t="s">
        <v>60</v>
      </c>
      <c r="CX331" s="115"/>
      <c r="CY331" s="115"/>
      <c r="CZ331" s="116"/>
      <c r="DB331" s="11">
        <v>46348</v>
      </c>
      <c r="DC331" s="33" t="s">
        <v>7</v>
      </c>
      <c r="DD331" s="114"/>
      <c r="DE331" s="115"/>
      <c r="DF331" s="115"/>
      <c r="DG331" s="116"/>
      <c r="DI331" s="11">
        <v>46350</v>
      </c>
      <c r="DJ331" s="33" t="s">
        <v>9</v>
      </c>
      <c r="DK331" s="114" t="s">
        <v>60</v>
      </c>
      <c r="DL331" s="115"/>
      <c r="DM331" s="115"/>
      <c r="DN331" s="116"/>
      <c r="DP331" s="11">
        <v>46348</v>
      </c>
      <c r="DQ331" s="33" t="s">
        <v>7</v>
      </c>
      <c r="DR331" s="114"/>
      <c r="DS331" s="115"/>
      <c r="DT331" s="115"/>
      <c r="DU331" s="116"/>
      <c r="DW331" s="11">
        <v>46350</v>
      </c>
      <c r="DX331" s="33" t="s">
        <v>9</v>
      </c>
      <c r="DY331" s="114" t="s">
        <v>60</v>
      </c>
      <c r="DZ331" s="115"/>
      <c r="EA331" s="115"/>
      <c r="EB331" s="116"/>
    </row>
    <row r="332" spans="1:132" x14ac:dyDescent="0.25">
      <c r="A332" s="11">
        <v>46351</v>
      </c>
      <c r="B332" s="33" t="s">
        <v>3</v>
      </c>
      <c r="C332" s="114" t="s">
        <v>60</v>
      </c>
      <c r="D332" s="115"/>
      <c r="E332" s="115"/>
      <c r="F332" s="116"/>
      <c r="H332" s="11">
        <v>46351</v>
      </c>
      <c r="I332" s="33" t="s">
        <v>3</v>
      </c>
      <c r="J332" s="114" t="s">
        <v>60</v>
      </c>
      <c r="K332" s="115"/>
      <c r="L332" s="115"/>
      <c r="M332" s="116"/>
      <c r="O332" s="11">
        <v>46351</v>
      </c>
      <c r="P332" s="33" t="s">
        <v>3</v>
      </c>
      <c r="Q332" s="114" t="s">
        <v>60</v>
      </c>
      <c r="R332" s="115"/>
      <c r="S332" s="115"/>
      <c r="T332" s="116"/>
      <c r="V332" s="11">
        <v>46350</v>
      </c>
      <c r="W332" s="33" t="s">
        <v>9</v>
      </c>
      <c r="X332" s="114" t="s">
        <v>60</v>
      </c>
      <c r="Y332" s="115"/>
      <c r="Z332" s="115"/>
      <c r="AA332" s="116"/>
      <c r="AC332" s="11">
        <v>46351</v>
      </c>
      <c r="AD332" s="33" t="s">
        <v>3</v>
      </c>
      <c r="AE332" s="114" t="s">
        <v>60</v>
      </c>
      <c r="AF332" s="115"/>
      <c r="AG332" s="115"/>
      <c r="AH332" s="116"/>
      <c r="AJ332" s="11">
        <v>46351</v>
      </c>
      <c r="AK332" s="33" t="s">
        <v>3</v>
      </c>
      <c r="AL332" s="114" t="s">
        <v>60</v>
      </c>
      <c r="AM332" s="115"/>
      <c r="AN332" s="115"/>
      <c r="AO332" s="116"/>
      <c r="AQ332" s="11">
        <v>46351</v>
      </c>
      <c r="AR332" s="33" t="s">
        <v>3</v>
      </c>
      <c r="AS332" s="114" t="s">
        <v>60</v>
      </c>
      <c r="AT332" s="115"/>
      <c r="AU332" s="115"/>
      <c r="AV332" s="116"/>
      <c r="AX332" s="11">
        <v>46350</v>
      </c>
      <c r="AY332" s="33" t="s">
        <v>9</v>
      </c>
      <c r="AZ332" s="114" t="s">
        <v>60</v>
      </c>
      <c r="BA332" s="115"/>
      <c r="BB332" s="115"/>
      <c r="BC332" s="116"/>
      <c r="BE332" s="11">
        <v>46351</v>
      </c>
      <c r="BF332" s="33" t="s">
        <v>3</v>
      </c>
      <c r="BG332" s="33" t="s">
        <v>60</v>
      </c>
      <c r="BH332" s="19"/>
      <c r="BI332" s="19"/>
      <c r="BJ332" s="20"/>
      <c r="BL332" s="11">
        <v>46351</v>
      </c>
      <c r="BM332" s="33" t="s">
        <v>3</v>
      </c>
      <c r="BN332" s="114" t="s">
        <v>60</v>
      </c>
      <c r="BO332" s="115"/>
      <c r="BP332" s="115"/>
      <c r="BQ332" s="116"/>
      <c r="BS332" s="11">
        <v>46351</v>
      </c>
      <c r="BT332" s="33" t="s">
        <v>3</v>
      </c>
      <c r="BU332" s="114" t="s">
        <v>60</v>
      </c>
      <c r="BV332" s="115"/>
      <c r="BW332" s="115"/>
      <c r="BX332" s="116"/>
      <c r="BZ332" s="11">
        <v>46350</v>
      </c>
      <c r="CA332" s="33" t="s">
        <v>9</v>
      </c>
      <c r="CB332" s="114" t="s">
        <v>60</v>
      </c>
      <c r="CC332" s="115"/>
      <c r="CD332" s="115"/>
      <c r="CE332" s="116"/>
      <c r="CG332" s="11">
        <v>46351</v>
      </c>
      <c r="CH332" s="33" t="s">
        <v>3</v>
      </c>
      <c r="CI332" s="114" t="s">
        <v>60</v>
      </c>
      <c r="CJ332" s="115"/>
      <c r="CK332" s="115"/>
      <c r="CL332" s="116"/>
      <c r="CN332" s="11">
        <v>46351</v>
      </c>
      <c r="CO332" s="33" t="s">
        <v>3</v>
      </c>
      <c r="CP332" s="114" t="s">
        <v>60</v>
      </c>
      <c r="CQ332" s="115"/>
      <c r="CR332" s="115"/>
      <c r="CS332" s="116"/>
      <c r="CU332" s="11">
        <v>46351</v>
      </c>
      <c r="CV332" s="33" t="s">
        <v>3</v>
      </c>
      <c r="CW332" s="114" t="s">
        <v>60</v>
      </c>
      <c r="CX332" s="115"/>
      <c r="CY332" s="115"/>
      <c r="CZ332" s="116"/>
      <c r="DB332" s="11">
        <v>46349</v>
      </c>
      <c r="DC332" s="33" t="s">
        <v>8</v>
      </c>
      <c r="DD332" s="114"/>
      <c r="DE332" s="115"/>
      <c r="DF332" s="115"/>
      <c r="DG332" s="116"/>
      <c r="DI332" s="11">
        <v>46351</v>
      </c>
      <c r="DJ332" s="33" t="s">
        <v>3</v>
      </c>
      <c r="DK332" s="114" t="s">
        <v>60</v>
      </c>
      <c r="DL332" s="115"/>
      <c r="DM332" s="115"/>
      <c r="DN332" s="116"/>
      <c r="DP332" s="11">
        <v>46349</v>
      </c>
      <c r="DQ332" s="33" t="s">
        <v>8</v>
      </c>
      <c r="DR332" s="114"/>
      <c r="DS332" s="115"/>
      <c r="DT332" s="115"/>
      <c r="DU332" s="116"/>
      <c r="DW332" s="11">
        <v>46351</v>
      </c>
      <c r="DX332" s="33" t="s">
        <v>3</v>
      </c>
      <c r="DY332" s="114" t="s">
        <v>60</v>
      </c>
      <c r="DZ332" s="115"/>
      <c r="EA332" s="115"/>
      <c r="EB332" s="116"/>
    </row>
    <row r="333" spans="1:132" x14ac:dyDescent="0.25">
      <c r="A333" s="11">
        <v>46352</v>
      </c>
      <c r="B333" s="33" t="s">
        <v>4</v>
      </c>
      <c r="C333" s="114"/>
      <c r="D333" s="115"/>
      <c r="E333" s="115"/>
      <c r="F333" s="116"/>
      <c r="H333" s="11">
        <v>46352</v>
      </c>
      <c r="I333" s="33" t="s">
        <v>4</v>
      </c>
      <c r="J333" s="114"/>
      <c r="K333" s="115"/>
      <c r="L333" s="115"/>
      <c r="M333" s="116"/>
      <c r="O333" s="11">
        <v>46352</v>
      </c>
      <c r="P333" s="33" t="s">
        <v>4</v>
      </c>
      <c r="Q333" s="114"/>
      <c r="R333" s="115"/>
      <c r="S333" s="115"/>
      <c r="T333" s="116"/>
      <c r="V333" s="11">
        <v>46351</v>
      </c>
      <c r="W333" s="33" t="s">
        <v>3</v>
      </c>
      <c r="X333" s="114" t="s">
        <v>60</v>
      </c>
      <c r="Y333" s="115"/>
      <c r="Z333" s="115"/>
      <c r="AA333" s="116"/>
      <c r="AC333" s="11">
        <v>46352</v>
      </c>
      <c r="AD333" s="33" t="s">
        <v>4</v>
      </c>
      <c r="AE333" s="114"/>
      <c r="AF333" s="115"/>
      <c r="AG333" s="115"/>
      <c r="AH333" s="116"/>
      <c r="AJ333" s="11">
        <v>46352</v>
      </c>
      <c r="AK333" s="33" t="s">
        <v>4</v>
      </c>
      <c r="AL333" s="114"/>
      <c r="AM333" s="115"/>
      <c r="AN333" s="115"/>
      <c r="AO333" s="116"/>
      <c r="AQ333" s="11">
        <v>46352</v>
      </c>
      <c r="AR333" s="33" t="s">
        <v>4</v>
      </c>
      <c r="AS333" s="114"/>
      <c r="AT333" s="115"/>
      <c r="AU333" s="115"/>
      <c r="AV333" s="116"/>
      <c r="AX333" s="11">
        <v>46351</v>
      </c>
      <c r="AY333" s="33" t="s">
        <v>3</v>
      </c>
      <c r="AZ333" s="114" t="s">
        <v>60</v>
      </c>
      <c r="BA333" s="115"/>
      <c r="BB333" s="115"/>
      <c r="BC333" s="116"/>
      <c r="BE333" s="11">
        <v>46352</v>
      </c>
      <c r="BF333" s="33" t="s">
        <v>4</v>
      </c>
      <c r="BG333" s="33"/>
      <c r="BH333" s="19"/>
      <c r="BI333" s="19"/>
      <c r="BJ333" s="20"/>
      <c r="BL333" s="11">
        <v>46352</v>
      </c>
      <c r="BM333" s="33" t="s">
        <v>4</v>
      </c>
      <c r="BN333" s="114"/>
      <c r="BO333" s="115"/>
      <c r="BP333" s="115"/>
      <c r="BQ333" s="116"/>
      <c r="BS333" s="11">
        <v>46352</v>
      </c>
      <c r="BT333" s="33" t="s">
        <v>4</v>
      </c>
      <c r="BU333" s="114"/>
      <c r="BV333" s="115"/>
      <c r="BW333" s="115"/>
      <c r="BX333" s="116"/>
      <c r="BZ333" s="11">
        <v>46351</v>
      </c>
      <c r="CA333" s="33" t="s">
        <v>3</v>
      </c>
      <c r="CB333" s="114" t="s">
        <v>60</v>
      </c>
      <c r="CC333" s="115"/>
      <c r="CD333" s="115"/>
      <c r="CE333" s="116"/>
      <c r="CG333" s="11">
        <v>46352</v>
      </c>
      <c r="CH333" s="33" t="s">
        <v>4</v>
      </c>
      <c r="CI333" s="114"/>
      <c r="CJ333" s="115"/>
      <c r="CK333" s="115"/>
      <c r="CL333" s="116"/>
      <c r="CN333" s="11">
        <v>46352</v>
      </c>
      <c r="CO333" s="33" t="s">
        <v>4</v>
      </c>
      <c r="CP333" s="114"/>
      <c r="CQ333" s="115"/>
      <c r="CR333" s="115"/>
      <c r="CS333" s="116"/>
      <c r="CU333" s="11">
        <v>46352</v>
      </c>
      <c r="CV333" s="33" t="s">
        <v>4</v>
      </c>
      <c r="CW333" s="114"/>
      <c r="CX333" s="115"/>
      <c r="CY333" s="115"/>
      <c r="CZ333" s="116"/>
      <c r="DB333" s="11">
        <v>46350</v>
      </c>
      <c r="DC333" s="33" t="s">
        <v>9</v>
      </c>
      <c r="DD333" s="114" t="s">
        <v>60</v>
      </c>
      <c r="DE333" s="115"/>
      <c r="DF333" s="115"/>
      <c r="DG333" s="116"/>
      <c r="DI333" s="11">
        <v>46352</v>
      </c>
      <c r="DJ333" s="33" t="s">
        <v>4</v>
      </c>
      <c r="DK333" s="114"/>
      <c r="DL333" s="115"/>
      <c r="DM333" s="115"/>
      <c r="DN333" s="116"/>
      <c r="DP333" s="11">
        <v>46350</v>
      </c>
      <c r="DQ333" s="33" t="s">
        <v>9</v>
      </c>
      <c r="DR333" s="114" t="s">
        <v>60</v>
      </c>
      <c r="DS333" s="115"/>
      <c r="DT333" s="115"/>
      <c r="DU333" s="116"/>
      <c r="DW333" s="11">
        <v>46352</v>
      </c>
      <c r="DX333" s="33" t="s">
        <v>4</v>
      </c>
      <c r="DY333" s="114"/>
      <c r="DZ333" s="115"/>
      <c r="EA333" s="115"/>
      <c r="EB333" s="116"/>
    </row>
    <row r="334" spans="1:132" x14ac:dyDescent="0.25">
      <c r="A334" s="11">
        <v>46353</v>
      </c>
      <c r="B334" s="33" t="s">
        <v>5</v>
      </c>
      <c r="C334" s="114"/>
      <c r="D334" s="115"/>
      <c r="E334" s="115"/>
      <c r="F334" s="116"/>
      <c r="H334" s="11">
        <v>46353</v>
      </c>
      <c r="I334" s="33" t="s">
        <v>5</v>
      </c>
      <c r="J334" s="114"/>
      <c r="K334" s="115"/>
      <c r="L334" s="115"/>
      <c r="M334" s="116"/>
      <c r="O334" s="11">
        <v>46353</v>
      </c>
      <c r="P334" s="33" t="s">
        <v>5</v>
      </c>
      <c r="Q334" s="114"/>
      <c r="R334" s="115"/>
      <c r="S334" s="115"/>
      <c r="T334" s="116"/>
      <c r="V334" s="11">
        <v>46352</v>
      </c>
      <c r="W334" s="33" t="s">
        <v>4</v>
      </c>
      <c r="X334" s="114"/>
      <c r="Y334" s="115"/>
      <c r="Z334" s="115"/>
      <c r="AA334" s="116"/>
      <c r="AC334" s="11">
        <v>46353</v>
      </c>
      <c r="AD334" s="33" t="s">
        <v>5</v>
      </c>
      <c r="AE334" s="114"/>
      <c r="AF334" s="115"/>
      <c r="AG334" s="115"/>
      <c r="AH334" s="116"/>
      <c r="AJ334" s="11">
        <v>46353</v>
      </c>
      <c r="AK334" s="33" t="s">
        <v>5</v>
      </c>
      <c r="AL334" s="114"/>
      <c r="AM334" s="115"/>
      <c r="AN334" s="115"/>
      <c r="AO334" s="116"/>
      <c r="AQ334" s="11">
        <v>46353</v>
      </c>
      <c r="AR334" s="33" t="s">
        <v>5</v>
      </c>
      <c r="AS334" s="114"/>
      <c r="AT334" s="115"/>
      <c r="AU334" s="115"/>
      <c r="AV334" s="116"/>
      <c r="AX334" s="11">
        <v>46352</v>
      </c>
      <c r="AY334" s="33" t="s">
        <v>4</v>
      </c>
      <c r="AZ334" s="114"/>
      <c r="BA334" s="115"/>
      <c r="BB334" s="115"/>
      <c r="BC334" s="116"/>
      <c r="BE334" s="11">
        <v>46353</v>
      </c>
      <c r="BF334" s="33" t="s">
        <v>5</v>
      </c>
      <c r="BG334" s="33"/>
      <c r="BH334" s="19"/>
      <c r="BI334" s="19"/>
      <c r="BJ334" s="20"/>
      <c r="BL334" s="11">
        <v>46353</v>
      </c>
      <c r="BM334" s="33" t="s">
        <v>5</v>
      </c>
      <c r="BN334" s="114"/>
      <c r="BO334" s="115"/>
      <c r="BP334" s="115"/>
      <c r="BQ334" s="116"/>
      <c r="BS334" s="11">
        <v>46353</v>
      </c>
      <c r="BT334" s="33" t="s">
        <v>5</v>
      </c>
      <c r="BU334" s="114"/>
      <c r="BV334" s="115"/>
      <c r="BW334" s="115"/>
      <c r="BX334" s="116"/>
      <c r="BZ334" s="11">
        <v>46352</v>
      </c>
      <c r="CA334" s="33" t="s">
        <v>4</v>
      </c>
      <c r="CB334" s="114"/>
      <c r="CC334" s="115"/>
      <c r="CD334" s="115"/>
      <c r="CE334" s="116"/>
      <c r="CG334" s="11">
        <v>46353</v>
      </c>
      <c r="CH334" s="33" t="s">
        <v>5</v>
      </c>
      <c r="CI334" s="114"/>
      <c r="CJ334" s="115"/>
      <c r="CK334" s="115"/>
      <c r="CL334" s="116"/>
      <c r="CN334" s="11">
        <v>46353</v>
      </c>
      <c r="CO334" s="33" t="s">
        <v>5</v>
      </c>
      <c r="CP334" s="114"/>
      <c r="CQ334" s="115"/>
      <c r="CR334" s="115"/>
      <c r="CS334" s="116"/>
      <c r="CU334" s="11">
        <v>46353</v>
      </c>
      <c r="CV334" s="33" t="s">
        <v>5</v>
      </c>
      <c r="CW334" s="114"/>
      <c r="CX334" s="115"/>
      <c r="CY334" s="115"/>
      <c r="CZ334" s="116"/>
      <c r="DB334" s="11">
        <v>46351</v>
      </c>
      <c r="DC334" s="33" t="s">
        <v>3</v>
      </c>
      <c r="DD334" s="114" t="s">
        <v>60</v>
      </c>
      <c r="DE334" s="115"/>
      <c r="DF334" s="115"/>
      <c r="DG334" s="116"/>
      <c r="DI334" s="11">
        <v>46353</v>
      </c>
      <c r="DJ334" s="33" t="s">
        <v>5</v>
      </c>
      <c r="DK334" s="114"/>
      <c r="DL334" s="115"/>
      <c r="DM334" s="115"/>
      <c r="DN334" s="116"/>
      <c r="DP334" s="11">
        <v>46351</v>
      </c>
      <c r="DQ334" s="33" t="s">
        <v>3</v>
      </c>
      <c r="DR334" s="114" t="s">
        <v>60</v>
      </c>
      <c r="DS334" s="115"/>
      <c r="DT334" s="115"/>
      <c r="DU334" s="116"/>
      <c r="DW334" s="11">
        <v>46353</v>
      </c>
      <c r="DX334" s="33" t="s">
        <v>5</v>
      </c>
      <c r="DY334" s="114"/>
      <c r="DZ334" s="115"/>
      <c r="EA334" s="115"/>
      <c r="EB334" s="116"/>
    </row>
    <row r="335" spans="1:132" x14ac:dyDescent="0.25">
      <c r="A335" s="11">
        <v>46354</v>
      </c>
      <c r="B335" s="33" t="s">
        <v>6</v>
      </c>
      <c r="C335" s="114"/>
      <c r="D335" s="115"/>
      <c r="E335" s="115"/>
      <c r="F335" s="116"/>
      <c r="H335" s="11">
        <v>46354</v>
      </c>
      <c r="I335" s="33" t="s">
        <v>6</v>
      </c>
      <c r="J335" s="114"/>
      <c r="K335" s="115"/>
      <c r="L335" s="115"/>
      <c r="M335" s="116"/>
      <c r="O335" s="11">
        <v>46354</v>
      </c>
      <c r="P335" s="33" t="s">
        <v>6</v>
      </c>
      <c r="Q335" s="114"/>
      <c r="R335" s="115"/>
      <c r="S335" s="115"/>
      <c r="T335" s="116"/>
      <c r="V335" s="11">
        <v>46353</v>
      </c>
      <c r="W335" s="33" t="s">
        <v>5</v>
      </c>
      <c r="X335" s="114"/>
      <c r="Y335" s="115"/>
      <c r="Z335" s="115"/>
      <c r="AA335" s="116"/>
      <c r="AC335" s="11">
        <v>46354</v>
      </c>
      <c r="AD335" s="33" t="s">
        <v>6</v>
      </c>
      <c r="AE335" s="114"/>
      <c r="AF335" s="115"/>
      <c r="AG335" s="115"/>
      <c r="AH335" s="116"/>
      <c r="AJ335" s="11">
        <v>46354</v>
      </c>
      <c r="AK335" s="33" t="s">
        <v>6</v>
      </c>
      <c r="AL335" s="114"/>
      <c r="AM335" s="115"/>
      <c r="AN335" s="115"/>
      <c r="AO335" s="116"/>
      <c r="AQ335" s="11">
        <v>46354</v>
      </c>
      <c r="AR335" s="33" t="s">
        <v>6</v>
      </c>
      <c r="AS335" s="114"/>
      <c r="AT335" s="115"/>
      <c r="AU335" s="115"/>
      <c r="AV335" s="116"/>
      <c r="AX335" s="11">
        <v>46353</v>
      </c>
      <c r="AY335" s="33" t="s">
        <v>5</v>
      </c>
      <c r="AZ335" s="114"/>
      <c r="BA335" s="115"/>
      <c r="BB335" s="115"/>
      <c r="BC335" s="116"/>
      <c r="BE335" s="11">
        <v>46354</v>
      </c>
      <c r="BF335" s="33" t="s">
        <v>6</v>
      </c>
      <c r="BG335" s="33"/>
      <c r="BH335" s="19"/>
      <c r="BI335" s="19"/>
      <c r="BJ335" s="20"/>
      <c r="BL335" s="11">
        <v>46354</v>
      </c>
      <c r="BM335" s="33" t="s">
        <v>6</v>
      </c>
      <c r="BN335" s="114"/>
      <c r="BO335" s="115"/>
      <c r="BP335" s="115"/>
      <c r="BQ335" s="116"/>
      <c r="BS335" s="11">
        <v>46354</v>
      </c>
      <c r="BT335" s="33" t="s">
        <v>6</v>
      </c>
      <c r="BU335" s="114"/>
      <c r="BV335" s="115"/>
      <c r="BW335" s="115"/>
      <c r="BX335" s="116"/>
      <c r="BZ335" s="11">
        <v>46353</v>
      </c>
      <c r="CA335" s="33" t="s">
        <v>5</v>
      </c>
      <c r="CB335" s="114"/>
      <c r="CC335" s="115"/>
      <c r="CD335" s="115"/>
      <c r="CE335" s="116"/>
      <c r="CG335" s="11">
        <v>46354</v>
      </c>
      <c r="CH335" s="33" t="s">
        <v>6</v>
      </c>
      <c r="CI335" s="114"/>
      <c r="CJ335" s="115"/>
      <c r="CK335" s="115"/>
      <c r="CL335" s="116"/>
      <c r="CN335" s="11">
        <v>46354</v>
      </c>
      <c r="CO335" s="33" t="s">
        <v>6</v>
      </c>
      <c r="CP335" s="114"/>
      <c r="CQ335" s="115"/>
      <c r="CR335" s="115"/>
      <c r="CS335" s="116"/>
      <c r="CU335" s="11">
        <v>46354</v>
      </c>
      <c r="CV335" s="33" t="s">
        <v>6</v>
      </c>
      <c r="CW335" s="114"/>
      <c r="CX335" s="115"/>
      <c r="CY335" s="115"/>
      <c r="CZ335" s="116"/>
      <c r="DB335" s="11">
        <v>46352</v>
      </c>
      <c r="DC335" s="33" t="s">
        <v>4</v>
      </c>
      <c r="DD335" s="114"/>
      <c r="DE335" s="115"/>
      <c r="DF335" s="115"/>
      <c r="DG335" s="116"/>
      <c r="DI335" s="11">
        <v>46354</v>
      </c>
      <c r="DJ335" s="33" t="s">
        <v>6</v>
      </c>
      <c r="DK335" s="114"/>
      <c r="DL335" s="115"/>
      <c r="DM335" s="115"/>
      <c r="DN335" s="116"/>
      <c r="DP335" s="11">
        <v>46352</v>
      </c>
      <c r="DQ335" s="33" t="s">
        <v>4</v>
      </c>
      <c r="DR335" s="114"/>
      <c r="DS335" s="115"/>
      <c r="DT335" s="115"/>
      <c r="DU335" s="116"/>
      <c r="DW335" s="11">
        <v>46354</v>
      </c>
      <c r="DX335" s="33" t="s">
        <v>6</v>
      </c>
      <c r="DY335" s="114"/>
      <c r="DZ335" s="115"/>
      <c r="EA335" s="115"/>
      <c r="EB335" s="116"/>
    </row>
    <row r="336" spans="1:132" x14ac:dyDescent="0.25">
      <c r="A336" s="11">
        <v>46355</v>
      </c>
      <c r="B336" s="33" t="s">
        <v>7</v>
      </c>
      <c r="C336" s="114"/>
      <c r="D336" s="115"/>
      <c r="E336" s="115"/>
      <c r="F336" s="116"/>
      <c r="H336" s="11">
        <v>46355</v>
      </c>
      <c r="I336" s="33" t="s">
        <v>7</v>
      </c>
      <c r="J336" s="114"/>
      <c r="K336" s="115"/>
      <c r="L336" s="115"/>
      <c r="M336" s="116"/>
      <c r="O336" s="11">
        <v>46355</v>
      </c>
      <c r="P336" s="33" t="s">
        <v>7</v>
      </c>
      <c r="Q336" s="114"/>
      <c r="R336" s="115"/>
      <c r="S336" s="115"/>
      <c r="T336" s="116"/>
      <c r="V336" s="11">
        <v>46354</v>
      </c>
      <c r="W336" s="33" t="s">
        <v>6</v>
      </c>
      <c r="X336" s="114"/>
      <c r="Y336" s="115"/>
      <c r="Z336" s="115"/>
      <c r="AA336" s="116"/>
      <c r="AC336" s="11">
        <v>46355</v>
      </c>
      <c r="AD336" s="33" t="s">
        <v>7</v>
      </c>
      <c r="AE336" s="114"/>
      <c r="AF336" s="115"/>
      <c r="AG336" s="115"/>
      <c r="AH336" s="116"/>
      <c r="AJ336" s="11">
        <v>46355</v>
      </c>
      <c r="AK336" s="33" t="s">
        <v>7</v>
      </c>
      <c r="AL336" s="114"/>
      <c r="AM336" s="115"/>
      <c r="AN336" s="115"/>
      <c r="AO336" s="116"/>
      <c r="AQ336" s="11">
        <v>46355</v>
      </c>
      <c r="AR336" s="33" t="s">
        <v>7</v>
      </c>
      <c r="AS336" s="114"/>
      <c r="AT336" s="115"/>
      <c r="AU336" s="115"/>
      <c r="AV336" s="116"/>
      <c r="AX336" s="11">
        <v>46354</v>
      </c>
      <c r="AY336" s="33" t="s">
        <v>6</v>
      </c>
      <c r="AZ336" s="114"/>
      <c r="BA336" s="115"/>
      <c r="BB336" s="115"/>
      <c r="BC336" s="116"/>
      <c r="BE336" s="11">
        <v>46355</v>
      </c>
      <c r="BF336" s="33" t="s">
        <v>7</v>
      </c>
      <c r="BG336" s="33"/>
      <c r="BH336" s="19"/>
      <c r="BI336" s="19"/>
      <c r="BJ336" s="20"/>
      <c r="BL336" s="11">
        <v>46355</v>
      </c>
      <c r="BM336" s="33" t="s">
        <v>7</v>
      </c>
      <c r="BN336" s="114"/>
      <c r="BO336" s="115"/>
      <c r="BP336" s="115"/>
      <c r="BQ336" s="116"/>
      <c r="BS336" s="11">
        <v>46355</v>
      </c>
      <c r="BT336" s="33" t="s">
        <v>7</v>
      </c>
      <c r="BU336" s="114"/>
      <c r="BV336" s="115"/>
      <c r="BW336" s="115"/>
      <c r="BX336" s="116"/>
      <c r="BZ336" s="11">
        <v>46354</v>
      </c>
      <c r="CA336" s="33" t="s">
        <v>6</v>
      </c>
      <c r="CB336" s="114"/>
      <c r="CC336" s="115"/>
      <c r="CD336" s="115"/>
      <c r="CE336" s="116"/>
      <c r="CG336" s="11">
        <v>46355</v>
      </c>
      <c r="CH336" s="33" t="s">
        <v>7</v>
      </c>
      <c r="CI336" s="114"/>
      <c r="CJ336" s="115"/>
      <c r="CK336" s="115"/>
      <c r="CL336" s="116"/>
      <c r="CN336" s="11">
        <v>46355</v>
      </c>
      <c r="CO336" s="33" t="s">
        <v>7</v>
      </c>
      <c r="CP336" s="114"/>
      <c r="CQ336" s="115"/>
      <c r="CR336" s="115"/>
      <c r="CS336" s="116"/>
      <c r="CU336" s="11">
        <v>46355</v>
      </c>
      <c r="CV336" s="33" t="s">
        <v>7</v>
      </c>
      <c r="CW336" s="114"/>
      <c r="CX336" s="115"/>
      <c r="CY336" s="115"/>
      <c r="CZ336" s="116"/>
      <c r="DB336" s="11">
        <v>46353</v>
      </c>
      <c r="DC336" s="33" t="s">
        <v>5</v>
      </c>
      <c r="DD336" s="114"/>
      <c r="DE336" s="115"/>
      <c r="DF336" s="115"/>
      <c r="DG336" s="116"/>
      <c r="DI336" s="11">
        <v>46355</v>
      </c>
      <c r="DJ336" s="33" t="s">
        <v>7</v>
      </c>
      <c r="DK336" s="114"/>
      <c r="DL336" s="115"/>
      <c r="DM336" s="115"/>
      <c r="DN336" s="116"/>
      <c r="DP336" s="11">
        <v>46353</v>
      </c>
      <c r="DQ336" s="33" t="s">
        <v>5</v>
      </c>
      <c r="DR336" s="114"/>
      <c r="DS336" s="115"/>
      <c r="DT336" s="115"/>
      <c r="DU336" s="116"/>
      <c r="DW336" s="11">
        <v>46355</v>
      </c>
      <c r="DX336" s="33" t="s">
        <v>7</v>
      </c>
      <c r="DY336" s="114"/>
      <c r="DZ336" s="115"/>
      <c r="EA336" s="115"/>
      <c r="EB336" s="116"/>
    </row>
    <row r="337" spans="1:132" x14ac:dyDescent="0.25">
      <c r="A337" s="11">
        <v>46356</v>
      </c>
      <c r="B337" s="33" t="s">
        <v>8</v>
      </c>
      <c r="C337" s="114"/>
      <c r="D337" s="115"/>
      <c r="E337" s="115"/>
      <c r="F337" s="116"/>
      <c r="H337" s="11">
        <v>46356</v>
      </c>
      <c r="I337" s="33" t="s">
        <v>8</v>
      </c>
      <c r="J337" s="114"/>
      <c r="K337" s="115"/>
      <c r="L337" s="115"/>
      <c r="M337" s="116"/>
      <c r="O337" s="11">
        <v>46356</v>
      </c>
      <c r="P337" s="33" t="s">
        <v>8</v>
      </c>
      <c r="Q337" s="114"/>
      <c r="R337" s="115"/>
      <c r="S337" s="115"/>
      <c r="T337" s="116"/>
      <c r="V337" s="11">
        <v>46355</v>
      </c>
      <c r="W337" s="33" t="s">
        <v>7</v>
      </c>
      <c r="X337" s="114"/>
      <c r="Y337" s="115"/>
      <c r="Z337" s="115"/>
      <c r="AA337" s="116"/>
      <c r="AC337" s="11">
        <v>46356</v>
      </c>
      <c r="AD337" s="33" t="s">
        <v>8</v>
      </c>
      <c r="AE337" s="114"/>
      <c r="AF337" s="115"/>
      <c r="AG337" s="115"/>
      <c r="AH337" s="116"/>
      <c r="AJ337" s="11">
        <v>46356</v>
      </c>
      <c r="AK337" s="33" t="s">
        <v>8</v>
      </c>
      <c r="AL337" s="114"/>
      <c r="AM337" s="115"/>
      <c r="AN337" s="115"/>
      <c r="AO337" s="116"/>
      <c r="AQ337" s="11">
        <v>46356</v>
      </c>
      <c r="AR337" s="33" t="s">
        <v>8</v>
      </c>
      <c r="AS337" s="114"/>
      <c r="AT337" s="115"/>
      <c r="AU337" s="115"/>
      <c r="AV337" s="116"/>
      <c r="AX337" s="11">
        <v>46355</v>
      </c>
      <c r="AY337" s="33" t="s">
        <v>7</v>
      </c>
      <c r="AZ337" s="114"/>
      <c r="BA337" s="115"/>
      <c r="BB337" s="115"/>
      <c r="BC337" s="116"/>
      <c r="BE337" s="11">
        <v>46356</v>
      </c>
      <c r="BF337" s="33" t="s">
        <v>8</v>
      </c>
      <c r="BG337" s="33"/>
      <c r="BH337" s="19"/>
      <c r="BI337" s="19"/>
      <c r="BJ337" s="20"/>
      <c r="BL337" s="11">
        <v>46356</v>
      </c>
      <c r="BM337" s="33" t="s">
        <v>8</v>
      </c>
      <c r="BN337" s="114"/>
      <c r="BO337" s="115"/>
      <c r="BP337" s="115"/>
      <c r="BQ337" s="116"/>
      <c r="BS337" s="11">
        <v>46356</v>
      </c>
      <c r="BT337" s="33" t="s">
        <v>8</v>
      </c>
      <c r="BU337" s="114"/>
      <c r="BV337" s="115"/>
      <c r="BW337" s="115"/>
      <c r="BX337" s="116"/>
      <c r="BZ337" s="11">
        <v>46355</v>
      </c>
      <c r="CA337" s="33" t="s">
        <v>7</v>
      </c>
      <c r="CB337" s="114"/>
      <c r="CC337" s="115"/>
      <c r="CD337" s="115"/>
      <c r="CE337" s="116"/>
      <c r="CG337" s="11">
        <v>46356</v>
      </c>
      <c r="CH337" s="33" t="s">
        <v>8</v>
      </c>
      <c r="CI337" s="114"/>
      <c r="CJ337" s="115"/>
      <c r="CK337" s="115"/>
      <c r="CL337" s="116"/>
      <c r="CN337" s="11">
        <v>46356</v>
      </c>
      <c r="CO337" s="33" t="s">
        <v>8</v>
      </c>
      <c r="CP337" s="114"/>
      <c r="CQ337" s="115"/>
      <c r="CR337" s="115"/>
      <c r="CS337" s="116"/>
      <c r="CU337" s="11">
        <v>46356</v>
      </c>
      <c r="CV337" s="33" t="s">
        <v>8</v>
      </c>
      <c r="CW337" s="114"/>
      <c r="CX337" s="115"/>
      <c r="CY337" s="115"/>
      <c r="CZ337" s="116"/>
      <c r="DB337" s="11">
        <v>46354</v>
      </c>
      <c r="DC337" s="33" t="s">
        <v>6</v>
      </c>
      <c r="DD337" s="114"/>
      <c r="DE337" s="115"/>
      <c r="DF337" s="115"/>
      <c r="DG337" s="116"/>
      <c r="DI337" s="11">
        <v>46356</v>
      </c>
      <c r="DJ337" s="33" t="s">
        <v>8</v>
      </c>
      <c r="DK337" s="114"/>
      <c r="DL337" s="115"/>
      <c r="DM337" s="115"/>
      <c r="DN337" s="116"/>
      <c r="DP337" s="11">
        <v>46354</v>
      </c>
      <c r="DQ337" s="33" t="s">
        <v>6</v>
      </c>
      <c r="DR337" s="114"/>
      <c r="DS337" s="115"/>
      <c r="DT337" s="115"/>
      <c r="DU337" s="116"/>
      <c r="DW337" s="11">
        <v>46356</v>
      </c>
      <c r="DX337" s="33" t="s">
        <v>8</v>
      </c>
      <c r="DY337" s="114"/>
      <c r="DZ337" s="115"/>
      <c r="EA337" s="115"/>
      <c r="EB337" s="116"/>
    </row>
    <row r="338" spans="1:132" x14ac:dyDescent="0.25">
      <c r="A338" s="11">
        <v>46357</v>
      </c>
      <c r="B338" s="33" t="s">
        <v>9</v>
      </c>
      <c r="C338" s="114"/>
      <c r="D338" s="115"/>
      <c r="E338" s="115"/>
      <c r="F338" s="116"/>
      <c r="H338" s="11">
        <v>46357</v>
      </c>
      <c r="I338" s="33" t="s">
        <v>9</v>
      </c>
      <c r="J338" s="114"/>
      <c r="K338" s="115"/>
      <c r="L338" s="115"/>
      <c r="M338" s="116"/>
      <c r="O338" s="11">
        <v>46357</v>
      </c>
      <c r="P338" s="33" t="s">
        <v>9</v>
      </c>
      <c r="Q338" s="114"/>
      <c r="R338" s="115"/>
      <c r="S338" s="115"/>
      <c r="T338" s="116"/>
      <c r="V338" s="11">
        <v>46356</v>
      </c>
      <c r="W338" s="33" t="s">
        <v>8</v>
      </c>
      <c r="X338" s="114"/>
      <c r="Y338" s="115"/>
      <c r="Z338" s="115"/>
      <c r="AA338" s="116"/>
      <c r="AC338" s="11">
        <v>46357</v>
      </c>
      <c r="AD338" s="33" t="s">
        <v>9</v>
      </c>
      <c r="AE338" s="114"/>
      <c r="AF338" s="115"/>
      <c r="AG338" s="115"/>
      <c r="AH338" s="116"/>
      <c r="AJ338" s="11">
        <v>46357</v>
      </c>
      <c r="AK338" s="33" t="s">
        <v>9</v>
      </c>
      <c r="AL338" s="114"/>
      <c r="AM338" s="115"/>
      <c r="AN338" s="115"/>
      <c r="AO338" s="116"/>
      <c r="AQ338" s="11">
        <v>46357</v>
      </c>
      <c r="AR338" s="33" t="s">
        <v>9</v>
      </c>
      <c r="AS338" s="114"/>
      <c r="AT338" s="115"/>
      <c r="AU338" s="115"/>
      <c r="AV338" s="116"/>
      <c r="AX338" s="11">
        <v>46356</v>
      </c>
      <c r="AY338" s="33" t="s">
        <v>8</v>
      </c>
      <c r="AZ338" s="114"/>
      <c r="BA338" s="115"/>
      <c r="BB338" s="115"/>
      <c r="BC338" s="116"/>
      <c r="BE338" s="11">
        <v>46357</v>
      </c>
      <c r="BF338" s="33" t="s">
        <v>9</v>
      </c>
      <c r="BG338" s="33"/>
      <c r="BH338" s="19"/>
      <c r="BI338" s="19"/>
      <c r="BJ338" s="20"/>
      <c r="BL338" s="11">
        <v>46357</v>
      </c>
      <c r="BM338" s="33" t="s">
        <v>9</v>
      </c>
      <c r="BN338" s="114"/>
      <c r="BO338" s="115"/>
      <c r="BP338" s="115"/>
      <c r="BQ338" s="116"/>
      <c r="BS338" s="11">
        <v>46357</v>
      </c>
      <c r="BT338" s="33" t="s">
        <v>9</v>
      </c>
      <c r="BU338" s="114"/>
      <c r="BV338" s="115"/>
      <c r="BW338" s="115"/>
      <c r="BX338" s="116"/>
      <c r="BZ338" s="11">
        <v>46356</v>
      </c>
      <c r="CA338" s="33" t="s">
        <v>8</v>
      </c>
      <c r="CB338" s="114"/>
      <c r="CC338" s="115"/>
      <c r="CD338" s="115"/>
      <c r="CE338" s="116"/>
      <c r="CG338" s="11">
        <v>46357</v>
      </c>
      <c r="CH338" s="33" t="s">
        <v>9</v>
      </c>
      <c r="CI338" s="114"/>
      <c r="CJ338" s="115"/>
      <c r="CK338" s="115"/>
      <c r="CL338" s="116"/>
      <c r="CN338" s="11">
        <v>46357</v>
      </c>
      <c r="CO338" s="33" t="s">
        <v>9</v>
      </c>
      <c r="CP338" s="114"/>
      <c r="CQ338" s="115"/>
      <c r="CR338" s="115"/>
      <c r="CS338" s="116"/>
      <c r="CU338" s="11">
        <v>46357</v>
      </c>
      <c r="CV338" s="33" t="s">
        <v>9</v>
      </c>
      <c r="CW338" s="114"/>
      <c r="CX338" s="115"/>
      <c r="CY338" s="115"/>
      <c r="CZ338" s="116"/>
      <c r="DB338" s="11">
        <v>46355</v>
      </c>
      <c r="DC338" s="33" t="s">
        <v>7</v>
      </c>
      <c r="DD338" s="114"/>
      <c r="DE338" s="115"/>
      <c r="DF338" s="115"/>
      <c r="DG338" s="116"/>
      <c r="DI338" s="11">
        <v>46357</v>
      </c>
      <c r="DJ338" s="33" t="s">
        <v>9</v>
      </c>
      <c r="DK338" s="114"/>
      <c r="DL338" s="115"/>
      <c r="DM338" s="115"/>
      <c r="DN338" s="116"/>
      <c r="DP338" s="11">
        <v>46355</v>
      </c>
      <c r="DQ338" s="33" t="s">
        <v>7</v>
      </c>
      <c r="DR338" s="114"/>
      <c r="DS338" s="115"/>
      <c r="DT338" s="115"/>
      <c r="DU338" s="116"/>
      <c r="DW338" s="11">
        <v>46357</v>
      </c>
      <c r="DX338" s="33" t="s">
        <v>9</v>
      </c>
      <c r="DY338" s="114"/>
      <c r="DZ338" s="115"/>
      <c r="EA338" s="115"/>
      <c r="EB338" s="116"/>
    </row>
    <row r="339" spans="1:132" x14ac:dyDescent="0.25">
      <c r="A339" s="11">
        <v>46358</v>
      </c>
      <c r="B339" s="33" t="s">
        <v>3</v>
      </c>
      <c r="C339" s="114"/>
      <c r="D339" s="115"/>
      <c r="E339" s="115"/>
      <c r="F339" s="116"/>
      <c r="H339" s="11">
        <v>46358</v>
      </c>
      <c r="I339" s="33" t="s">
        <v>3</v>
      </c>
      <c r="J339" s="114"/>
      <c r="K339" s="115"/>
      <c r="L339" s="115"/>
      <c r="M339" s="116"/>
      <c r="O339" s="11">
        <v>46358</v>
      </c>
      <c r="P339" s="33" t="s">
        <v>3</v>
      </c>
      <c r="Q339" s="114"/>
      <c r="R339" s="115"/>
      <c r="S339" s="115"/>
      <c r="T339" s="116"/>
      <c r="V339" s="11">
        <v>46357</v>
      </c>
      <c r="W339" s="33" t="s">
        <v>9</v>
      </c>
      <c r="X339" s="114"/>
      <c r="Y339" s="115"/>
      <c r="Z339" s="115"/>
      <c r="AA339" s="116"/>
      <c r="AC339" s="11">
        <v>46358</v>
      </c>
      <c r="AD339" s="33" t="s">
        <v>3</v>
      </c>
      <c r="AE339" s="114"/>
      <c r="AF339" s="115"/>
      <c r="AG339" s="115"/>
      <c r="AH339" s="116"/>
      <c r="AJ339" s="11">
        <v>46358</v>
      </c>
      <c r="AK339" s="33" t="s">
        <v>3</v>
      </c>
      <c r="AL339" s="114"/>
      <c r="AM339" s="115"/>
      <c r="AN339" s="115"/>
      <c r="AO339" s="116"/>
      <c r="AQ339" s="11">
        <v>46358</v>
      </c>
      <c r="AR339" s="33" t="s">
        <v>3</v>
      </c>
      <c r="AS339" s="114"/>
      <c r="AT339" s="115"/>
      <c r="AU339" s="115"/>
      <c r="AV339" s="116"/>
      <c r="AX339" s="11">
        <v>46357</v>
      </c>
      <c r="AY339" s="33" t="s">
        <v>9</v>
      </c>
      <c r="AZ339" s="114"/>
      <c r="BA339" s="115"/>
      <c r="BB339" s="115"/>
      <c r="BC339" s="116"/>
      <c r="BE339" s="11">
        <v>46358</v>
      </c>
      <c r="BF339" s="33" t="s">
        <v>3</v>
      </c>
      <c r="BG339" s="33"/>
      <c r="BH339" s="19"/>
      <c r="BI339" s="19"/>
      <c r="BJ339" s="20"/>
      <c r="BL339" s="11">
        <v>46358</v>
      </c>
      <c r="BM339" s="33" t="s">
        <v>3</v>
      </c>
      <c r="BN339" s="114"/>
      <c r="BO339" s="115"/>
      <c r="BP339" s="115"/>
      <c r="BQ339" s="116"/>
      <c r="BS339" s="11">
        <v>46358</v>
      </c>
      <c r="BT339" s="33" t="s">
        <v>3</v>
      </c>
      <c r="BU339" s="114"/>
      <c r="BV339" s="115"/>
      <c r="BW339" s="115"/>
      <c r="BX339" s="116"/>
      <c r="BZ339" s="11">
        <v>46357</v>
      </c>
      <c r="CA339" s="33" t="s">
        <v>9</v>
      </c>
      <c r="CB339" s="114"/>
      <c r="CC339" s="115"/>
      <c r="CD339" s="115"/>
      <c r="CE339" s="116"/>
      <c r="CG339" s="11">
        <v>46358</v>
      </c>
      <c r="CH339" s="33" t="s">
        <v>3</v>
      </c>
      <c r="CI339" s="114"/>
      <c r="CJ339" s="115"/>
      <c r="CK339" s="115"/>
      <c r="CL339" s="116"/>
      <c r="CN339" s="11">
        <v>46358</v>
      </c>
      <c r="CO339" s="33" t="s">
        <v>3</v>
      </c>
      <c r="CP339" s="114"/>
      <c r="CQ339" s="115"/>
      <c r="CR339" s="115"/>
      <c r="CS339" s="116"/>
      <c r="CU339" s="11">
        <v>46358</v>
      </c>
      <c r="CV339" s="33" t="s">
        <v>3</v>
      </c>
      <c r="CW339" s="114"/>
      <c r="CX339" s="115"/>
      <c r="CY339" s="115"/>
      <c r="CZ339" s="116"/>
      <c r="DB339" s="11">
        <v>46356</v>
      </c>
      <c r="DC339" s="33" t="s">
        <v>8</v>
      </c>
      <c r="DD339" s="114"/>
      <c r="DE339" s="115"/>
      <c r="DF339" s="115"/>
      <c r="DG339" s="116"/>
      <c r="DI339" s="11">
        <v>46358</v>
      </c>
      <c r="DJ339" s="33" t="s">
        <v>3</v>
      </c>
      <c r="DK339" s="114"/>
      <c r="DL339" s="115"/>
      <c r="DM339" s="115"/>
      <c r="DN339" s="116"/>
      <c r="DP339" s="11">
        <v>46356</v>
      </c>
      <c r="DQ339" s="33" t="s">
        <v>8</v>
      </c>
      <c r="DR339" s="114"/>
      <c r="DS339" s="115"/>
      <c r="DT339" s="115"/>
      <c r="DU339" s="116"/>
      <c r="DW339" s="11">
        <v>46358</v>
      </c>
      <c r="DX339" s="33" t="s">
        <v>3</v>
      </c>
      <c r="DY339" s="114"/>
      <c r="DZ339" s="115"/>
      <c r="EA339" s="115"/>
      <c r="EB339" s="116"/>
    </row>
    <row r="340" spans="1:132" x14ac:dyDescent="0.25">
      <c r="A340" s="11">
        <v>46359</v>
      </c>
      <c r="B340" s="33" t="s">
        <v>4</v>
      </c>
      <c r="C340" s="114"/>
      <c r="D340" s="115"/>
      <c r="E340" s="115"/>
      <c r="F340" s="116"/>
      <c r="H340" s="11">
        <v>46359</v>
      </c>
      <c r="I340" s="33" t="s">
        <v>4</v>
      </c>
      <c r="J340" s="114"/>
      <c r="K340" s="115"/>
      <c r="L340" s="115"/>
      <c r="M340" s="116"/>
      <c r="O340" s="11">
        <v>46359</v>
      </c>
      <c r="P340" s="33" t="s">
        <v>4</v>
      </c>
      <c r="Q340" s="114"/>
      <c r="R340" s="115"/>
      <c r="S340" s="115"/>
      <c r="T340" s="116"/>
      <c r="V340" s="11">
        <v>46358</v>
      </c>
      <c r="W340" s="33" t="s">
        <v>3</v>
      </c>
      <c r="X340" s="114"/>
      <c r="Y340" s="115"/>
      <c r="Z340" s="115"/>
      <c r="AA340" s="116"/>
      <c r="AC340" s="11">
        <v>46359</v>
      </c>
      <c r="AD340" s="33" t="s">
        <v>4</v>
      </c>
      <c r="AE340" s="114"/>
      <c r="AF340" s="115"/>
      <c r="AG340" s="115"/>
      <c r="AH340" s="116"/>
      <c r="AJ340" s="11">
        <v>46359</v>
      </c>
      <c r="AK340" s="33" t="s">
        <v>4</v>
      </c>
      <c r="AL340" s="114"/>
      <c r="AM340" s="115"/>
      <c r="AN340" s="115"/>
      <c r="AO340" s="116"/>
      <c r="AQ340" s="11">
        <v>46359</v>
      </c>
      <c r="AR340" s="33" t="s">
        <v>4</v>
      </c>
      <c r="AS340" s="114"/>
      <c r="AT340" s="115"/>
      <c r="AU340" s="115"/>
      <c r="AV340" s="116"/>
      <c r="AX340" s="11">
        <v>46358</v>
      </c>
      <c r="AY340" s="33" t="s">
        <v>3</v>
      </c>
      <c r="AZ340" s="114"/>
      <c r="BA340" s="115"/>
      <c r="BB340" s="115"/>
      <c r="BC340" s="116"/>
      <c r="BE340" s="11">
        <v>46359</v>
      </c>
      <c r="BF340" s="33" t="s">
        <v>4</v>
      </c>
      <c r="BG340" s="33"/>
      <c r="BH340" s="19"/>
      <c r="BI340" s="19"/>
      <c r="BJ340" s="20"/>
      <c r="BL340" s="11">
        <v>46359</v>
      </c>
      <c r="BM340" s="33" t="s">
        <v>4</v>
      </c>
      <c r="BN340" s="114"/>
      <c r="BO340" s="115"/>
      <c r="BP340" s="115"/>
      <c r="BQ340" s="116"/>
      <c r="BS340" s="11">
        <v>46359</v>
      </c>
      <c r="BT340" s="33" t="s">
        <v>4</v>
      </c>
      <c r="BU340" s="114"/>
      <c r="BV340" s="115"/>
      <c r="BW340" s="115"/>
      <c r="BX340" s="116"/>
      <c r="BZ340" s="11">
        <v>46358</v>
      </c>
      <c r="CA340" s="33" t="s">
        <v>3</v>
      </c>
      <c r="CB340" s="114"/>
      <c r="CC340" s="115"/>
      <c r="CD340" s="115"/>
      <c r="CE340" s="116"/>
      <c r="CG340" s="11">
        <v>46359</v>
      </c>
      <c r="CH340" s="33" t="s">
        <v>4</v>
      </c>
      <c r="CI340" s="114"/>
      <c r="CJ340" s="115"/>
      <c r="CK340" s="115"/>
      <c r="CL340" s="116"/>
      <c r="CN340" s="11">
        <v>46359</v>
      </c>
      <c r="CO340" s="33" t="s">
        <v>4</v>
      </c>
      <c r="CP340" s="114"/>
      <c r="CQ340" s="115"/>
      <c r="CR340" s="115"/>
      <c r="CS340" s="116"/>
      <c r="CU340" s="11">
        <v>46359</v>
      </c>
      <c r="CV340" s="33" t="s">
        <v>4</v>
      </c>
      <c r="CW340" s="114"/>
      <c r="CX340" s="115"/>
      <c r="CY340" s="115"/>
      <c r="CZ340" s="116"/>
      <c r="DB340" s="11">
        <v>46357</v>
      </c>
      <c r="DC340" s="33" t="s">
        <v>9</v>
      </c>
      <c r="DD340" s="114"/>
      <c r="DE340" s="115"/>
      <c r="DF340" s="115"/>
      <c r="DG340" s="116"/>
      <c r="DI340" s="11">
        <v>46359</v>
      </c>
      <c r="DJ340" s="33" t="s">
        <v>4</v>
      </c>
      <c r="DK340" s="114"/>
      <c r="DL340" s="115"/>
      <c r="DM340" s="115"/>
      <c r="DN340" s="116"/>
      <c r="DP340" s="11">
        <v>46357</v>
      </c>
      <c r="DQ340" s="33" t="s">
        <v>9</v>
      </c>
      <c r="DR340" s="114"/>
      <c r="DS340" s="115"/>
      <c r="DT340" s="115"/>
      <c r="DU340" s="116"/>
      <c r="DW340" s="11">
        <v>46359</v>
      </c>
      <c r="DX340" s="33" t="s">
        <v>4</v>
      </c>
      <c r="DY340" s="114"/>
      <c r="DZ340" s="115"/>
      <c r="EA340" s="115"/>
      <c r="EB340" s="116"/>
    </row>
    <row r="341" spans="1:132" x14ac:dyDescent="0.25">
      <c r="A341" s="11">
        <v>46360</v>
      </c>
      <c r="B341" s="33" t="s">
        <v>5</v>
      </c>
      <c r="C341" s="114"/>
      <c r="D341" s="115"/>
      <c r="E341" s="115"/>
      <c r="F341" s="116"/>
      <c r="H341" s="11">
        <v>46360</v>
      </c>
      <c r="I341" s="33" t="s">
        <v>5</v>
      </c>
      <c r="J341" s="114"/>
      <c r="K341" s="115"/>
      <c r="L341" s="115"/>
      <c r="M341" s="116"/>
      <c r="O341" s="11">
        <v>46360</v>
      </c>
      <c r="P341" s="33" t="s">
        <v>5</v>
      </c>
      <c r="Q341" s="114"/>
      <c r="R341" s="115"/>
      <c r="S341" s="115"/>
      <c r="T341" s="116"/>
      <c r="V341" s="11">
        <v>46359</v>
      </c>
      <c r="W341" s="33" t="s">
        <v>4</v>
      </c>
      <c r="X341" s="114"/>
      <c r="Y341" s="115"/>
      <c r="Z341" s="115"/>
      <c r="AA341" s="116"/>
      <c r="AC341" s="11">
        <v>46360</v>
      </c>
      <c r="AD341" s="33" t="s">
        <v>5</v>
      </c>
      <c r="AE341" s="114"/>
      <c r="AF341" s="115"/>
      <c r="AG341" s="115"/>
      <c r="AH341" s="116"/>
      <c r="AJ341" s="11">
        <v>46360</v>
      </c>
      <c r="AK341" s="33" t="s">
        <v>5</v>
      </c>
      <c r="AL341" s="114"/>
      <c r="AM341" s="115"/>
      <c r="AN341" s="115"/>
      <c r="AO341" s="116"/>
      <c r="AQ341" s="11">
        <v>46360</v>
      </c>
      <c r="AR341" s="33" t="s">
        <v>5</v>
      </c>
      <c r="AS341" s="114"/>
      <c r="AT341" s="115"/>
      <c r="AU341" s="115"/>
      <c r="AV341" s="116"/>
      <c r="AX341" s="11">
        <v>46359</v>
      </c>
      <c r="AY341" s="33" t="s">
        <v>4</v>
      </c>
      <c r="AZ341" s="114"/>
      <c r="BA341" s="115"/>
      <c r="BB341" s="115"/>
      <c r="BC341" s="116"/>
      <c r="BE341" s="11">
        <v>46360</v>
      </c>
      <c r="BF341" s="33" t="s">
        <v>5</v>
      </c>
      <c r="BG341" s="33"/>
      <c r="BH341" s="19"/>
      <c r="BI341" s="19"/>
      <c r="BJ341" s="20"/>
      <c r="BL341" s="11">
        <v>46360</v>
      </c>
      <c r="BM341" s="33" t="s">
        <v>5</v>
      </c>
      <c r="BN341" s="114"/>
      <c r="BO341" s="115"/>
      <c r="BP341" s="115"/>
      <c r="BQ341" s="116"/>
      <c r="BS341" s="11">
        <v>46360</v>
      </c>
      <c r="BT341" s="33" t="s">
        <v>5</v>
      </c>
      <c r="BU341" s="114"/>
      <c r="BV341" s="115"/>
      <c r="BW341" s="115"/>
      <c r="BX341" s="116"/>
      <c r="BZ341" s="11">
        <v>46359</v>
      </c>
      <c r="CA341" s="33" t="s">
        <v>4</v>
      </c>
      <c r="CB341" s="114"/>
      <c r="CC341" s="115"/>
      <c r="CD341" s="115"/>
      <c r="CE341" s="116"/>
      <c r="CG341" s="11">
        <v>46360</v>
      </c>
      <c r="CH341" s="33" t="s">
        <v>5</v>
      </c>
      <c r="CI341" s="114"/>
      <c r="CJ341" s="115"/>
      <c r="CK341" s="115"/>
      <c r="CL341" s="116"/>
      <c r="CN341" s="11">
        <v>46360</v>
      </c>
      <c r="CO341" s="33" t="s">
        <v>5</v>
      </c>
      <c r="CP341" s="114"/>
      <c r="CQ341" s="115"/>
      <c r="CR341" s="115"/>
      <c r="CS341" s="116"/>
      <c r="CU341" s="11">
        <v>46360</v>
      </c>
      <c r="CV341" s="33" t="s">
        <v>5</v>
      </c>
      <c r="CW341" s="114"/>
      <c r="CX341" s="115"/>
      <c r="CY341" s="115"/>
      <c r="CZ341" s="116"/>
      <c r="DB341" s="11">
        <v>46358</v>
      </c>
      <c r="DC341" s="33" t="s">
        <v>3</v>
      </c>
      <c r="DD341" s="114"/>
      <c r="DE341" s="115"/>
      <c r="DF341" s="115"/>
      <c r="DG341" s="116"/>
      <c r="DI341" s="11">
        <v>46360</v>
      </c>
      <c r="DJ341" s="33" t="s">
        <v>5</v>
      </c>
      <c r="DK341" s="114"/>
      <c r="DL341" s="115"/>
      <c r="DM341" s="115"/>
      <c r="DN341" s="116"/>
      <c r="DP341" s="11">
        <v>46358</v>
      </c>
      <c r="DQ341" s="33" t="s">
        <v>3</v>
      </c>
      <c r="DR341" s="114"/>
      <c r="DS341" s="115"/>
      <c r="DT341" s="115"/>
      <c r="DU341" s="116"/>
      <c r="DW341" s="11">
        <v>46360</v>
      </c>
      <c r="DX341" s="33" t="s">
        <v>5</v>
      </c>
      <c r="DY341" s="114"/>
      <c r="DZ341" s="115"/>
      <c r="EA341" s="115"/>
      <c r="EB341" s="116"/>
    </row>
    <row r="342" spans="1:132" x14ac:dyDescent="0.25">
      <c r="A342" s="11">
        <v>46361</v>
      </c>
      <c r="B342" s="33" t="s">
        <v>6</v>
      </c>
      <c r="C342" s="114"/>
      <c r="D342" s="115"/>
      <c r="E342" s="115"/>
      <c r="F342" s="116"/>
      <c r="H342" s="11">
        <v>46361</v>
      </c>
      <c r="I342" s="33" t="s">
        <v>6</v>
      </c>
      <c r="J342" s="114"/>
      <c r="K342" s="115"/>
      <c r="L342" s="115"/>
      <c r="M342" s="116"/>
      <c r="O342" s="11">
        <v>46361</v>
      </c>
      <c r="P342" s="33" t="s">
        <v>6</v>
      </c>
      <c r="Q342" s="114"/>
      <c r="R342" s="115"/>
      <c r="S342" s="115"/>
      <c r="T342" s="116"/>
      <c r="V342" s="11">
        <v>46360</v>
      </c>
      <c r="W342" s="33" t="s">
        <v>5</v>
      </c>
      <c r="X342" s="114"/>
      <c r="Y342" s="115"/>
      <c r="Z342" s="115"/>
      <c r="AA342" s="116"/>
      <c r="AC342" s="11">
        <v>46361</v>
      </c>
      <c r="AD342" s="33" t="s">
        <v>6</v>
      </c>
      <c r="AE342" s="114"/>
      <c r="AF342" s="115"/>
      <c r="AG342" s="115"/>
      <c r="AH342" s="116"/>
      <c r="AJ342" s="11">
        <v>46361</v>
      </c>
      <c r="AK342" s="33" t="s">
        <v>6</v>
      </c>
      <c r="AL342" s="114"/>
      <c r="AM342" s="115"/>
      <c r="AN342" s="115"/>
      <c r="AO342" s="116"/>
      <c r="AQ342" s="11">
        <v>46361</v>
      </c>
      <c r="AR342" s="33" t="s">
        <v>6</v>
      </c>
      <c r="AS342" s="114"/>
      <c r="AT342" s="115"/>
      <c r="AU342" s="115"/>
      <c r="AV342" s="116"/>
      <c r="AX342" s="11">
        <v>46360</v>
      </c>
      <c r="AY342" s="33" t="s">
        <v>5</v>
      </c>
      <c r="AZ342" s="114"/>
      <c r="BA342" s="115"/>
      <c r="BB342" s="115"/>
      <c r="BC342" s="116"/>
      <c r="BE342" s="11">
        <v>46361</v>
      </c>
      <c r="BF342" s="33" t="s">
        <v>6</v>
      </c>
      <c r="BG342" s="33"/>
      <c r="BH342" s="19"/>
      <c r="BI342" s="19"/>
      <c r="BJ342" s="20"/>
      <c r="BL342" s="11">
        <v>46361</v>
      </c>
      <c r="BM342" s="33" t="s">
        <v>6</v>
      </c>
      <c r="BN342" s="114"/>
      <c r="BO342" s="115"/>
      <c r="BP342" s="115"/>
      <c r="BQ342" s="116"/>
      <c r="BS342" s="11">
        <v>46361</v>
      </c>
      <c r="BT342" s="33" t="s">
        <v>6</v>
      </c>
      <c r="BU342" s="114"/>
      <c r="BV342" s="115"/>
      <c r="BW342" s="115"/>
      <c r="BX342" s="116"/>
      <c r="BZ342" s="11">
        <v>46360</v>
      </c>
      <c r="CA342" s="33" t="s">
        <v>5</v>
      </c>
      <c r="CB342" s="114"/>
      <c r="CC342" s="115"/>
      <c r="CD342" s="115"/>
      <c r="CE342" s="116"/>
      <c r="CG342" s="11">
        <v>46361</v>
      </c>
      <c r="CH342" s="33" t="s">
        <v>6</v>
      </c>
      <c r="CI342" s="114"/>
      <c r="CJ342" s="115"/>
      <c r="CK342" s="115"/>
      <c r="CL342" s="116"/>
      <c r="CN342" s="11">
        <v>46361</v>
      </c>
      <c r="CO342" s="33" t="s">
        <v>6</v>
      </c>
      <c r="CP342" s="114"/>
      <c r="CQ342" s="115"/>
      <c r="CR342" s="115"/>
      <c r="CS342" s="116"/>
      <c r="CU342" s="11">
        <v>46361</v>
      </c>
      <c r="CV342" s="33" t="s">
        <v>6</v>
      </c>
      <c r="CW342" s="114"/>
      <c r="CX342" s="115"/>
      <c r="CY342" s="115"/>
      <c r="CZ342" s="116"/>
      <c r="DB342" s="11">
        <v>46359</v>
      </c>
      <c r="DC342" s="33" t="s">
        <v>4</v>
      </c>
      <c r="DD342" s="114"/>
      <c r="DE342" s="115"/>
      <c r="DF342" s="115"/>
      <c r="DG342" s="116"/>
      <c r="DI342" s="11">
        <v>46361</v>
      </c>
      <c r="DJ342" s="33" t="s">
        <v>6</v>
      </c>
      <c r="DK342" s="114"/>
      <c r="DL342" s="115"/>
      <c r="DM342" s="115"/>
      <c r="DN342" s="116"/>
      <c r="DP342" s="11">
        <v>46359</v>
      </c>
      <c r="DQ342" s="33" t="s">
        <v>4</v>
      </c>
      <c r="DR342" s="114"/>
      <c r="DS342" s="115"/>
      <c r="DT342" s="115"/>
      <c r="DU342" s="116"/>
      <c r="DW342" s="11">
        <v>46361</v>
      </c>
      <c r="DX342" s="33" t="s">
        <v>6</v>
      </c>
      <c r="DY342" s="114"/>
      <c r="DZ342" s="115"/>
      <c r="EA342" s="115"/>
      <c r="EB342" s="116"/>
    </row>
    <row r="343" spans="1:132" x14ac:dyDescent="0.25">
      <c r="A343" s="11">
        <v>46362</v>
      </c>
      <c r="B343" s="33" t="s">
        <v>7</v>
      </c>
      <c r="C343" s="114"/>
      <c r="D343" s="115"/>
      <c r="E343" s="115"/>
      <c r="F343" s="116"/>
      <c r="H343" s="11">
        <v>46362</v>
      </c>
      <c r="I343" s="33" t="s">
        <v>7</v>
      </c>
      <c r="J343" s="114"/>
      <c r="K343" s="115"/>
      <c r="L343" s="115"/>
      <c r="M343" s="116"/>
      <c r="O343" s="11">
        <v>46362</v>
      </c>
      <c r="P343" s="33" t="s">
        <v>7</v>
      </c>
      <c r="Q343" s="114"/>
      <c r="R343" s="115"/>
      <c r="S343" s="115"/>
      <c r="T343" s="116"/>
      <c r="V343" s="11">
        <v>46361</v>
      </c>
      <c r="W343" s="33" t="s">
        <v>6</v>
      </c>
      <c r="X343" s="114"/>
      <c r="Y343" s="115"/>
      <c r="Z343" s="115"/>
      <c r="AA343" s="116"/>
      <c r="AC343" s="11">
        <v>46362</v>
      </c>
      <c r="AD343" s="33" t="s">
        <v>7</v>
      </c>
      <c r="AE343" s="114"/>
      <c r="AF343" s="115"/>
      <c r="AG343" s="115"/>
      <c r="AH343" s="116"/>
      <c r="AJ343" s="11">
        <v>46362</v>
      </c>
      <c r="AK343" s="33" t="s">
        <v>7</v>
      </c>
      <c r="AL343" s="114"/>
      <c r="AM343" s="115"/>
      <c r="AN343" s="115"/>
      <c r="AO343" s="116"/>
      <c r="AQ343" s="11">
        <v>46362</v>
      </c>
      <c r="AR343" s="33" t="s">
        <v>7</v>
      </c>
      <c r="AS343" s="114"/>
      <c r="AT343" s="115"/>
      <c r="AU343" s="115"/>
      <c r="AV343" s="116"/>
      <c r="AX343" s="11">
        <v>46361</v>
      </c>
      <c r="AY343" s="33" t="s">
        <v>6</v>
      </c>
      <c r="AZ343" s="114"/>
      <c r="BA343" s="115"/>
      <c r="BB343" s="115"/>
      <c r="BC343" s="116"/>
      <c r="BE343" s="11">
        <v>46362</v>
      </c>
      <c r="BF343" s="33" t="s">
        <v>7</v>
      </c>
      <c r="BG343" s="33"/>
      <c r="BH343" s="19"/>
      <c r="BI343" s="19"/>
      <c r="BJ343" s="20"/>
      <c r="BL343" s="11">
        <v>46362</v>
      </c>
      <c r="BM343" s="33" t="s">
        <v>7</v>
      </c>
      <c r="BN343" s="114"/>
      <c r="BO343" s="115"/>
      <c r="BP343" s="115"/>
      <c r="BQ343" s="116"/>
      <c r="BS343" s="11">
        <v>46362</v>
      </c>
      <c r="BT343" s="33" t="s">
        <v>7</v>
      </c>
      <c r="BU343" s="114"/>
      <c r="BV343" s="115"/>
      <c r="BW343" s="115"/>
      <c r="BX343" s="116"/>
      <c r="BZ343" s="11">
        <v>46361</v>
      </c>
      <c r="CA343" s="33" t="s">
        <v>6</v>
      </c>
      <c r="CB343" s="114"/>
      <c r="CC343" s="115"/>
      <c r="CD343" s="115"/>
      <c r="CE343" s="116"/>
      <c r="CG343" s="11">
        <v>46362</v>
      </c>
      <c r="CH343" s="33" t="s">
        <v>7</v>
      </c>
      <c r="CI343" s="114"/>
      <c r="CJ343" s="115"/>
      <c r="CK343" s="115"/>
      <c r="CL343" s="116"/>
      <c r="CN343" s="11">
        <v>46362</v>
      </c>
      <c r="CO343" s="33" t="s">
        <v>7</v>
      </c>
      <c r="CP343" s="114"/>
      <c r="CQ343" s="115"/>
      <c r="CR343" s="115"/>
      <c r="CS343" s="116"/>
      <c r="CU343" s="11">
        <v>46362</v>
      </c>
      <c r="CV343" s="33" t="s">
        <v>7</v>
      </c>
      <c r="CW343" s="114"/>
      <c r="CX343" s="115"/>
      <c r="CY343" s="115"/>
      <c r="CZ343" s="116"/>
      <c r="DB343" s="11">
        <v>46360</v>
      </c>
      <c r="DC343" s="33" t="s">
        <v>5</v>
      </c>
      <c r="DD343" s="114"/>
      <c r="DE343" s="115"/>
      <c r="DF343" s="115"/>
      <c r="DG343" s="116"/>
      <c r="DI343" s="11">
        <v>46362</v>
      </c>
      <c r="DJ343" s="33" t="s">
        <v>7</v>
      </c>
      <c r="DK343" s="114"/>
      <c r="DL343" s="115"/>
      <c r="DM343" s="115"/>
      <c r="DN343" s="116"/>
      <c r="DP343" s="11">
        <v>46360</v>
      </c>
      <c r="DQ343" s="33" t="s">
        <v>5</v>
      </c>
      <c r="DR343" s="114"/>
      <c r="DS343" s="115"/>
      <c r="DT343" s="115"/>
      <c r="DU343" s="116"/>
      <c r="DW343" s="11">
        <v>46362</v>
      </c>
      <c r="DX343" s="33" t="s">
        <v>7</v>
      </c>
      <c r="DY343" s="114"/>
      <c r="DZ343" s="115"/>
      <c r="EA343" s="115"/>
      <c r="EB343" s="116"/>
    </row>
    <row r="344" spans="1:132" x14ac:dyDescent="0.25">
      <c r="A344" s="11">
        <v>46363</v>
      </c>
      <c r="B344" s="33" t="s">
        <v>8</v>
      </c>
      <c r="C344" s="114"/>
      <c r="D344" s="115"/>
      <c r="E344" s="115"/>
      <c r="F344" s="116"/>
      <c r="H344" s="11">
        <v>46363</v>
      </c>
      <c r="I344" s="33" t="s">
        <v>8</v>
      </c>
      <c r="J344" s="114"/>
      <c r="K344" s="115"/>
      <c r="L344" s="115"/>
      <c r="M344" s="116"/>
      <c r="O344" s="11">
        <v>46363</v>
      </c>
      <c r="P344" s="33" t="s">
        <v>8</v>
      </c>
      <c r="Q344" s="114"/>
      <c r="R344" s="115"/>
      <c r="S344" s="115"/>
      <c r="T344" s="116"/>
      <c r="V344" s="11">
        <v>46362</v>
      </c>
      <c r="W344" s="33" t="s">
        <v>7</v>
      </c>
      <c r="X344" s="114"/>
      <c r="Y344" s="115"/>
      <c r="Z344" s="115"/>
      <c r="AA344" s="116"/>
      <c r="AC344" s="11">
        <v>46363</v>
      </c>
      <c r="AD344" s="33" t="s">
        <v>8</v>
      </c>
      <c r="AE344" s="114"/>
      <c r="AF344" s="115"/>
      <c r="AG344" s="115"/>
      <c r="AH344" s="116"/>
      <c r="AJ344" s="11">
        <v>46363</v>
      </c>
      <c r="AK344" s="33" t="s">
        <v>8</v>
      </c>
      <c r="AL344" s="114"/>
      <c r="AM344" s="115"/>
      <c r="AN344" s="115"/>
      <c r="AO344" s="116"/>
      <c r="AQ344" s="11">
        <v>46363</v>
      </c>
      <c r="AR344" s="33" t="s">
        <v>8</v>
      </c>
      <c r="AS344" s="114"/>
      <c r="AT344" s="115"/>
      <c r="AU344" s="115"/>
      <c r="AV344" s="116"/>
      <c r="AX344" s="11">
        <v>46362</v>
      </c>
      <c r="AY344" s="33" t="s">
        <v>7</v>
      </c>
      <c r="AZ344" s="114"/>
      <c r="BA344" s="115"/>
      <c r="BB344" s="115"/>
      <c r="BC344" s="116"/>
      <c r="BE344" s="11">
        <v>46363</v>
      </c>
      <c r="BF344" s="33" t="s">
        <v>8</v>
      </c>
      <c r="BG344" s="33"/>
      <c r="BH344" s="19"/>
      <c r="BI344" s="19"/>
      <c r="BJ344" s="20"/>
      <c r="BL344" s="11">
        <v>46363</v>
      </c>
      <c r="BM344" s="33" t="s">
        <v>8</v>
      </c>
      <c r="BN344" s="114"/>
      <c r="BO344" s="115"/>
      <c r="BP344" s="115"/>
      <c r="BQ344" s="116"/>
      <c r="BS344" s="11">
        <v>46363</v>
      </c>
      <c r="BT344" s="33" t="s">
        <v>8</v>
      </c>
      <c r="BU344" s="114"/>
      <c r="BV344" s="115"/>
      <c r="BW344" s="115"/>
      <c r="BX344" s="116"/>
      <c r="BZ344" s="11">
        <v>46362</v>
      </c>
      <c r="CA344" s="33" t="s">
        <v>7</v>
      </c>
      <c r="CB344" s="114"/>
      <c r="CC344" s="115"/>
      <c r="CD344" s="115"/>
      <c r="CE344" s="116"/>
      <c r="CG344" s="11">
        <v>46363</v>
      </c>
      <c r="CH344" s="33" t="s">
        <v>8</v>
      </c>
      <c r="CI344" s="114"/>
      <c r="CJ344" s="115"/>
      <c r="CK344" s="115"/>
      <c r="CL344" s="116"/>
      <c r="CN344" s="11">
        <v>46363</v>
      </c>
      <c r="CO344" s="33" t="s">
        <v>8</v>
      </c>
      <c r="CP344" s="114"/>
      <c r="CQ344" s="115"/>
      <c r="CR344" s="115"/>
      <c r="CS344" s="116"/>
      <c r="CU344" s="11">
        <v>46363</v>
      </c>
      <c r="CV344" s="33" t="s">
        <v>8</v>
      </c>
      <c r="CW344" s="114"/>
      <c r="CX344" s="115"/>
      <c r="CY344" s="115"/>
      <c r="CZ344" s="116"/>
      <c r="DB344" s="11">
        <v>46361</v>
      </c>
      <c r="DC344" s="33" t="s">
        <v>6</v>
      </c>
      <c r="DD344" s="114"/>
      <c r="DE344" s="115"/>
      <c r="DF344" s="115"/>
      <c r="DG344" s="116"/>
      <c r="DI344" s="11">
        <v>46363</v>
      </c>
      <c r="DJ344" s="33" t="s">
        <v>8</v>
      </c>
      <c r="DK344" s="114"/>
      <c r="DL344" s="115"/>
      <c r="DM344" s="115"/>
      <c r="DN344" s="116"/>
      <c r="DP344" s="11">
        <v>46361</v>
      </c>
      <c r="DQ344" s="33" t="s">
        <v>6</v>
      </c>
      <c r="DR344" s="114"/>
      <c r="DS344" s="115"/>
      <c r="DT344" s="115"/>
      <c r="DU344" s="116"/>
      <c r="DW344" s="11">
        <v>46363</v>
      </c>
      <c r="DX344" s="33" t="s">
        <v>8</v>
      </c>
      <c r="DY344" s="114"/>
      <c r="DZ344" s="115"/>
      <c r="EA344" s="115"/>
      <c r="EB344" s="116"/>
    </row>
    <row r="345" spans="1:132" x14ac:dyDescent="0.25">
      <c r="A345" s="11">
        <v>46364</v>
      </c>
      <c r="B345" s="33" t="s">
        <v>9</v>
      </c>
      <c r="C345" s="114"/>
      <c r="D345" s="115"/>
      <c r="E345" s="115"/>
      <c r="F345" s="116"/>
      <c r="H345" s="11">
        <v>46364</v>
      </c>
      <c r="I345" s="33" t="s">
        <v>9</v>
      </c>
      <c r="J345" s="114"/>
      <c r="K345" s="115"/>
      <c r="L345" s="115"/>
      <c r="M345" s="116"/>
      <c r="O345" s="11">
        <v>46364</v>
      </c>
      <c r="P345" s="33" t="s">
        <v>9</v>
      </c>
      <c r="Q345" s="114"/>
      <c r="R345" s="115"/>
      <c r="S345" s="115"/>
      <c r="T345" s="116"/>
      <c r="V345" s="11">
        <v>46363</v>
      </c>
      <c r="W345" s="33" t="s">
        <v>8</v>
      </c>
      <c r="X345" s="114"/>
      <c r="Y345" s="115"/>
      <c r="Z345" s="115"/>
      <c r="AA345" s="116"/>
      <c r="AC345" s="11">
        <v>46364</v>
      </c>
      <c r="AD345" s="33" t="s">
        <v>9</v>
      </c>
      <c r="AE345" s="114"/>
      <c r="AF345" s="115"/>
      <c r="AG345" s="115"/>
      <c r="AH345" s="116"/>
      <c r="AJ345" s="11">
        <v>46364</v>
      </c>
      <c r="AK345" s="33" t="s">
        <v>9</v>
      </c>
      <c r="AL345" s="114"/>
      <c r="AM345" s="115"/>
      <c r="AN345" s="115"/>
      <c r="AO345" s="116"/>
      <c r="AQ345" s="11">
        <v>46364</v>
      </c>
      <c r="AR345" s="33" t="s">
        <v>9</v>
      </c>
      <c r="AS345" s="114"/>
      <c r="AT345" s="115"/>
      <c r="AU345" s="115"/>
      <c r="AV345" s="116"/>
      <c r="AX345" s="11">
        <v>46363</v>
      </c>
      <c r="AY345" s="33" t="s">
        <v>8</v>
      </c>
      <c r="AZ345" s="114"/>
      <c r="BA345" s="115"/>
      <c r="BB345" s="115"/>
      <c r="BC345" s="116"/>
      <c r="BE345" s="11">
        <v>46364</v>
      </c>
      <c r="BF345" s="33" t="s">
        <v>9</v>
      </c>
      <c r="BG345" s="33"/>
      <c r="BH345" s="19"/>
      <c r="BI345" s="19"/>
      <c r="BJ345" s="20"/>
      <c r="BL345" s="11">
        <v>46364</v>
      </c>
      <c r="BM345" s="33" t="s">
        <v>9</v>
      </c>
      <c r="BN345" s="114"/>
      <c r="BO345" s="115"/>
      <c r="BP345" s="115"/>
      <c r="BQ345" s="116"/>
      <c r="BS345" s="11">
        <v>46364</v>
      </c>
      <c r="BT345" s="33" t="s">
        <v>9</v>
      </c>
      <c r="BU345" s="114"/>
      <c r="BV345" s="115"/>
      <c r="BW345" s="115"/>
      <c r="BX345" s="116"/>
      <c r="BZ345" s="11">
        <v>46363</v>
      </c>
      <c r="CA345" s="33" t="s">
        <v>8</v>
      </c>
      <c r="CB345" s="114"/>
      <c r="CC345" s="115"/>
      <c r="CD345" s="115"/>
      <c r="CE345" s="116"/>
      <c r="CG345" s="11">
        <v>46364</v>
      </c>
      <c r="CH345" s="33" t="s">
        <v>9</v>
      </c>
      <c r="CI345" s="114"/>
      <c r="CJ345" s="115"/>
      <c r="CK345" s="115"/>
      <c r="CL345" s="116"/>
      <c r="CN345" s="11">
        <v>46364</v>
      </c>
      <c r="CO345" s="33" t="s">
        <v>9</v>
      </c>
      <c r="CP345" s="114"/>
      <c r="CQ345" s="115"/>
      <c r="CR345" s="115"/>
      <c r="CS345" s="116"/>
      <c r="CU345" s="11">
        <v>46364</v>
      </c>
      <c r="CV345" s="33" t="s">
        <v>9</v>
      </c>
      <c r="CW345" s="114"/>
      <c r="CX345" s="115"/>
      <c r="CY345" s="115"/>
      <c r="CZ345" s="116"/>
      <c r="DB345" s="11">
        <v>46362</v>
      </c>
      <c r="DC345" s="33" t="s">
        <v>7</v>
      </c>
      <c r="DD345" s="114"/>
      <c r="DE345" s="115"/>
      <c r="DF345" s="115"/>
      <c r="DG345" s="116"/>
      <c r="DI345" s="11">
        <v>46364</v>
      </c>
      <c r="DJ345" s="33" t="s">
        <v>9</v>
      </c>
      <c r="DK345" s="114"/>
      <c r="DL345" s="115"/>
      <c r="DM345" s="115"/>
      <c r="DN345" s="116"/>
      <c r="DP345" s="11">
        <v>46362</v>
      </c>
      <c r="DQ345" s="33" t="s">
        <v>7</v>
      </c>
      <c r="DR345" s="114"/>
      <c r="DS345" s="115"/>
      <c r="DT345" s="115"/>
      <c r="DU345" s="116"/>
      <c r="DW345" s="11">
        <v>46364</v>
      </c>
      <c r="DX345" s="33" t="s">
        <v>9</v>
      </c>
      <c r="DY345" s="114"/>
      <c r="DZ345" s="115"/>
      <c r="EA345" s="115"/>
      <c r="EB345" s="116"/>
    </row>
    <row r="346" spans="1:132" x14ac:dyDescent="0.25">
      <c r="A346" s="11">
        <v>46365</v>
      </c>
      <c r="B346" s="33" t="s">
        <v>3</v>
      </c>
      <c r="C346" s="114"/>
      <c r="D346" s="115"/>
      <c r="E346" s="115"/>
      <c r="F346" s="116"/>
      <c r="H346" s="11">
        <v>46365</v>
      </c>
      <c r="I346" s="33" t="s">
        <v>3</v>
      </c>
      <c r="J346" s="114"/>
      <c r="K346" s="115"/>
      <c r="L346" s="115"/>
      <c r="M346" s="116"/>
      <c r="O346" s="11">
        <v>46365</v>
      </c>
      <c r="P346" s="33" t="s">
        <v>3</v>
      </c>
      <c r="Q346" s="114"/>
      <c r="R346" s="115"/>
      <c r="S346" s="115"/>
      <c r="T346" s="116"/>
      <c r="V346" s="11">
        <v>46364</v>
      </c>
      <c r="W346" s="33" t="s">
        <v>9</v>
      </c>
      <c r="X346" s="114"/>
      <c r="Y346" s="115"/>
      <c r="Z346" s="115"/>
      <c r="AA346" s="116"/>
      <c r="AC346" s="11">
        <v>46365</v>
      </c>
      <c r="AD346" s="33" t="s">
        <v>3</v>
      </c>
      <c r="AE346" s="114"/>
      <c r="AF346" s="115"/>
      <c r="AG346" s="115"/>
      <c r="AH346" s="116"/>
      <c r="AJ346" s="11">
        <v>46365</v>
      </c>
      <c r="AK346" s="33" t="s">
        <v>3</v>
      </c>
      <c r="AL346" s="114"/>
      <c r="AM346" s="115"/>
      <c r="AN346" s="115"/>
      <c r="AO346" s="116"/>
      <c r="AQ346" s="11">
        <v>46365</v>
      </c>
      <c r="AR346" s="33" t="s">
        <v>3</v>
      </c>
      <c r="AS346" s="114"/>
      <c r="AT346" s="115"/>
      <c r="AU346" s="115"/>
      <c r="AV346" s="116"/>
      <c r="AX346" s="11">
        <v>46364</v>
      </c>
      <c r="AY346" s="33" t="s">
        <v>9</v>
      </c>
      <c r="AZ346" s="114"/>
      <c r="BA346" s="115"/>
      <c r="BB346" s="115"/>
      <c r="BC346" s="116"/>
      <c r="BE346" s="11">
        <v>46365</v>
      </c>
      <c r="BF346" s="33" t="s">
        <v>3</v>
      </c>
      <c r="BG346" s="33"/>
      <c r="BH346" s="19"/>
      <c r="BI346" s="19"/>
      <c r="BJ346" s="20"/>
      <c r="BL346" s="11">
        <v>46365</v>
      </c>
      <c r="BM346" s="33" t="s">
        <v>3</v>
      </c>
      <c r="BN346" s="114"/>
      <c r="BO346" s="115"/>
      <c r="BP346" s="115"/>
      <c r="BQ346" s="116"/>
      <c r="BS346" s="11">
        <v>46365</v>
      </c>
      <c r="BT346" s="33" t="s">
        <v>3</v>
      </c>
      <c r="BU346" s="114"/>
      <c r="BV346" s="115"/>
      <c r="BW346" s="115"/>
      <c r="BX346" s="116"/>
      <c r="BZ346" s="11">
        <v>46364</v>
      </c>
      <c r="CA346" s="33" t="s">
        <v>9</v>
      </c>
      <c r="CB346" s="114"/>
      <c r="CC346" s="115"/>
      <c r="CD346" s="115"/>
      <c r="CE346" s="116"/>
      <c r="CG346" s="11">
        <v>46365</v>
      </c>
      <c r="CH346" s="33" t="s">
        <v>3</v>
      </c>
      <c r="CI346" s="114"/>
      <c r="CJ346" s="115"/>
      <c r="CK346" s="115"/>
      <c r="CL346" s="116"/>
      <c r="CN346" s="11">
        <v>46365</v>
      </c>
      <c r="CO346" s="33" t="s">
        <v>3</v>
      </c>
      <c r="CP346" s="114"/>
      <c r="CQ346" s="115"/>
      <c r="CR346" s="115"/>
      <c r="CS346" s="116"/>
      <c r="CU346" s="11">
        <v>46365</v>
      </c>
      <c r="CV346" s="33" t="s">
        <v>3</v>
      </c>
      <c r="CW346" s="114"/>
      <c r="CX346" s="115"/>
      <c r="CY346" s="115"/>
      <c r="CZ346" s="116"/>
      <c r="DB346" s="11">
        <v>46363</v>
      </c>
      <c r="DC346" s="33" t="s">
        <v>8</v>
      </c>
      <c r="DD346" s="114"/>
      <c r="DE346" s="115"/>
      <c r="DF346" s="115"/>
      <c r="DG346" s="116"/>
      <c r="DI346" s="11">
        <v>46365</v>
      </c>
      <c r="DJ346" s="33" t="s">
        <v>3</v>
      </c>
      <c r="DK346" s="114"/>
      <c r="DL346" s="115"/>
      <c r="DM346" s="115"/>
      <c r="DN346" s="116"/>
      <c r="DP346" s="11">
        <v>46363</v>
      </c>
      <c r="DQ346" s="33" t="s">
        <v>8</v>
      </c>
      <c r="DR346" s="114"/>
      <c r="DS346" s="115"/>
      <c r="DT346" s="115"/>
      <c r="DU346" s="116"/>
      <c r="DW346" s="11">
        <v>46365</v>
      </c>
      <c r="DX346" s="33" t="s">
        <v>3</v>
      </c>
      <c r="DY346" s="114"/>
      <c r="DZ346" s="115"/>
      <c r="EA346" s="115"/>
      <c r="EB346" s="116"/>
    </row>
    <row r="347" spans="1:132" x14ac:dyDescent="0.25">
      <c r="A347" s="11">
        <v>46366</v>
      </c>
      <c r="B347" s="33" t="s">
        <v>4</v>
      </c>
      <c r="C347" s="114"/>
      <c r="D347" s="115"/>
      <c r="E347" s="115"/>
      <c r="F347" s="116"/>
      <c r="H347" s="11">
        <v>46366</v>
      </c>
      <c r="I347" s="33" t="s">
        <v>4</v>
      </c>
      <c r="J347" s="114"/>
      <c r="K347" s="115"/>
      <c r="L347" s="115"/>
      <c r="M347" s="116"/>
      <c r="O347" s="11">
        <v>46366</v>
      </c>
      <c r="P347" s="33" t="s">
        <v>4</v>
      </c>
      <c r="Q347" s="114"/>
      <c r="R347" s="115"/>
      <c r="S347" s="115"/>
      <c r="T347" s="116"/>
      <c r="V347" s="11">
        <v>46365</v>
      </c>
      <c r="W347" s="33" t="s">
        <v>3</v>
      </c>
      <c r="X347" s="114"/>
      <c r="Y347" s="115"/>
      <c r="Z347" s="115"/>
      <c r="AA347" s="116"/>
      <c r="AC347" s="11">
        <v>46366</v>
      </c>
      <c r="AD347" s="33" t="s">
        <v>4</v>
      </c>
      <c r="AE347" s="114"/>
      <c r="AF347" s="115"/>
      <c r="AG347" s="115"/>
      <c r="AH347" s="116"/>
      <c r="AJ347" s="11">
        <v>46366</v>
      </c>
      <c r="AK347" s="33" t="s">
        <v>4</v>
      </c>
      <c r="AL347" s="114"/>
      <c r="AM347" s="115"/>
      <c r="AN347" s="115"/>
      <c r="AO347" s="116"/>
      <c r="AQ347" s="11">
        <v>46366</v>
      </c>
      <c r="AR347" s="33" t="s">
        <v>4</v>
      </c>
      <c r="AS347" s="114"/>
      <c r="AT347" s="115"/>
      <c r="AU347" s="115"/>
      <c r="AV347" s="116"/>
      <c r="AX347" s="11">
        <v>46365</v>
      </c>
      <c r="AY347" s="33" t="s">
        <v>3</v>
      </c>
      <c r="AZ347" s="114"/>
      <c r="BA347" s="115"/>
      <c r="BB347" s="115"/>
      <c r="BC347" s="116"/>
      <c r="BE347" s="11">
        <v>46366</v>
      </c>
      <c r="BF347" s="33" t="s">
        <v>4</v>
      </c>
      <c r="BG347" s="33"/>
      <c r="BH347" s="19"/>
      <c r="BI347" s="19"/>
      <c r="BJ347" s="20"/>
      <c r="BL347" s="11">
        <v>46366</v>
      </c>
      <c r="BM347" s="33" t="s">
        <v>4</v>
      </c>
      <c r="BN347" s="114"/>
      <c r="BO347" s="115"/>
      <c r="BP347" s="115"/>
      <c r="BQ347" s="116"/>
      <c r="BS347" s="11">
        <v>46366</v>
      </c>
      <c r="BT347" s="33" t="s">
        <v>4</v>
      </c>
      <c r="BU347" s="114"/>
      <c r="BV347" s="115"/>
      <c r="BW347" s="115"/>
      <c r="BX347" s="116"/>
      <c r="BZ347" s="11">
        <v>46365</v>
      </c>
      <c r="CA347" s="33" t="s">
        <v>3</v>
      </c>
      <c r="CB347" s="114"/>
      <c r="CC347" s="115"/>
      <c r="CD347" s="115"/>
      <c r="CE347" s="116"/>
      <c r="CG347" s="11">
        <v>46366</v>
      </c>
      <c r="CH347" s="33" t="s">
        <v>4</v>
      </c>
      <c r="CI347" s="114"/>
      <c r="CJ347" s="115"/>
      <c r="CK347" s="115"/>
      <c r="CL347" s="116"/>
      <c r="CN347" s="11">
        <v>46366</v>
      </c>
      <c r="CO347" s="33" t="s">
        <v>4</v>
      </c>
      <c r="CP347" s="114"/>
      <c r="CQ347" s="115"/>
      <c r="CR347" s="115"/>
      <c r="CS347" s="116"/>
      <c r="CU347" s="11">
        <v>46366</v>
      </c>
      <c r="CV347" s="33" t="s">
        <v>4</v>
      </c>
      <c r="CW347" s="114"/>
      <c r="CX347" s="115"/>
      <c r="CY347" s="115"/>
      <c r="CZ347" s="116"/>
      <c r="DB347" s="11">
        <v>46364</v>
      </c>
      <c r="DC347" s="33" t="s">
        <v>9</v>
      </c>
      <c r="DD347" s="114"/>
      <c r="DE347" s="115"/>
      <c r="DF347" s="115"/>
      <c r="DG347" s="116"/>
      <c r="DI347" s="11">
        <v>46366</v>
      </c>
      <c r="DJ347" s="33" t="s">
        <v>4</v>
      </c>
      <c r="DK347" s="114"/>
      <c r="DL347" s="115"/>
      <c r="DM347" s="115"/>
      <c r="DN347" s="116"/>
      <c r="DP347" s="11">
        <v>46364</v>
      </c>
      <c r="DQ347" s="33" t="s">
        <v>9</v>
      </c>
      <c r="DR347" s="114"/>
      <c r="DS347" s="115"/>
      <c r="DT347" s="115"/>
      <c r="DU347" s="116"/>
      <c r="DW347" s="11">
        <v>46366</v>
      </c>
      <c r="DX347" s="33" t="s">
        <v>4</v>
      </c>
      <c r="DY347" s="114"/>
      <c r="DZ347" s="115"/>
      <c r="EA347" s="115"/>
      <c r="EB347" s="116"/>
    </row>
    <row r="348" spans="1:132" x14ac:dyDescent="0.25">
      <c r="A348" s="11">
        <v>46367</v>
      </c>
      <c r="B348" s="33" t="s">
        <v>5</v>
      </c>
      <c r="C348" s="114"/>
      <c r="D348" s="115"/>
      <c r="E348" s="115"/>
      <c r="F348" s="116"/>
      <c r="H348" s="11">
        <v>46367</v>
      </c>
      <c r="I348" s="33" t="s">
        <v>5</v>
      </c>
      <c r="J348" s="114"/>
      <c r="K348" s="115"/>
      <c r="L348" s="115"/>
      <c r="M348" s="116"/>
      <c r="O348" s="11">
        <v>46367</v>
      </c>
      <c r="P348" s="33" t="s">
        <v>5</v>
      </c>
      <c r="Q348" s="114"/>
      <c r="R348" s="115"/>
      <c r="S348" s="115"/>
      <c r="T348" s="116"/>
      <c r="V348" s="11">
        <v>46366</v>
      </c>
      <c r="W348" s="33" t="s">
        <v>4</v>
      </c>
      <c r="X348" s="114"/>
      <c r="Y348" s="115"/>
      <c r="Z348" s="115"/>
      <c r="AA348" s="116"/>
      <c r="AC348" s="11">
        <v>46367</v>
      </c>
      <c r="AD348" s="33" t="s">
        <v>5</v>
      </c>
      <c r="AE348" s="114"/>
      <c r="AF348" s="115"/>
      <c r="AG348" s="115"/>
      <c r="AH348" s="116"/>
      <c r="AJ348" s="11">
        <v>46367</v>
      </c>
      <c r="AK348" s="33" t="s">
        <v>5</v>
      </c>
      <c r="AL348" s="114"/>
      <c r="AM348" s="115"/>
      <c r="AN348" s="115"/>
      <c r="AO348" s="116"/>
      <c r="AQ348" s="11">
        <v>46367</v>
      </c>
      <c r="AR348" s="33" t="s">
        <v>5</v>
      </c>
      <c r="AS348" s="114"/>
      <c r="AT348" s="115"/>
      <c r="AU348" s="115"/>
      <c r="AV348" s="116"/>
      <c r="AX348" s="11">
        <v>46366</v>
      </c>
      <c r="AY348" s="33" t="s">
        <v>4</v>
      </c>
      <c r="AZ348" s="114"/>
      <c r="BA348" s="115"/>
      <c r="BB348" s="115"/>
      <c r="BC348" s="116"/>
      <c r="BE348" s="11">
        <v>46367</v>
      </c>
      <c r="BF348" s="33" t="s">
        <v>5</v>
      </c>
      <c r="BG348" s="33"/>
      <c r="BH348" s="19"/>
      <c r="BI348" s="19"/>
      <c r="BJ348" s="20"/>
      <c r="BL348" s="11">
        <v>46367</v>
      </c>
      <c r="BM348" s="33" t="s">
        <v>5</v>
      </c>
      <c r="BN348" s="114"/>
      <c r="BO348" s="115"/>
      <c r="BP348" s="115"/>
      <c r="BQ348" s="116"/>
      <c r="BS348" s="11">
        <v>46367</v>
      </c>
      <c r="BT348" s="33" t="s">
        <v>5</v>
      </c>
      <c r="BU348" s="114"/>
      <c r="BV348" s="115"/>
      <c r="BW348" s="115"/>
      <c r="BX348" s="116"/>
      <c r="BZ348" s="11">
        <v>46366</v>
      </c>
      <c r="CA348" s="33" t="s">
        <v>4</v>
      </c>
      <c r="CB348" s="114"/>
      <c r="CC348" s="115"/>
      <c r="CD348" s="115"/>
      <c r="CE348" s="116"/>
      <c r="CG348" s="11">
        <v>46367</v>
      </c>
      <c r="CH348" s="33" t="s">
        <v>5</v>
      </c>
      <c r="CI348" s="114"/>
      <c r="CJ348" s="115"/>
      <c r="CK348" s="115"/>
      <c r="CL348" s="116"/>
      <c r="CN348" s="11">
        <v>46367</v>
      </c>
      <c r="CO348" s="33" t="s">
        <v>5</v>
      </c>
      <c r="CP348" s="114"/>
      <c r="CQ348" s="115"/>
      <c r="CR348" s="115"/>
      <c r="CS348" s="116"/>
      <c r="CU348" s="11">
        <v>46367</v>
      </c>
      <c r="CV348" s="33" t="s">
        <v>5</v>
      </c>
      <c r="CW348" s="114"/>
      <c r="CX348" s="115"/>
      <c r="CY348" s="115"/>
      <c r="CZ348" s="116"/>
      <c r="DB348" s="11">
        <v>46365</v>
      </c>
      <c r="DC348" s="33" t="s">
        <v>3</v>
      </c>
      <c r="DD348" s="114"/>
      <c r="DE348" s="115"/>
      <c r="DF348" s="115"/>
      <c r="DG348" s="116"/>
      <c r="DI348" s="11">
        <v>46367</v>
      </c>
      <c r="DJ348" s="33" t="s">
        <v>5</v>
      </c>
      <c r="DK348" s="114"/>
      <c r="DL348" s="115"/>
      <c r="DM348" s="115"/>
      <c r="DN348" s="116"/>
      <c r="DP348" s="11">
        <v>46365</v>
      </c>
      <c r="DQ348" s="33" t="s">
        <v>3</v>
      </c>
      <c r="DR348" s="114"/>
      <c r="DS348" s="115"/>
      <c r="DT348" s="115"/>
      <c r="DU348" s="116"/>
      <c r="DW348" s="11">
        <v>46367</v>
      </c>
      <c r="DX348" s="33" t="s">
        <v>5</v>
      </c>
      <c r="DY348" s="114"/>
      <c r="DZ348" s="115"/>
      <c r="EA348" s="115"/>
      <c r="EB348" s="116"/>
    </row>
    <row r="349" spans="1:132" x14ac:dyDescent="0.25">
      <c r="A349" s="11">
        <v>46368</v>
      </c>
      <c r="B349" s="33" t="s">
        <v>6</v>
      </c>
      <c r="C349" s="114"/>
      <c r="D349" s="115"/>
      <c r="E349" s="115"/>
      <c r="F349" s="116"/>
      <c r="H349" s="11">
        <v>46368</v>
      </c>
      <c r="I349" s="33" t="s">
        <v>6</v>
      </c>
      <c r="J349" s="114"/>
      <c r="K349" s="115"/>
      <c r="L349" s="115"/>
      <c r="M349" s="116"/>
      <c r="O349" s="11">
        <v>46368</v>
      </c>
      <c r="P349" s="33" t="s">
        <v>6</v>
      </c>
      <c r="Q349" s="114"/>
      <c r="R349" s="115"/>
      <c r="S349" s="115"/>
      <c r="T349" s="116"/>
      <c r="V349" s="11">
        <v>46367</v>
      </c>
      <c r="W349" s="33" t="s">
        <v>5</v>
      </c>
      <c r="X349" s="114"/>
      <c r="Y349" s="115"/>
      <c r="Z349" s="115"/>
      <c r="AA349" s="116"/>
      <c r="AC349" s="11">
        <v>46368</v>
      </c>
      <c r="AD349" s="33" t="s">
        <v>6</v>
      </c>
      <c r="AE349" s="114"/>
      <c r="AF349" s="115"/>
      <c r="AG349" s="115"/>
      <c r="AH349" s="116"/>
      <c r="AJ349" s="11">
        <v>46368</v>
      </c>
      <c r="AK349" s="33" t="s">
        <v>6</v>
      </c>
      <c r="AL349" s="114"/>
      <c r="AM349" s="115"/>
      <c r="AN349" s="115"/>
      <c r="AO349" s="116"/>
      <c r="AQ349" s="11">
        <v>46368</v>
      </c>
      <c r="AR349" s="33" t="s">
        <v>6</v>
      </c>
      <c r="AS349" s="114"/>
      <c r="AT349" s="115"/>
      <c r="AU349" s="115"/>
      <c r="AV349" s="116"/>
      <c r="AX349" s="11">
        <v>46367</v>
      </c>
      <c r="AY349" s="33" t="s">
        <v>5</v>
      </c>
      <c r="AZ349" s="114"/>
      <c r="BA349" s="115"/>
      <c r="BB349" s="115"/>
      <c r="BC349" s="116"/>
      <c r="BE349" s="11">
        <v>46368</v>
      </c>
      <c r="BF349" s="33" t="s">
        <v>6</v>
      </c>
      <c r="BG349" s="33"/>
      <c r="BH349" s="19"/>
      <c r="BI349" s="19"/>
      <c r="BJ349" s="20"/>
      <c r="BL349" s="11">
        <v>46368</v>
      </c>
      <c r="BM349" s="33" t="s">
        <v>6</v>
      </c>
      <c r="BN349" s="114"/>
      <c r="BO349" s="115"/>
      <c r="BP349" s="115"/>
      <c r="BQ349" s="116"/>
      <c r="BS349" s="11">
        <v>46368</v>
      </c>
      <c r="BT349" s="33" t="s">
        <v>6</v>
      </c>
      <c r="BU349" s="114"/>
      <c r="BV349" s="115"/>
      <c r="BW349" s="115"/>
      <c r="BX349" s="116"/>
      <c r="BZ349" s="11">
        <v>46367</v>
      </c>
      <c r="CA349" s="33" t="s">
        <v>5</v>
      </c>
      <c r="CB349" s="114"/>
      <c r="CC349" s="115"/>
      <c r="CD349" s="115"/>
      <c r="CE349" s="116"/>
      <c r="CG349" s="11">
        <v>46368</v>
      </c>
      <c r="CH349" s="33" t="s">
        <v>6</v>
      </c>
      <c r="CI349" s="114"/>
      <c r="CJ349" s="115"/>
      <c r="CK349" s="115"/>
      <c r="CL349" s="116"/>
      <c r="CN349" s="11">
        <v>46368</v>
      </c>
      <c r="CO349" s="33" t="s">
        <v>6</v>
      </c>
      <c r="CP349" s="114"/>
      <c r="CQ349" s="115"/>
      <c r="CR349" s="115"/>
      <c r="CS349" s="116"/>
      <c r="CU349" s="11">
        <v>46368</v>
      </c>
      <c r="CV349" s="33" t="s">
        <v>6</v>
      </c>
      <c r="CW349" s="114"/>
      <c r="CX349" s="115"/>
      <c r="CY349" s="115"/>
      <c r="CZ349" s="116"/>
      <c r="DB349" s="11">
        <v>46366</v>
      </c>
      <c r="DC349" s="33" t="s">
        <v>4</v>
      </c>
      <c r="DD349" s="114"/>
      <c r="DE349" s="115"/>
      <c r="DF349" s="115"/>
      <c r="DG349" s="116"/>
      <c r="DI349" s="11">
        <v>46368</v>
      </c>
      <c r="DJ349" s="33" t="s">
        <v>6</v>
      </c>
      <c r="DK349" s="114"/>
      <c r="DL349" s="115"/>
      <c r="DM349" s="115"/>
      <c r="DN349" s="116"/>
      <c r="DP349" s="11">
        <v>46366</v>
      </c>
      <c r="DQ349" s="33" t="s">
        <v>4</v>
      </c>
      <c r="DR349" s="114"/>
      <c r="DS349" s="115"/>
      <c r="DT349" s="115"/>
      <c r="DU349" s="116"/>
      <c r="DW349" s="11">
        <v>46368</v>
      </c>
      <c r="DX349" s="33" t="s">
        <v>6</v>
      </c>
      <c r="DY349" s="114"/>
      <c r="DZ349" s="115"/>
      <c r="EA349" s="115"/>
      <c r="EB349" s="116"/>
    </row>
    <row r="350" spans="1:132" x14ac:dyDescent="0.25">
      <c r="A350" s="11">
        <v>46369</v>
      </c>
      <c r="B350" s="33" t="s">
        <v>7</v>
      </c>
      <c r="C350" s="114"/>
      <c r="D350" s="115"/>
      <c r="E350" s="115"/>
      <c r="F350" s="116"/>
      <c r="H350" s="11">
        <v>46369</v>
      </c>
      <c r="I350" s="33" t="s">
        <v>7</v>
      </c>
      <c r="J350" s="114"/>
      <c r="K350" s="115"/>
      <c r="L350" s="115"/>
      <c r="M350" s="116"/>
      <c r="O350" s="11">
        <v>46369</v>
      </c>
      <c r="P350" s="33" t="s">
        <v>7</v>
      </c>
      <c r="Q350" s="114"/>
      <c r="R350" s="115"/>
      <c r="S350" s="115"/>
      <c r="T350" s="116"/>
      <c r="V350" s="11">
        <v>46368</v>
      </c>
      <c r="W350" s="33" t="s">
        <v>6</v>
      </c>
      <c r="X350" s="114"/>
      <c r="Y350" s="115"/>
      <c r="Z350" s="115"/>
      <c r="AA350" s="116"/>
      <c r="AC350" s="11">
        <v>46369</v>
      </c>
      <c r="AD350" s="33" t="s">
        <v>7</v>
      </c>
      <c r="AE350" s="114"/>
      <c r="AF350" s="115"/>
      <c r="AG350" s="115"/>
      <c r="AH350" s="116"/>
      <c r="AJ350" s="11">
        <v>46369</v>
      </c>
      <c r="AK350" s="33" t="s">
        <v>7</v>
      </c>
      <c r="AL350" s="114"/>
      <c r="AM350" s="115"/>
      <c r="AN350" s="115"/>
      <c r="AO350" s="116"/>
      <c r="AQ350" s="11">
        <v>46369</v>
      </c>
      <c r="AR350" s="33" t="s">
        <v>7</v>
      </c>
      <c r="AS350" s="114"/>
      <c r="AT350" s="115"/>
      <c r="AU350" s="115"/>
      <c r="AV350" s="116"/>
      <c r="AX350" s="11">
        <v>46368</v>
      </c>
      <c r="AY350" s="33" t="s">
        <v>6</v>
      </c>
      <c r="AZ350" s="114"/>
      <c r="BA350" s="115"/>
      <c r="BB350" s="115"/>
      <c r="BC350" s="116"/>
      <c r="BE350" s="11">
        <v>46369</v>
      </c>
      <c r="BF350" s="33" t="s">
        <v>7</v>
      </c>
      <c r="BG350" s="33"/>
      <c r="BH350" s="19"/>
      <c r="BI350" s="19"/>
      <c r="BJ350" s="20"/>
      <c r="BL350" s="11">
        <v>46369</v>
      </c>
      <c r="BM350" s="33" t="s">
        <v>7</v>
      </c>
      <c r="BN350" s="114"/>
      <c r="BO350" s="115"/>
      <c r="BP350" s="115"/>
      <c r="BQ350" s="116"/>
      <c r="BS350" s="11">
        <v>46369</v>
      </c>
      <c r="BT350" s="33" t="s">
        <v>7</v>
      </c>
      <c r="BU350" s="114"/>
      <c r="BV350" s="115"/>
      <c r="BW350" s="115"/>
      <c r="BX350" s="116"/>
      <c r="BZ350" s="11">
        <v>46368</v>
      </c>
      <c r="CA350" s="33" t="s">
        <v>6</v>
      </c>
      <c r="CB350" s="114"/>
      <c r="CC350" s="115"/>
      <c r="CD350" s="115"/>
      <c r="CE350" s="116"/>
      <c r="CG350" s="11">
        <v>46369</v>
      </c>
      <c r="CH350" s="33" t="s">
        <v>7</v>
      </c>
      <c r="CI350" s="114"/>
      <c r="CJ350" s="115"/>
      <c r="CK350" s="115"/>
      <c r="CL350" s="116"/>
      <c r="CN350" s="11">
        <v>46369</v>
      </c>
      <c r="CO350" s="33" t="s">
        <v>7</v>
      </c>
      <c r="CP350" s="114"/>
      <c r="CQ350" s="115"/>
      <c r="CR350" s="115"/>
      <c r="CS350" s="116"/>
      <c r="CU350" s="11">
        <v>46369</v>
      </c>
      <c r="CV350" s="33" t="s">
        <v>7</v>
      </c>
      <c r="CW350" s="114"/>
      <c r="CX350" s="115"/>
      <c r="CY350" s="115"/>
      <c r="CZ350" s="116"/>
      <c r="DB350" s="11">
        <v>46367</v>
      </c>
      <c r="DC350" s="33" t="s">
        <v>5</v>
      </c>
      <c r="DD350" s="114"/>
      <c r="DE350" s="115"/>
      <c r="DF350" s="115"/>
      <c r="DG350" s="116"/>
      <c r="DI350" s="11">
        <v>46369</v>
      </c>
      <c r="DJ350" s="33" t="s">
        <v>7</v>
      </c>
      <c r="DK350" s="114"/>
      <c r="DL350" s="115"/>
      <c r="DM350" s="115"/>
      <c r="DN350" s="116"/>
      <c r="DP350" s="11">
        <v>46367</v>
      </c>
      <c r="DQ350" s="33" t="s">
        <v>5</v>
      </c>
      <c r="DR350" s="114"/>
      <c r="DS350" s="115"/>
      <c r="DT350" s="115"/>
      <c r="DU350" s="116"/>
      <c r="DW350" s="11">
        <v>46369</v>
      </c>
      <c r="DX350" s="33" t="s">
        <v>7</v>
      </c>
      <c r="DY350" s="114"/>
      <c r="DZ350" s="115"/>
      <c r="EA350" s="115"/>
      <c r="EB350" s="116"/>
    </row>
    <row r="351" spans="1:132" x14ac:dyDescent="0.25">
      <c r="A351" s="11">
        <v>46370</v>
      </c>
      <c r="B351" s="33" t="s">
        <v>8</v>
      </c>
      <c r="C351" s="114"/>
      <c r="D351" s="115"/>
      <c r="E351" s="115"/>
      <c r="F351" s="116"/>
      <c r="H351" s="11">
        <v>46370</v>
      </c>
      <c r="I351" s="33" t="s">
        <v>8</v>
      </c>
      <c r="J351" s="114"/>
      <c r="K351" s="115"/>
      <c r="L351" s="115"/>
      <c r="M351" s="116"/>
      <c r="O351" s="11">
        <v>46370</v>
      </c>
      <c r="P351" s="33" t="s">
        <v>8</v>
      </c>
      <c r="Q351" s="114"/>
      <c r="R351" s="115"/>
      <c r="S351" s="115"/>
      <c r="T351" s="116"/>
      <c r="V351" s="11">
        <v>46369</v>
      </c>
      <c r="W351" s="33" t="s">
        <v>7</v>
      </c>
      <c r="X351" s="114"/>
      <c r="Y351" s="115"/>
      <c r="Z351" s="115"/>
      <c r="AA351" s="116"/>
      <c r="AC351" s="11">
        <v>46370</v>
      </c>
      <c r="AD351" s="33" t="s">
        <v>8</v>
      </c>
      <c r="AE351" s="114"/>
      <c r="AF351" s="115"/>
      <c r="AG351" s="115"/>
      <c r="AH351" s="116"/>
      <c r="AJ351" s="11">
        <v>46370</v>
      </c>
      <c r="AK351" s="33" t="s">
        <v>8</v>
      </c>
      <c r="AL351" s="114"/>
      <c r="AM351" s="115"/>
      <c r="AN351" s="115"/>
      <c r="AO351" s="116"/>
      <c r="AQ351" s="11">
        <v>46370</v>
      </c>
      <c r="AR351" s="33" t="s">
        <v>8</v>
      </c>
      <c r="AS351" s="114"/>
      <c r="AT351" s="115"/>
      <c r="AU351" s="115"/>
      <c r="AV351" s="116"/>
      <c r="AX351" s="11">
        <v>46369</v>
      </c>
      <c r="AY351" s="33" t="s">
        <v>7</v>
      </c>
      <c r="AZ351" s="114"/>
      <c r="BA351" s="115"/>
      <c r="BB351" s="115"/>
      <c r="BC351" s="116"/>
      <c r="BE351" s="11">
        <v>46370</v>
      </c>
      <c r="BF351" s="33" t="s">
        <v>8</v>
      </c>
      <c r="BG351" s="33"/>
      <c r="BH351" s="19"/>
      <c r="BI351" s="19"/>
      <c r="BJ351" s="20"/>
      <c r="BL351" s="11">
        <v>46370</v>
      </c>
      <c r="BM351" s="33" t="s">
        <v>8</v>
      </c>
      <c r="BN351" s="114"/>
      <c r="BO351" s="115"/>
      <c r="BP351" s="115"/>
      <c r="BQ351" s="116"/>
      <c r="BS351" s="11">
        <v>46370</v>
      </c>
      <c r="BT351" s="33" t="s">
        <v>8</v>
      </c>
      <c r="BU351" s="114"/>
      <c r="BV351" s="115"/>
      <c r="BW351" s="115"/>
      <c r="BX351" s="116"/>
      <c r="BZ351" s="11">
        <v>46369</v>
      </c>
      <c r="CA351" s="33" t="s">
        <v>7</v>
      </c>
      <c r="CB351" s="114"/>
      <c r="CC351" s="115"/>
      <c r="CD351" s="115"/>
      <c r="CE351" s="116"/>
      <c r="CG351" s="11">
        <v>46370</v>
      </c>
      <c r="CH351" s="33" t="s">
        <v>8</v>
      </c>
      <c r="CI351" s="114"/>
      <c r="CJ351" s="115"/>
      <c r="CK351" s="115"/>
      <c r="CL351" s="116"/>
      <c r="CN351" s="11">
        <v>46370</v>
      </c>
      <c r="CO351" s="33" t="s">
        <v>8</v>
      </c>
      <c r="CP351" s="114"/>
      <c r="CQ351" s="115"/>
      <c r="CR351" s="115"/>
      <c r="CS351" s="116"/>
      <c r="CU351" s="11">
        <v>46370</v>
      </c>
      <c r="CV351" s="33" t="s">
        <v>8</v>
      </c>
      <c r="CW351" s="114"/>
      <c r="CX351" s="115"/>
      <c r="CY351" s="115"/>
      <c r="CZ351" s="116"/>
      <c r="DB351" s="11">
        <v>46368</v>
      </c>
      <c r="DC351" s="33" t="s">
        <v>6</v>
      </c>
      <c r="DD351" s="114"/>
      <c r="DE351" s="115"/>
      <c r="DF351" s="115"/>
      <c r="DG351" s="116"/>
      <c r="DI351" s="11">
        <v>46370</v>
      </c>
      <c r="DJ351" s="33" t="s">
        <v>8</v>
      </c>
      <c r="DK351" s="114"/>
      <c r="DL351" s="115"/>
      <c r="DM351" s="115"/>
      <c r="DN351" s="116"/>
      <c r="DP351" s="11">
        <v>46368</v>
      </c>
      <c r="DQ351" s="33" t="s">
        <v>6</v>
      </c>
      <c r="DR351" s="114"/>
      <c r="DS351" s="115"/>
      <c r="DT351" s="115"/>
      <c r="DU351" s="116"/>
      <c r="DW351" s="11">
        <v>46370</v>
      </c>
      <c r="DX351" s="33" t="s">
        <v>8</v>
      </c>
      <c r="DY351" s="114"/>
      <c r="DZ351" s="115"/>
      <c r="EA351" s="115"/>
      <c r="EB351" s="116"/>
    </row>
    <row r="352" spans="1:132" x14ac:dyDescent="0.25">
      <c r="A352" s="11">
        <v>46371</v>
      </c>
      <c r="B352" s="33" t="s">
        <v>9</v>
      </c>
      <c r="C352" s="114"/>
      <c r="D352" s="115"/>
      <c r="E352" s="115"/>
      <c r="F352" s="116"/>
      <c r="H352" s="11">
        <v>46371</v>
      </c>
      <c r="I352" s="33" t="s">
        <v>9</v>
      </c>
      <c r="J352" s="114"/>
      <c r="K352" s="115"/>
      <c r="L352" s="115"/>
      <c r="M352" s="116"/>
      <c r="O352" s="11">
        <v>46371</v>
      </c>
      <c r="P352" s="33" t="s">
        <v>9</v>
      </c>
      <c r="Q352" s="114"/>
      <c r="R352" s="115"/>
      <c r="S352" s="115"/>
      <c r="T352" s="116"/>
      <c r="V352" s="11">
        <v>46370</v>
      </c>
      <c r="W352" s="33" t="s">
        <v>8</v>
      </c>
      <c r="X352" s="114"/>
      <c r="Y352" s="115"/>
      <c r="Z352" s="115"/>
      <c r="AA352" s="116"/>
      <c r="AC352" s="11">
        <v>46371</v>
      </c>
      <c r="AD352" s="33" t="s">
        <v>9</v>
      </c>
      <c r="AE352" s="114"/>
      <c r="AF352" s="115"/>
      <c r="AG352" s="115"/>
      <c r="AH352" s="116"/>
      <c r="AJ352" s="11">
        <v>46371</v>
      </c>
      <c r="AK352" s="33" t="s">
        <v>9</v>
      </c>
      <c r="AL352" s="114"/>
      <c r="AM352" s="115"/>
      <c r="AN352" s="115"/>
      <c r="AO352" s="116"/>
      <c r="AQ352" s="11">
        <v>46371</v>
      </c>
      <c r="AR352" s="33" t="s">
        <v>9</v>
      </c>
      <c r="AS352" s="114"/>
      <c r="AT352" s="115"/>
      <c r="AU352" s="115"/>
      <c r="AV352" s="116"/>
      <c r="AX352" s="11">
        <v>46370</v>
      </c>
      <c r="AY352" s="33" t="s">
        <v>8</v>
      </c>
      <c r="AZ352" s="114"/>
      <c r="BA352" s="115"/>
      <c r="BB352" s="115"/>
      <c r="BC352" s="116"/>
      <c r="BE352" s="11">
        <v>46371</v>
      </c>
      <c r="BF352" s="33" t="s">
        <v>9</v>
      </c>
      <c r="BG352" s="33"/>
      <c r="BH352" s="19"/>
      <c r="BI352" s="19"/>
      <c r="BJ352" s="20"/>
      <c r="BL352" s="11">
        <v>46371</v>
      </c>
      <c r="BM352" s="33" t="s">
        <v>9</v>
      </c>
      <c r="BN352" s="114"/>
      <c r="BO352" s="115"/>
      <c r="BP352" s="115"/>
      <c r="BQ352" s="116"/>
      <c r="BS352" s="11">
        <v>46371</v>
      </c>
      <c r="BT352" s="33" t="s">
        <v>9</v>
      </c>
      <c r="BU352" s="114"/>
      <c r="BV352" s="115"/>
      <c r="BW352" s="115"/>
      <c r="BX352" s="116"/>
      <c r="BZ352" s="11">
        <v>46370</v>
      </c>
      <c r="CA352" s="33" t="s">
        <v>8</v>
      </c>
      <c r="CB352" s="114"/>
      <c r="CC352" s="115"/>
      <c r="CD352" s="115"/>
      <c r="CE352" s="116"/>
      <c r="CG352" s="11">
        <v>46371</v>
      </c>
      <c r="CH352" s="33" t="s">
        <v>9</v>
      </c>
      <c r="CI352" s="114"/>
      <c r="CJ352" s="115"/>
      <c r="CK352" s="115"/>
      <c r="CL352" s="116"/>
      <c r="CN352" s="11">
        <v>46371</v>
      </c>
      <c r="CO352" s="33" t="s">
        <v>9</v>
      </c>
      <c r="CP352" s="114"/>
      <c r="CQ352" s="115"/>
      <c r="CR352" s="115"/>
      <c r="CS352" s="116"/>
      <c r="CU352" s="11">
        <v>46371</v>
      </c>
      <c r="CV352" s="33" t="s">
        <v>9</v>
      </c>
      <c r="CW352" s="114"/>
      <c r="CX352" s="115"/>
      <c r="CY352" s="115"/>
      <c r="CZ352" s="116"/>
      <c r="DB352" s="11">
        <v>46369</v>
      </c>
      <c r="DC352" s="33" t="s">
        <v>7</v>
      </c>
      <c r="DD352" s="114"/>
      <c r="DE352" s="115"/>
      <c r="DF352" s="115"/>
      <c r="DG352" s="116"/>
      <c r="DI352" s="11">
        <v>46371</v>
      </c>
      <c r="DJ352" s="33" t="s">
        <v>9</v>
      </c>
      <c r="DK352" s="114"/>
      <c r="DL352" s="115"/>
      <c r="DM352" s="115"/>
      <c r="DN352" s="116"/>
      <c r="DP352" s="11">
        <v>46369</v>
      </c>
      <c r="DQ352" s="33" t="s">
        <v>7</v>
      </c>
      <c r="DR352" s="114"/>
      <c r="DS352" s="115"/>
      <c r="DT352" s="115"/>
      <c r="DU352" s="116"/>
      <c r="DW352" s="11">
        <v>46371</v>
      </c>
      <c r="DX352" s="33" t="s">
        <v>9</v>
      </c>
      <c r="DY352" s="114"/>
      <c r="DZ352" s="115"/>
      <c r="EA352" s="115"/>
      <c r="EB352" s="116"/>
    </row>
    <row r="353" spans="1:132" x14ac:dyDescent="0.25">
      <c r="A353" s="11">
        <v>46372</v>
      </c>
      <c r="B353" s="33" t="s">
        <v>3</v>
      </c>
      <c r="C353" s="114"/>
      <c r="D353" s="115"/>
      <c r="E353" s="115"/>
      <c r="F353" s="116"/>
      <c r="H353" s="11">
        <v>46372</v>
      </c>
      <c r="I353" s="33" t="s">
        <v>3</v>
      </c>
      <c r="J353" s="114"/>
      <c r="K353" s="115"/>
      <c r="L353" s="115"/>
      <c r="M353" s="116"/>
      <c r="O353" s="11">
        <v>46372</v>
      </c>
      <c r="P353" s="33" t="s">
        <v>3</v>
      </c>
      <c r="Q353" s="114"/>
      <c r="R353" s="115"/>
      <c r="S353" s="115"/>
      <c r="T353" s="116"/>
      <c r="V353" s="11">
        <v>46371</v>
      </c>
      <c r="W353" s="33" t="s">
        <v>9</v>
      </c>
      <c r="X353" s="114"/>
      <c r="Y353" s="115"/>
      <c r="Z353" s="115"/>
      <c r="AA353" s="116"/>
      <c r="AC353" s="11">
        <v>46372</v>
      </c>
      <c r="AD353" s="33" t="s">
        <v>3</v>
      </c>
      <c r="AE353" s="114"/>
      <c r="AF353" s="115"/>
      <c r="AG353" s="115"/>
      <c r="AH353" s="116"/>
      <c r="AJ353" s="11">
        <v>46372</v>
      </c>
      <c r="AK353" s="33" t="s">
        <v>3</v>
      </c>
      <c r="AL353" s="114"/>
      <c r="AM353" s="115"/>
      <c r="AN353" s="115"/>
      <c r="AO353" s="116"/>
      <c r="AQ353" s="11">
        <v>46372</v>
      </c>
      <c r="AR353" s="33" t="s">
        <v>3</v>
      </c>
      <c r="AS353" s="114"/>
      <c r="AT353" s="115"/>
      <c r="AU353" s="115"/>
      <c r="AV353" s="116"/>
      <c r="AX353" s="11">
        <v>46371</v>
      </c>
      <c r="AY353" s="33" t="s">
        <v>9</v>
      </c>
      <c r="AZ353" s="114"/>
      <c r="BA353" s="115"/>
      <c r="BB353" s="115"/>
      <c r="BC353" s="116"/>
      <c r="BE353" s="11">
        <v>46372</v>
      </c>
      <c r="BF353" s="33" t="s">
        <v>3</v>
      </c>
      <c r="BG353" s="33"/>
      <c r="BH353" s="19"/>
      <c r="BI353" s="19"/>
      <c r="BJ353" s="20"/>
      <c r="BL353" s="11">
        <v>46372</v>
      </c>
      <c r="BM353" s="33" t="s">
        <v>3</v>
      </c>
      <c r="BN353" s="114"/>
      <c r="BO353" s="115"/>
      <c r="BP353" s="115"/>
      <c r="BQ353" s="116"/>
      <c r="BS353" s="11">
        <v>46372</v>
      </c>
      <c r="BT353" s="33" t="s">
        <v>3</v>
      </c>
      <c r="BU353" s="114"/>
      <c r="BV353" s="115"/>
      <c r="BW353" s="115"/>
      <c r="BX353" s="116"/>
      <c r="BZ353" s="11">
        <v>46371</v>
      </c>
      <c r="CA353" s="33" t="s">
        <v>9</v>
      </c>
      <c r="CB353" s="114"/>
      <c r="CC353" s="115"/>
      <c r="CD353" s="115"/>
      <c r="CE353" s="116"/>
      <c r="CG353" s="11">
        <v>46372</v>
      </c>
      <c r="CH353" s="33" t="s">
        <v>3</v>
      </c>
      <c r="CI353" s="114"/>
      <c r="CJ353" s="115"/>
      <c r="CK353" s="115"/>
      <c r="CL353" s="116"/>
      <c r="CN353" s="11">
        <v>46372</v>
      </c>
      <c r="CO353" s="33" t="s">
        <v>3</v>
      </c>
      <c r="CP353" s="114"/>
      <c r="CQ353" s="115"/>
      <c r="CR353" s="115"/>
      <c r="CS353" s="116"/>
      <c r="CU353" s="11">
        <v>46372</v>
      </c>
      <c r="CV353" s="33" t="s">
        <v>3</v>
      </c>
      <c r="CW353" s="114"/>
      <c r="CX353" s="115"/>
      <c r="CY353" s="115"/>
      <c r="CZ353" s="116"/>
      <c r="DB353" s="11">
        <v>46370</v>
      </c>
      <c r="DC353" s="33" t="s">
        <v>8</v>
      </c>
      <c r="DD353" s="114"/>
      <c r="DE353" s="115"/>
      <c r="DF353" s="115"/>
      <c r="DG353" s="116"/>
      <c r="DI353" s="11">
        <v>46372</v>
      </c>
      <c r="DJ353" s="33" t="s">
        <v>3</v>
      </c>
      <c r="DK353" s="114"/>
      <c r="DL353" s="115"/>
      <c r="DM353" s="115"/>
      <c r="DN353" s="116"/>
      <c r="DP353" s="11">
        <v>46370</v>
      </c>
      <c r="DQ353" s="33" t="s">
        <v>8</v>
      </c>
      <c r="DR353" s="114"/>
      <c r="DS353" s="115"/>
      <c r="DT353" s="115"/>
      <c r="DU353" s="116"/>
      <c r="DW353" s="11">
        <v>46372</v>
      </c>
      <c r="DX353" s="33" t="s">
        <v>3</v>
      </c>
      <c r="DY353" s="114"/>
      <c r="DZ353" s="115"/>
      <c r="EA353" s="115"/>
      <c r="EB353" s="116"/>
    </row>
    <row r="354" spans="1:132" x14ac:dyDescent="0.25">
      <c r="A354" s="11">
        <v>46373</v>
      </c>
      <c r="B354" s="33" t="s">
        <v>4</v>
      </c>
      <c r="C354" s="114"/>
      <c r="D354" s="115"/>
      <c r="E354" s="115"/>
      <c r="F354" s="116"/>
      <c r="H354" s="11">
        <v>46373</v>
      </c>
      <c r="I354" s="33" t="s">
        <v>4</v>
      </c>
      <c r="J354" s="114"/>
      <c r="K354" s="115"/>
      <c r="L354" s="115"/>
      <c r="M354" s="116"/>
      <c r="O354" s="11">
        <v>46373</v>
      </c>
      <c r="P354" s="33" t="s">
        <v>4</v>
      </c>
      <c r="Q354" s="114"/>
      <c r="R354" s="115"/>
      <c r="S354" s="115"/>
      <c r="T354" s="116"/>
      <c r="V354" s="11">
        <v>46372</v>
      </c>
      <c r="W354" s="33" t="s">
        <v>3</v>
      </c>
      <c r="X354" s="114"/>
      <c r="Y354" s="115"/>
      <c r="Z354" s="115"/>
      <c r="AA354" s="116"/>
      <c r="AC354" s="11">
        <v>46373</v>
      </c>
      <c r="AD354" s="33" t="s">
        <v>4</v>
      </c>
      <c r="AE354" s="114"/>
      <c r="AF354" s="115"/>
      <c r="AG354" s="115"/>
      <c r="AH354" s="116"/>
      <c r="AJ354" s="11">
        <v>46373</v>
      </c>
      <c r="AK354" s="33" t="s">
        <v>4</v>
      </c>
      <c r="AL354" s="114"/>
      <c r="AM354" s="115"/>
      <c r="AN354" s="115"/>
      <c r="AO354" s="116"/>
      <c r="AQ354" s="11">
        <v>46373</v>
      </c>
      <c r="AR354" s="33" t="s">
        <v>4</v>
      </c>
      <c r="AS354" s="114"/>
      <c r="AT354" s="115"/>
      <c r="AU354" s="115"/>
      <c r="AV354" s="116"/>
      <c r="AX354" s="11">
        <v>46372</v>
      </c>
      <c r="AY354" s="33" t="s">
        <v>3</v>
      </c>
      <c r="AZ354" s="114"/>
      <c r="BA354" s="115"/>
      <c r="BB354" s="115"/>
      <c r="BC354" s="116"/>
      <c r="BE354" s="11">
        <v>46373</v>
      </c>
      <c r="BF354" s="33" t="s">
        <v>4</v>
      </c>
      <c r="BG354" s="33"/>
      <c r="BH354" s="19"/>
      <c r="BI354" s="19"/>
      <c r="BJ354" s="20"/>
      <c r="BL354" s="11">
        <v>46373</v>
      </c>
      <c r="BM354" s="33" t="s">
        <v>4</v>
      </c>
      <c r="BN354" s="114"/>
      <c r="BO354" s="115"/>
      <c r="BP354" s="115"/>
      <c r="BQ354" s="116"/>
      <c r="BS354" s="11">
        <v>46373</v>
      </c>
      <c r="BT354" s="33" t="s">
        <v>4</v>
      </c>
      <c r="BU354" s="114"/>
      <c r="BV354" s="115"/>
      <c r="BW354" s="115"/>
      <c r="BX354" s="116"/>
      <c r="BZ354" s="11">
        <v>46372</v>
      </c>
      <c r="CA354" s="33" t="s">
        <v>3</v>
      </c>
      <c r="CB354" s="114"/>
      <c r="CC354" s="115"/>
      <c r="CD354" s="115"/>
      <c r="CE354" s="116"/>
      <c r="CG354" s="11">
        <v>46373</v>
      </c>
      <c r="CH354" s="33" t="s">
        <v>4</v>
      </c>
      <c r="CI354" s="114"/>
      <c r="CJ354" s="115"/>
      <c r="CK354" s="115"/>
      <c r="CL354" s="116"/>
      <c r="CN354" s="11">
        <v>46373</v>
      </c>
      <c r="CO354" s="33" t="s">
        <v>4</v>
      </c>
      <c r="CP354" s="114"/>
      <c r="CQ354" s="115"/>
      <c r="CR354" s="115"/>
      <c r="CS354" s="116"/>
      <c r="CU354" s="11">
        <v>46373</v>
      </c>
      <c r="CV354" s="33" t="s">
        <v>4</v>
      </c>
      <c r="CW354" s="114"/>
      <c r="CX354" s="115"/>
      <c r="CY354" s="115"/>
      <c r="CZ354" s="116"/>
      <c r="DB354" s="11">
        <v>46371</v>
      </c>
      <c r="DC354" s="33" t="s">
        <v>9</v>
      </c>
      <c r="DD354" s="114"/>
      <c r="DE354" s="115"/>
      <c r="DF354" s="115"/>
      <c r="DG354" s="116"/>
      <c r="DI354" s="11">
        <v>46373</v>
      </c>
      <c r="DJ354" s="33" t="s">
        <v>4</v>
      </c>
      <c r="DK354" s="114"/>
      <c r="DL354" s="115"/>
      <c r="DM354" s="115"/>
      <c r="DN354" s="116"/>
      <c r="DP354" s="11">
        <v>46371</v>
      </c>
      <c r="DQ354" s="33" t="s">
        <v>9</v>
      </c>
      <c r="DR354" s="114"/>
      <c r="DS354" s="115"/>
      <c r="DT354" s="115"/>
      <c r="DU354" s="116"/>
      <c r="DW354" s="11">
        <v>46373</v>
      </c>
      <c r="DX354" s="33" t="s">
        <v>4</v>
      </c>
      <c r="DY354" s="114"/>
      <c r="DZ354" s="115"/>
      <c r="EA354" s="115"/>
      <c r="EB354" s="116"/>
    </row>
    <row r="355" spans="1:132" x14ac:dyDescent="0.25">
      <c r="A355" s="11">
        <v>46374</v>
      </c>
      <c r="B355" s="33" t="s">
        <v>5</v>
      </c>
      <c r="C355" s="114"/>
      <c r="D355" s="115"/>
      <c r="E355" s="115"/>
      <c r="F355" s="116"/>
      <c r="H355" s="11">
        <v>46374</v>
      </c>
      <c r="I355" s="33" t="s">
        <v>5</v>
      </c>
      <c r="J355" s="114"/>
      <c r="K355" s="115"/>
      <c r="L355" s="115"/>
      <c r="M355" s="116"/>
      <c r="O355" s="11">
        <v>46374</v>
      </c>
      <c r="P355" s="33" t="s">
        <v>5</v>
      </c>
      <c r="Q355" s="114"/>
      <c r="R355" s="115"/>
      <c r="S355" s="115"/>
      <c r="T355" s="116"/>
      <c r="V355" s="11">
        <v>46373</v>
      </c>
      <c r="W355" s="33" t="s">
        <v>4</v>
      </c>
      <c r="X355" s="114"/>
      <c r="Y355" s="115"/>
      <c r="Z355" s="115"/>
      <c r="AA355" s="116"/>
      <c r="AC355" s="11">
        <v>46374</v>
      </c>
      <c r="AD355" s="33" t="s">
        <v>5</v>
      </c>
      <c r="AE355" s="114"/>
      <c r="AF355" s="115"/>
      <c r="AG355" s="115"/>
      <c r="AH355" s="116"/>
      <c r="AJ355" s="11">
        <v>46374</v>
      </c>
      <c r="AK355" s="33" t="s">
        <v>5</v>
      </c>
      <c r="AL355" s="114"/>
      <c r="AM355" s="115"/>
      <c r="AN355" s="115"/>
      <c r="AO355" s="116"/>
      <c r="AQ355" s="11">
        <v>46374</v>
      </c>
      <c r="AR355" s="33" t="s">
        <v>5</v>
      </c>
      <c r="AS355" s="114"/>
      <c r="AT355" s="115"/>
      <c r="AU355" s="115"/>
      <c r="AV355" s="116"/>
      <c r="AX355" s="11">
        <v>46373</v>
      </c>
      <c r="AY355" s="33" t="s">
        <v>4</v>
      </c>
      <c r="AZ355" s="114"/>
      <c r="BA355" s="115"/>
      <c r="BB355" s="115"/>
      <c r="BC355" s="116"/>
      <c r="BE355" s="11">
        <v>46374</v>
      </c>
      <c r="BF355" s="33" t="s">
        <v>5</v>
      </c>
      <c r="BG355" s="33"/>
      <c r="BH355" s="19"/>
      <c r="BI355" s="19"/>
      <c r="BJ355" s="20"/>
      <c r="BL355" s="11">
        <v>46374</v>
      </c>
      <c r="BM355" s="33" t="s">
        <v>5</v>
      </c>
      <c r="BN355" s="114"/>
      <c r="BO355" s="115"/>
      <c r="BP355" s="115"/>
      <c r="BQ355" s="116"/>
      <c r="BS355" s="11">
        <v>46374</v>
      </c>
      <c r="BT355" s="33" t="s">
        <v>5</v>
      </c>
      <c r="BU355" s="114"/>
      <c r="BV355" s="115"/>
      <c r="BW355" s="115"/>
      <c r="BX355" s="116"/>
      <c r="BZ355" s="11">
        <v>46373</v>
      </c>
      <c r="CA355" s="33" t="s">
        <v>4</v>
      </c>
      <c r="CB355" s="114"/>
      <c r="CC355" s="115"/>
      <c r="CD355" s="115"/>
      <c r="CE355" s="116"/>
      <c r="CG355" s="11">
        <v>46374</v>
      </c>
      <c r="CH355" s="33" t="s">
        <v>5</v>
      </c>
      <c r="CI355" s="114"/>
      <c r="CJ355" s="115"/>
      <c r="CK355" s="115"/>
      <c r="CL355" s="116"/>
      <c r="CN355" s="11">
        <v>46374</v>
      </c>
      <c r="CO355" s="33" t="s">
        <v>5</v>
      </c>
      <c r="CP355" s="114"/>
      <c r="CQ355" s="115"/>
      <c r="CR355" s="115"/>
      <c r="CS355" s="116"/>
      <c r="CU355" s="11">
        <v>46374</v>
      </c>
      <c r="CV355" s="33" t="s">
        <v>5</v>
      </c>
      <c r="CW355" s="114"/>
      <c r="CX355" s="115"/>
      <c r="CY355" s="115"/>
      <c r="CZ355" s="116"/>
      <c r="DB355" s="11">
        <v>46372</v>
      </c>
      <c r="DC355" s="33" t="s">
        <v>3</v>
      </c>
      <c r="DD355" s="114"/>
      <c r="DE355" s="115"/>
      <c r="DF355" s="115"/>
      <c r="DG355" s="116"/>
      <c r="DI355" s="11">
        <v>46374</v>
      </c>
      <c r="DJ355" s="33" t="s">
        <v>5</v>
      </c>
      <c r="DK355" s="114"/>
      <c r="DL355" s="115"/>
      <c r="DM355" s="115"/>
      <c r="DN355" s="116"/>
      <c r="DP355" s="11">
        <v>46372</v>
      </c>
      <c r="DQ355" s="33" t="s">
        <v>3</v>
      </c>
      <c r="DR355" s="114"/>
      <c r="DS355" s="115"/>
      <c r="DT355" s="115"/>
      <c r="DU355" s="116"/>
      <c r="DW355" s="11">
        <v>46374</v>
      </c>
      <c r="DX355" s="33" t="s">
        <v>5</v>
      </c>
      <c r="DY355" s="114"/>
      <c r="DZ355" s="115"/>
      <c r="EA355" s="115"/>
      <c r="EB355" s="116"/>
    </row>
    <row r="356" spans="1:132" x14ac:dyDescent="0.25">
      <c r="A356" s="11">
        <v>46375</v>
      </c>
      <c r="B356" s="33" t="s">
        <v>6</v>
      </c>
      <c r="C356" s="114"/>
      <c r="D356" s="115"/>
      <c r="E356" s="115"/>
      <c r="F356" s="116"/>
      <c r="H356" s="11">
        <v>46375</v>
      </c>
      <c r="I356" s="33" t="s">
        <v>6</v>
      </c>
      <c r="J356" s="114"/>
      <c r="K356" s="115"/>
      <c r="L356" s="115"/>
      <c r="M356" s="116"/>
      <c r="O356" s="11">
        <v>46375</v>
      </c>
      <c r="P356" s="33" t="s">
        <v>6</v>
      </c>
      <c r="Q356" s="114"/>
      <c r="R356" s="115"/>
      <c r="S356" s="115"/>
      <c r="T356" s="116"/>
      <c r="V356" s="11">
        <v>46374</v>
      </c>
      <c r="W356" s="33" t="s">
        <v>5</v>
      </c>
      <c r="X356" s="114"/>
      <c r="Y356" s="115"/>
      <c r="Z356" s="115"/>
      <c r="AA356" s="116"/>
      <c r="AC356" s="11">
        <v>46375</v>
      </c>
      <c r="AD356" s="33" t="s">
        <v>6</v>
      </c>
      <c r="AE356" s="114"/>
      <c r="AF356" s="115"/>
      <c r="AG356" s="115"/>
      <c r="AH356" s="116"/>
      <c r="AJ356" s="11">
        <v>46375</v>
      </c>
      <c r="AK356" s="33" t="s">
        <v>6</v>
      </c>
      <c r="AL356" s="114"/>
      <c r="AM356" s="115"/>
      <c r="AN356" s="115"/>
      <c r="AO356" s="116"/>
      <c r="AQ356" s="11">
        <v>46375</v>
      </c>
      <c r="AR356" s="33" t="s">
        <v>6</v>
      </c>
      <c r="AS356" s="114"/>
      <c r="AT356" s="115"/>
      <c r="AU356" s="115"/>
      <c r="AV356" s="116"/>
      <c r="AX356" s="11">
        <v>46374</v>
      </c>
      <c r="AY356" s="33" t="s">
        <v>5</v>
      </c>
      <c r="AZ356" s="114"/>
      <c r="BA356" s="115"/>
      <c r="BB356" s="115"/>
      <c r="BC356" s="116"/>
      <c r="BE356" s="11">
        <v>46375</v>
      </c>
      <c r="BF356" s="33" t="s">
        <v>6</v>
      </c>
      <c r="BG356" s="33"/>
      <c r="BH356" s="19"/>
      <c r="BI356" s="19"/>
      <c r="BJ356" s="20"/>
      <c r="BL356" s="11">
        <v>46375</v>
      </c>
      <c r="BM356" s="33" t="s">
        <v>6</v>
      </c>
      <c r="BN356" s="114"/>
      <c r="BO356" s="115"/>
      <c r="BP356" s="115"/>
      <c r="BQ356" s="116"/>
      <c r="BS356" s="11">
        <v>46375</v>
      </c>
      <c r="BT356" s="33" t="s">
        <v>6</v>
      </c>
      <c r="BU356" s="114"/>
      <c r="BV356" s="115"/>
      <c r="BW356" s="115"/>
      <c r="BX356" s="116"/>
      <c r="BZ356" s="11">
        <v>46374</v>
      </c>
      <c r="CA356" s="33" t="s">
        <v>5</v>
      </c>
      <c r="CB356" s="114"/>
      <c r="CC356" s="115"/>
      <c r="CD356" s="115"/>
      <c r="CE356" s="116"/>
      <c r="CG356" s="11">
        <v>46375</v>
      </c>
      <c r="CH356" s="33" t="s">
        <v>6</v>
      </c>
      <c r="CI356" s="114"/>
      <c r="CJ356" s="115"/>
      <c r="CK356" s="115"/>
      <c r="CL356" s="116"/>
      <c r="CN356" s="11">
        <v>46375</v>
      </c>
      <c r="CO356" s="33" t="s">
        <v>6</v>
      </c>
      <c r="CP356" s="114"/>
      <c r="CQ356" s="115"/>
      <c r="CR356" s="115"/>
      <c r="CS356" s="116"/>
      <c r="CU356" s="11">
        <v>46375</v>
      </c>
      <c r="CV356" s="33" t="s">
        <v>6</v>
      </c>
      <c r="CW356" s="114"/>
      <c r="CX356" s="115"/>
      <c r="CY356" s="115"/>
      <c r="CZ356" s="116"/>
      <c r="DB356" s="11">
        <v>46373</v>
      </c>
      <c r="DC356" s="33" t="s">
        <v>4</v>
      </c>
      <c r="DD356" s="114"/>
      <c r="DE356" s="115"/>
      <c r="DF356" s="115"/>
      <c r="DG356" s="116"/>
      <c r="DI356" s="11">
        <v>46375</v>
      </c>
      <c r="DJ356" s="33" t="s">
        <v>6</v>
      </c>
      <c r="DK356" s="114"/>
      <c r="DL356" s="115"/>
      <c r="DM356" s="115"/>
      <c r="DN356" s="116"/>
      <c r="DP356" s="11">
        <v>46373</v>
      </c>
      <c r="DQ356" s="33" t="s">
        <v>4</v>
      </c>
      <c r="DR356" s="114"/>
      <c r="DS356" s="115"/>
      <c r="DT356" s="115"/>
      <c r="DU356" s="116"/>
      <c r="DW356" s="11">
        <v>46375</v>
      </c>
      <c r="DX356" s="33" t="s">
        <v>6</v>
      </c>
      <c r="DY356" s="114"/>
      <c r="DZ356" s="115"/>
      <c r="EA356" s="115"/>
      <c r="EB356" s="116"/>
    </row>
    <row r="357" spans="1:132" x14ac:dyDescent="0.25">
      <c r="A357" s="11">
        <v>46376</v>
      </c>
      <c r="B357" s="33" t="s">
        <v>7</v>
      </c>
      <c r="C357" s="114"/>
      <c r="D357" s="115"/>
      <c r="E357" s="115"/>
      <c r="F357" s="116"/>
      <c r="H357" s="11">
        <v>46376</v>
      </c>
      <c r="I357" s="33" t="s">
        <v>7</v>
      </c>
      <c r="J357" s="114"/>
      <c r="K357" s="115"/>
      <c r="L357" s="115"/>
      <c r="M357" s="116"/>
      <c r="O357" s="11">
        <v>46376</v>
      </c>
      <c r="P357" s="33" t="s">
        <v>7</v>
      </c>
      <c r="Q357" s="114"/>
      <c r="R357" s="115"/>
      <c r="S357" s="115"/>
      <c r="T357" s="116"/>
      <c r="V357" s="11">
        <v>46375</v>
      </c>
      <c r="W357" s="33" t="s">
        <v>6</v>
      </c>
      <c r="X357" s="114"/>
      <c r="Y357" s="115"/>
      <c r="Z357" s="115"/>
      <c r="AA357" s="116"/>
      <c r="AC357" s="11">
        <v>46376</v>
      </c>
      <c r="AD357" s="33" t="s">
        <v>7</v>
      </c>
      <c r="AE357" s="114"/>
      <c r="AF357" s="115"/>
      <c r="AG357" s="115"/>
      <c r="AH357" s="116"/>
      <c r="AJ357" s="11">
        <v>46376</v>
      </c>
      <c r="AK357" s="33" t="s">
        <v>7</v>
      </c>
      <c r="AL357" s="114"/>
      <c r="AM357" s="115"/>
      <c r="AN357" s="115"/>
      <c r="AO357" s="116"/>
      <c r="AQ357" s="11">
        <v>46376</v>
      </c>
      <c r="AR357" s="33" t="s">
        <v>7</v>
      </c>
      <c r="AS357" s="114"/>
      <c r="AT357" s="115"/>
      <c r="AU357" s="115"/>
      <c r="AV357" s="116"/>
      <c r="AX357" s="11">
        <v>46375</v>
      </c>
      <c r="AY357" s="33" t="s">
        <v>6</v>
      </c>
      <c r="AZ357" s="114"/>
      <c r="BA357" s="115"/>
      <c r="BB357" s="115"/>
      <c r="BC357" s="116"/>
      <c r="BE357" s="11">
        <v>46376</v>
      </c>
      <c r="BF357" s="33" t="s">
        <v>7</v>
      </c>
      <c r="BG357" s="33"/>
      <c r="BH357" s="19"/>
      <c r="BI357" s="19"/>
      <c r="BJ357" s="20"/>
      <c r="BL357" s="11">
        <v>46376</v>
      </c>
      <c r="BM357" s="33" t="s">
        <v>7</v>
      </c>
      <c r="BN357" s="114"/>
      <c r="BO357" s="115"/>
      <c r="BP357" s="115"/>
      <c r="BQ357" s="116"/>
      <c r="BS357" s="11">
        <v>46376</v>
      </c>
      <c r="BT357" s="33" t="s">
        <v>7</v>
      </c>
      <c r="BU357" s="114"/>
      <c r="BV357" s="115"/>
      <c r="BW357" s="115"/>
      <c r="BX357" s="116"/>
      <c r="BZ357" s="11">
        <v>46375</v>
      </c>
      <c r="CA357" s="33" t="s">
        <v>6</v>
      </c>
      <c r="CB357" s="114"/>
      <c r="CC357" s="115"/>
      <c r="CD357" s="115"/>
      <c r="CE357" s="116"/>
      <c r="CG357" s="11">
        <v>46376</v>
      </c>
      <c r="CH357" s="33" t="s">
        <v>7</v>
      </c>
      <c r="CI357" s="114"/>
      <c r="CJ357" s="115"/>
      <c r="CK357" s="115"/>
      <c r="CL357" s="116"/>
      <c r="CN357" s="11">
        <v>46376</v>
      </c>
      <c r="CO357" s="33" t="s">
        <v>7</v>
      </c>
      <c r="CP357" s="114"/>
      <c r="CQ357" s="115"/>
      <c r="CR357" s="115"/>
      <c r="CS357" s="116"/>
      <c r="CU357" s="11">
        <v>46376</v>
      </c>
      <c r="CV357" s="33" t="s">
        <v>7</v>
      </c>
      <c r="CW357" s="114"/>
      <c r="CX357" s="115"/>
      <c r="CY357" s="115"/>
      <c r="CZ357" s="116"/>
      <c r="DB357" s="11">
        <v>46374</v>
      </c>
      <c r="DC357" s="33" t="s">
        <v>5</v>
      </c>
      <c r="DD357" s="114"/>
      <c r="DE357" s="115"/>
      <c r="DF357" s="115"/>
      <c r="DG357" s="116"/>
      <c r="DI357" s="11">
        <v>46376</v>
      </c>
      <c r="DJ357" s="33" t="s">
        <v>7</v>
      </c>
      <c r="DK357" s="114"/>
      <c r="DL357" s="115"/>
      <c r="DM357" s="115"/>
      <c r="DN357" s="116"/>
      <c r="DP357" s="11">
        <v>46374</v>
      </c>
      <c r="DQ357" s="33" t="s">
        <v>5</v>
      </c>
      <c r="DR357" s="114"/>
      <c r="DS357" s="115"/>
      <c r="DT357" s="115"/>
      <c r="DU357" s="116"/>
      <c r="DW357" s="11">
        <v>46376</v>
      </c>
      <c r="DX357" s="33" t="s">
        <v>7</v>
      </c>
      <c r="DY357" s="114"/>
      <c r="DZ357" s="115"/>
      <c r="EA357" s="115"/>
      <c r="EB357" s="116"/>
    </row>
    <row r="358" spans="1:132" x14ac:dyDescent="0.25">
      <c r="A358" s="11">
        <v>46377</v>
      </c>
      <c r="B358" s="33" t="s">
        <v>8</v>
      </c>
      <c r="C358" s="114"/>
      <c r="D358" s="115"/>
      <c r="E358" s="115"/>
      <c r="F358" s="116"/>
      <c r="H358" s="11">
        <v>46377</v>
      </c>
      <c r="I358" s="33" t="s">
        <v>8</v>
      </c>
      <c r="J358" s="114"/>
      <c r="K358" s="115"/>
      <c r="L358" s="115"/>
      <c r="M358" s="116"/>
      <c r="O358" s="11">
        <v>46377</v>
      </c>
      <c r="P358" s="33" t="s">
        <v>8</v>
      </c>
      <c r="Q358" s="114"/>
      <c r="R358" s="115"/>
      <c r="S358" s="115"/>
      <c r="T358" s="116"/>
      <c r="V358" s="11">
        <v>46376</v>
      </c>
      <c r="W358" s="33" t="s">
        <v>7</v>
      </c>
      <c r="X358" s="114"/>
      <c r="Y358" s="115"/>
      <c r="Z358" s="115"/>
      <c r="AA358" s="116"/>
      <c r="AC358" s="11">
        <v>46377</v>
      </c>
      <c r="AD358" s="33" t="s">
        <v>8</v>
      </c>
      <c r="AE358" s="114"/>
      <c r="AF358" s="115"/>
      <c r="AG358" s="115"/>
      <c r="AH358" s="116"/>
      <c r="AJ358" s="11">
        <v>46377</v>
      </c>
      <c r="AK358" s="33" t="s">
        <v>8</v>
      </c>
      <c r="AL358" s="114"/>
      <c r="AM358" s="115"/>
      <c r="AN358" s="115"/>
      <c r="AO358" s="116"/>
      <c r="AQ358" s="11">
        <v>46377</v>
      </c>
      <c r="AR358" s="33" t="s">
        <v>8</v>
      </c>
      <c r="AS358" s="114"/>
      <c r="AT358" s="115"/>
      <c r="AU358" s="115"/>
      <c r="AV358" s="116"/>
      <c r="AX358" s="11">
        <v>46376</v>
      </c>
      <c r="AY358" s="33" t="s">
        <v>7</v>
      </c>
      <c r="AZ358" s="114"/>
      <c r="BA358" s="115"/>
      <c r="BB358" s="115"/>
      <c r="BC358" s="116"/>
      <c r="BE358" s="11">
        <v>46377</v>
      </c>
      <c r="BF358" s="33" t="s">
        <v>8</v>
      </c>
      <c r="BG358" s="33"/>
      <c r="BH358" s="19"/>
      <c r="BI358" s="19"/>
      <c r="BJ358" s="20"/>
      <c r="BL358" s="11">
        <v>46377</v>
      </c>
      <c r="BM358" s="33" t="s">
        <v>8</v>
      </c>
      <c r="BN358" s="114"/>
      <c r="BO358" s="115"/>
      <c r="BP358" s="115"/>
      <c r="BQ358" s="116"/>
      <c r="BS358" s="11">
        <v>46377</v>
      </c>
      <c r="BT358" s="33" t="s">
        <v>8</v>
      </c>
      <c r="BU358" s="114"/>
      <c r="BV358" s="115"/>
      <c r="BW358" s="115"/>
      <c r="BX358" s="116"/>
      <c r="BZ358" s="11">
        <v>46376</v>
      </c>
      <c r="CA358" s="33" t="s">
        <v>7</v>
      </c>
      <c r="CB358" s="114"/>
      <c r="CC358" s="115"/>
      <c r="CD358" s="115"/>
      <c r="CE358" s="116"/>
      <c r="CG358" s="11">
        <v>46377</v>
      </c>
      <c r="CH358" s="33" t="s">
        <v>8</v>
      </c>
      <c r="CI358" s="114"/>
      <c r="CJ358" s="115"/>
      <c r="CK358" s="115"/>
      <c r="CL358" s="116"/>
      <c r="CN358" s="11">
        <v>46377</v>
      </c>
      <c r="CO358" s="33" t="s">
        <v>8</v>
      </c>
      <c r="CP358" s="114"/>
      <c r="CQ358" s="115"/>
      <c r="CR358" s="115"/>
      <c r="CS358" s="116"/>
      <c r="CU358" s="11">
        <v>46377</v>
      </c>
      <c r="CV358" s="33" t="s">
        <v>8</v>
      </c>
      <c r="CW358" s="114"/>
      <c r="CX358" s="115"/>
      <c r="CY358" s="115"/>
      <c r="CZ358" s="116"/>
      <c r="DB358" s="11">
        <v>46375</v>
      </c>
      <c r="DC358" s="33" t="s">
        <v>6</v>
      </c>
      <c r="DD358" s="114"/>
      <c r="DE358" s="115"/>
      <c r="DF358" s="115"/>
      <c r="DG358" s="116"/>
      <c r="DI358" s="11">
        <v>46377</v>
      </c>
      <c r="DJ358" s="33" t="s">
        <v>8</v>
      </c>
      <c r="DK358" s="114"/>
      <c r="DL358" s="115"/>
      <c r="DM358" s="115"/>
      <c r="DN358" s="116"/>
      <c r="DP358" s="11">
        <v>46375</v>
      </c>
      <c r="DQ358" s="33" t="s">
        <v>6</v>
      </c>
      <c r="DR358" s="114"/>
      <c r="DS358" s="115"/>
      <c r="DT358" s="115"/>
      <c r="DU358" s="116"/>
      <c r="DW358" s="11">
        <v>46377</v>
      </c>
      <c r="DX358" s="33" t="s">
        <v>8</v>
      </c>
      <c r="DY358" s="114"/>
      <c r="DZ358" s="115"/>
      <c r="EA358" s="115"/>
      <c r="EB358" s="116"/>
    </row>
    <row r="359" spans="1:132" x14ac:dyDescent="0.25">
      <c r="A359" s="11">
        <v>46378</v>
      </c>
      <c r="B359" s="33" t="s">
        <v>9</v>
      </c>
      <c r="C359" s="114"/>
      <c r="D359" s="115"/>
      <c r="E359" s="115"/>
      <c r="F359" s="116"/>
      <c r="H359" s="11">
        <v>46378</v>
      </c>
      <c r="I359" s="33" t="s">
        <v>9</v>
      </c>
      <c r="J359" s="114"/>
      <c r="K359" s="115"/>
      <c r="L359" s="115"/>
      <c r="M359" s="116"/>
      <c r="O359" s="11">
        <v>46378</v>
      </c>
      <c r="P359" s="33" t="s">
        <v>9</v>
      </c>
      <c r="Q359" s="114"/>
      <c r="R359" s="115"/>
      <c r="S359" s="115"/>
      <c r="T359" s="116"/>
      <c r="V359" s="11">
        <v>46377</v>
      </c>
      <c r="W359" s="33" t="s">
        <v>8</v>
      </c>
      <c r="X359" s="114"/>
      <c r="Y359" s="115"/>
      <c r="Z359" s="115"/>
      <c r="AA359" s="116"/>
      <c r="AC359" s="11">
        <v>46378</v>
      </c>
      <c r="AD359" s="33" t="s">
        <v>9</v>
      </c>
      <c r="AE359" s="114"/>
      <c r="AF359" s="115"/>
      <c r="AG359" s="115"/>
      <c r="AH359" s="116"/>
      <c r="AJ359" s="11">
        <v>46378</v>
      </c>
      <c r="AK359" s="33" t="s">
        <v>9</v>
      </c>
      <c r="AL359" s="114"/>
      <c r="AM359" s="115"/>
      <c r="AN359" s="115"/>
      <c r="AO359" s="116"/>
      <c r="AQ359" s="11">
        <v>46378</v>
      </c>
      <c r="AR359" s="33" t="s">
        <v>9</v>
      </c>
      <c r="AS359" s="114"/>
      <c r="AT359" s="115"/>
      <c r="AU359" s="115"/>
      <c r="AV359" s="116"/>
      <c r="AX359" s="11">
        <v>46377</v>
      </c>
      <c r="AY359" s="33" t="s">
        <v>8</v>
      </c>
      <c r="AZ359" s="114"/>
      <c r="BA359" s="115"/>
      <c r="BB359" s="115"/>
      <c r="BC359" s="116"/>
      <c r="BE359" s="11">
        <v>46378</v>
      </c>
      <c r="BF359" s="33" t="s">
        <v>9</v>
      </c>
      <c r="BG359" s="33"/>
      <c r="BH359" s="19"/>
      <c r="BI359" s="19"/>
      <c r="BJ359" s="20"/>
      <c r="BL359" s="11">
        <v>46378</v>
      </c>
      <c r="BM359" s="33" t="s">
        <v>9</v>
      </c>
      <c r="BN359" s="114"/>
      <c r="BO359" s="115"/>
      <c r="BP359" s="115"/>
      <c r="BQ359" s="116"/>
      <c r="BS359" s="11">
        <v>46378</v>
      </c>
      <c r="BT359" s="33" t="s">
        <v>9</v>
      </c>
      <c r="BU359" s="114"/>
      <c r="BV359" s="115"/>
      <c r="BW359" s="115"/>
      <c r="BX359" s="116"/>
      <c r="BZ359" s="11">
        <v>46377</v>
      </c>
      <c r="CA359" s="33" t="s">
        <v>8</v>
      </c>
      <c r="CB359" s="114"/>
      <c r="CC359" s="115"/>
      <c r="CD359" s="115"/>
      <c r="CE359" s="116"/>
      <c r="CG359" s="11">
        <v>46378</v>
      </c>
      <c r="CH359" s="33" t="s">
        <v>9</v>
      </c>
      <c r="CI359" s="114"/>
      <c r="CJ359" s="115"/>
      <c r="CK359" s="115"/>
      <c r="CL359" s="116"/>
      <c r="CN359" s="11">
        <v>46378</v>
      </c>
      <c r="CO359" s="33" t="s">
        <v>9</v>
      </c>
      <c r="CP359" s="114"/>
      <c r="CQ359" s="115"/>
      <c r="CR359" s="115"/>
      <c r="CS359" s="116"/>
      <c r="CU359" s="11">
        <v>46378</v>
      </c>
      <c r="CV359" s="33" t="s">
        <v>9</v>
      </c>
      <c r="CW359" s="114"/>
      <c r="CX359" s="115"/>
      <c r="CY359" s="115"/>
      <c r="CZ359" s="116"/>
      <c r="DB359" s="11">
        <v>46376</v>
      </c>
      <c r="DC359" s="33" t="s">
        <v>7</v>
      </c>
      <c r="DD359" s="114"/>
      <c r="DE359" s="115"/>
      <c r="DF359" s="115"/>
      <c r="DG359" s="116"/>
      <c r="DI359" s="11">
        <v>46378</v>
      </c>
      <c r="DJ359" s="33" t="s">
        <v>9</v>
      </c>
      <c r="DK359" s="114"/>
      <c r="DL359" s="115"/>
      <c r="DM359" s="115"/>
      <c r="DN359" s="116"/>
      <c r="DP359" s="11">
        <v>46376</v>
      </c>
      <c r="DQ359" s="33" t="s">
        <v>7</v>
      </c>
      <c r="DR359" s="114"/>
      <c r="DS359" s="115"/>
      <c r="DT359" s="115"/>
      <c r="DU359" s="116"/>
      <c r="DW359" s="11">
        <v>46378</v>
      </c>
      <c r="DX359" s="33" t="s">
        <v>9</v>
      </c>
      <c r="DY359" s="114"/>
      <c r="DZ359" s="115"/>
      <c r="EA359" s="115"/>
      <c r="EB359" s="116"/>
    </row>
    <row r="360" spans="1:132" x14ac:dyDescent="0.25">
      <c r="A360" s="11">
        <v>46379</v>
      </c>
      <c r="B360" s="33" t="s">
        <v>3</v>
      </c>
      <c r="C360" s="114"/>
      <c r="D360" s="115"/>
      <c r="E360" s="115"/>
      <c r="F360" s="116"/>
      <c r="H360" s="11">
        <v>46379</v>
      </c>
      <c r="I360" s="33" t="s">
        <v>3</v>
      </c>
      <c r="J360" s="114"/>
      <c r="K360" s="115"/>
      <c r="L360" s="115"/>
      <c r="M360" s="116"/>
      <c r="O360" s="11">
        <v>46379</v>
      </c>
      <c r="P360" s="33" t="s">
        <v>3</v>
      </c>
      <c r="Q360" s="114"/>
      <c r="R360" s="115"/>
      <c r="S360" s="115"/>
      <c r="T360" s="116"/>
      <c r="V360" s="11">
        <v>46378</v>
      </c>
      <c r="W360" s="33" t="s">
        <v>9</v>
      </c>
      <c r="X360" s="114"/>
      <c r="Y360" s="115"/>
      <c r="Z360" s="115"/>
      <c r="AA360" s="116"/>
      <c r="AC360" s="11">
        <v>46379</v>
      </c>
      <c r="AD360" s="33" t="s">
        <v>3</v>
      </c>
      <c r="AE360" s="114"/>
      <c r="AF360" s="115"/>
      <c r="AG360" s="115"/>
      <c r="AH360" s="116"/>
      <c r="AJ360" s="11">
        <v>46379</v>
      </c>
      <c r="AK360" s="33" t="s">
        <v>3</v>
      </c>
      <c r="AL360" s="114"/>
      <c r="AM360" s="115"/>
      <c r="AN360" s="115"/>
      <c r="AO360" s="116"/>
      <c r="AQ360" s="11">
        <v>46379</v>
      </c>
      <c r="AR360" s="33" t="s">
        <v>3</v>
      </c>
      <c r="AS360" s="114"/>
      <c r="AT360" s="115"/>
      <c r="AU360" s="115"/>
      <c r="AV360" s="116"/>
      <c r="AX360" s="11">
        <v>46378</v>
      </c>
      <c r="AY360" s="33" t="s">
        <v>9</v>
      </c>
      <c r="AZ360" s="114"/>
      <c r="BA360" s="115"/>
      <c r="BB360" s="115"/>
      <c r="BC360" s="116"/>
      <c r="BE360" s="11">
        <v>46379</v>
      </c>
      <c r="BF360" s="33" t="s">
        <v>3</v>
      </c>
      <c r="BG360" s="33"/>
      <c r="BH360" s="19"/>
      <c r="BI360" s="19"/>
      <c r="BJ360" s="20"/>
      <c r="BL360" s="11">
        <v>46379</v>
      </c>
      <c r="BM360" s="33" t="s">
        <v>3</v>
      </c>
      <c r="BN360" s="114"/>
      <c r="BO360" s="115"/>
      <c r="BP360" s="115"/>
      <c r="BQ360" s="116"/>
      <c r="BS360" s="11">
        <v>46379</v>
      </c>
      <c r="BT360" s="33" t="s">
        <v>3</v>
      </c>
      <c r="BU360" s="114"/>
      <c r="BV360" s="115"/>
      <c r="BW360" s="115"/>
      <c r="BX360" s="116"/>
      <c r="BZ360" s="11">
        <v>46378</v>
      </c>
      <c r="CA360" s="33" t="s">
        <v>9</v>
      </c>
      <c r="CB360" s="114"/>
      <c r="CC360" s="115"/>
      <c r="CD360" s="115"/>
      <c r="CE360" s="116"/>
      <c r="CG360" s="11">
        <v>46379</v>
      </c>
      <c r="CH360" s="33" t="s">
        <v>3</v>
      </c>
      <c r="CI360" s="114"/>
      <c r="CJ360" s="115"/>
      <c r="CK360" s="115"/>
      <c r="CL360" s="116"/>
      <c r="CN360" s="11">
        <v>46379</v>
      </c>
      <c r="CO360" s="33" t="s">
        <v>3</v>
      </c>
      <c r="CP360" s="114"/>
      <c r="CQ360" s="115"/>
      <c r="CR360" s="115"/>
      <c r="CS360" s="116"/>
      <c r="CU360" s="11">
        <v>46379</v>
      </c>
      <c r="CV360" s="33" t="s">
        <v>3</v>
      </c>
      <c r="CW360" s="114"/>
      <c r="CX360" s="115"/>
      <c r="CY360" s="115"/>
      <c r="CZ360" s="116"/>
      <c r="DB360" s="11">
        <v>46377</v>
      </c>
      <c r="DC360" s="33" t="s">
        <v>8</v>
      </c>
      <c r="DD360" s="114"/>
      <c r="DE360" s="115"/>
      <c r="DF360" s="115"/>
      <c r="DG360" s="116"/>
      <c r="DI360" s="11">
        <v>46379</v>
      </c>
      <c r="DJ360" s="33" t="s">
        <v>3</v>
      </c>
      <c r="DK360" s="114"/>
      <c r="DL360" s="115"/>
      <c r="DM360" s="115"/>
      <c r="DN360" s="116"/>
      <c r="DP360" s="11">
        <v>46377</v>
      </c>
      <c r="DQ360" s="33" t="s">
        <v>8</v>
      </c>
      <c r="DR360" s="114"/>
      <c r="DS360" s="115"/>
      <c r="DT360" s="115"/>
      <c r="DU360" s="116"/>
      <c r="DW360" s="11">
        <v>46379</v>
      </c>
      <c r="DX360" s="33" t="s">
        <v>3</v>
      </c>
      <c r="DY360" s="114"/>
      <c r="DZ360" s="115"/>
      <c r="EA360" s="115"/>
      <c r="EB360" s="116"/>
    </row>
    <row r="361" spans="1:132" x14ac:dyDescent="0.25">
      <c r="A361" s="11">
        <v>46380</v>
      </c>
      <c r="B361" s="33" t="s">
        <v>4</v>
      </c>
      <c r="C361" s="114"/>
      <c r="D361" s="115"/>
      <c r="E361" s="115"/>
      <c r="F361" s="116"/>
      <c r="H361" s="11">
        <v>46380</v>
      </c>
      <c r="I361" s="33" t="s">
        <v>4</v>
      </c>
      <c r="J361" s="114"/>
      <c r="K361" s="115"/>
      <c r="L361" s="115"/>
      <c r="M361" s="116"/>
      <c r="O361" s="11">
        <v>46380</v>
      </c>
      <c r="P361" s="33" t="s">
        <v>4</v>
      </c>
      <c r="Q361" s="114"/>
      <c r="R361" s="115"/>
      <c r="S361" s="115"/>
      <c r="T361" s="116"/>
      <c r="V361" s="11">
        <v>46379</v>
      </c>
      <c r="W361" s="33" t="s">
        <v>3</v>
      </c>
      <c r="X361" s="114"/>
      <c r="Y361" s="115"/>
      <c r="Z361" s="115"/>
      <c r="AA361" s="116"/>
      <c r="AC361" s="11">
        <v>46380</v>
      </c>
      <c r="AD361" s="33" t="s">
        <v>4</v>
      </c>
      <c r="AE361" s="114"/>
      <c r="AF361" s="115"/>
      <c r="AG361" s="115"/>
      <c r="AH361" s="116"/>
      <c r="AJ361" s="11">
        <v>46380</v>
      </c>
      <c r="AK361" s="33" t="s">
        <v>4</v>
      </c>
      <c r="AL361" s="114"/>
      <c r="AM361" s="115"/>
      <c r="AN361" s="115"/>
      <c r="AO361" s="116"/>
      <c r="AQ361" s="11">
        <v>46380</v>
      </c>
      <c r="AR361" s="33" t="s">
        <v>4</v>
      </c>
      <c r="AS361" s="114"/>
      <c r="AT361" s="115"/>
      <c r="AU361" s="115"/>
      <c r="AV361" s="116"/>
      <c r="AX361" s="11">
        <v>46379</v>
      </c>
      <c r="AY361" s="33" t="s">
        <v>3</v>
      </c>
      <c r="AZ361" s="114"/>
      <c r="BA361" s="115"/>
      <c r="BB361" s="115"/>
      <c r="BC361" s="116"/>
      <c r="BE361" s="11">
        <v>46380</v>
      </c>
      <c r="BF361" s="33" t="s">
        <v>4</v>
      </c>
      <c r="BG361" s="33"/>
      <c r="BH361" s="19"/>
      <c r="BI361" s="19"/>
      <c r="BJ361" s="20"/>
      <c r="BL361" s="11">
        <v>46380</v>
      </c>
      <c r="BM361" s="33" t="s">
        <v>4</v>
      </c>
      <c r="BN361" s="114"/>
      <c r="BO361" s="115"/>
      <c r="BP361" s="115"/>
      <c r="BQ361" s="116"/>
      <c r="BS361" s="11">
        <v>46380</v>
      </c>
      <c r="BT361" s="33" t="s">
        <v>4</v>
      </c>
      <c r="BU361" s="114"/>
      <c r="BV361" s="115"/>
      <c r="BW361" s="115"/>
      <c r="BX361" s="116"/>
      <c r="BZ361" s="11">
        <v>46379</v>
      </c>
      <c r="CA361" s="33" t="s">
        <v>3</v>
      </c>
      <c r="CB361" s="114"/>
      <c r="CC361" s="115"/>
      <c r="CD361" s="115"/>
      <c r="CE361" s="116"/>
      <c r="CG361" s="11">
        <v>46380</v>
      </c>
      <c r="CH361" s="33" t="s">
        <v>4</v>
      </c>
      <c r="CI361" s="114"/>
      <c r="CJ361" s="115"/>
      <c r="CK361" s="115"/>
      <c r="CL361" s="116"/>
      <c r="CN361" s="11">
        <v>46380</v>
      </c>
      <c r="CO361" s="33" t="s">
        <v>4</v>
      </c>
      <c r="CP361" s="114"/>
      <c r="CQ361" s="115"/>
      <c r="CR361" s="115"/>
      <c r="CS361" s="116"/>
      <c r="CU361" s="11">
        <v>46380</v>
      </c>
      <c r="CV361" s="33" t="s">
        <v>4</v>
      </c>
      <c r="CW361" s="114"/>
      <c r="CX361" s="115"/>
      <c r="CY361" s="115"/>
      <c r="CZ361" s="116"/>
      <c r="DB361" s="11">
        <v>46378</v>
      </c>
      <c r="DC361" s="33" t="s">
        <v>9</v>
      </c>
      <c r="DD361" s="114"/>
      <c r="DE361" s="115"/>
      <c r="DF361" s="115"/>
      <c r="DG361" s="116"/>
      <c r="DI361" s="11">
        <v>46380</v>
      </c>
      <c r="DJ361" s="33" t="s">
        <v>4</v>
      </c>
      <c r="DK361" s="114"/>
      <c r="DL361" s="115"/>
      <c r="DM361" s="115"/>
      <c r="DN361" s="116"/>
      <c r="DP361" s="11">
        <v>46378</v>
      </c>
      <c r="DQ361" s="33" t="s">
        <v>9</v>
      </c>
      <c r="DR361" s="114"/>
      <c r="DS361" s="115"/>
      <c r="DT361" s="115"/>
      <c r="DU361" s="116"/>
      <c r="DW361" s="11">
        <v>46380</v>
      </c>
      <c r="DX361" s="33" t="s">
        <v>4</v>
      </c>
      <c r="DY361" s="114"/>
      <c r="DZ361" s="115"/>
      <c r="EA361" s="115"/>
      <c r="EB361" s="116"/>
    </row>
    <row r="362" spans="1:132" x14ac:dyDescent="0.25">
      <c r="A362" s="11">
        <v>46381</v>
      </c>
      <c r="B362" s="33" t="s">
        <v>5</v>
      </c>
      <c r="C362" s="114"/>
      <c r="D362" s="115"/>
      <c r="E362" s="115"/>
      <c r="F362" s="116"/>
      <c r="H362" s="11">
        <v>46381</v>
      </c>
      <c r="I362" s="33" t="s">
        <v>5</v>
      </c>
      <c r="J362" s="114"/>
      <c r="K362" s="115"/>
      <c r="L362" s="115"/>
      <c r="M362" s="116"/>
      <c r="O362" s="11">
        <v>46381</v>
      </c>
      <c r="P362" s="33" t="s">
        <v>5</v>
      </c>
      <c r="Q362" s="114"/>
      <c r="R362" s="115"/>
      <c r="S362" s="115"/>
      <c r="T362" s="116"/>
      <c r="V362" s="11">
        <v>46380</v>
      </c>
      <c r="W362" s="33" t="s">
        <v>4</v>
      </c>
      <c r="X362" s="114"/>
      <c r="Y362" s="115"/>
      <c r="Z362" s="115"/>
      <c r="AA362" s="116"/>
      <c r="AC362" s="11">
        <v>46381</v>
      </c>
      <c r="AD362" s="33" t="s">
        <v>5</v>
      </c>
      <c r="AE362" s="114"/>
      <c r="AF362" s="115"/>
      <c r="AG362" s="115"/>
      <c r="AH362" s="116"/>
      <c r="AJ362" s="11">
        <v>46381</v>
      </c>
      <c r="AK362" s="33" t="s">
        <v>5</v>
      </c>
      <c r="AL362" s="114"/>
      <c r="AM362" s="115"/>
      <c r="AN362" s="115"/>
      <c r="AO362" s="116"/>
      <c r="AQ362" s="11">
        <v>46381</v>
      </c>
      <c r="AR362" s="33" t="s">
        <v>5</v>
      </c>
      <c r="AS362" s="114"/>
      <c r="AT362" s="115"/>
      <c r="AU362" s="115"/>
      <c r="AV362" s="116"/>
      <c r="AX362" s="11">
        <v>46380</v>
      </c>
      <c r="AY362" s="33" t="s">
        <v>4</v>
      </c>
      <c r="AZ362" s="114"/>
      <c r="BA362" s="115"/>
      <c r="BB362" s="115"/>
      <c r="BC362" s="116"/>
      <c r="BE362" s="11">
        <v>46381</v>
      </c>
      <c r="BF362" s="33" t="s">
        <v>5</v>
      </c>
      <c r="BG362" s="33"/>
      <c r="BH362" s="19"/>
      <c r="BI362" s="19"/>
      <c r="BJ362" s="20"/>
      <c r="BL362" s="11">
        <v>46381</v>
      </c>
      <c r="BM362" s="33" t="s">
        <v>5</v>
      </c>
      <c r="BN362" s="114"/>
      <c r="BO362" s="115"/>
      <c r="BP362" s="115"/>
      <c r="BQ362" s="116"/>
      <c r="BS362" s="11">
        <v>46381</v>
      </c>
      <c r="BT362" s="33" t="s">
        <v>5</v>
      </c>
      <c r="BU362" s="114"/>
      <c r="BV362" s="115"/>
      <c r="BW362" s="115"/>
      <c r="BX362" s="116"/>
      <c r="BZ362" s="11">
        <v>46380</v>
      </c>
      <c r="CA362" s="33" t="s">
        <v>4</v>
      </c>
      <c r="CB362" s="114"/>
      <c r="CC362" s="115"/>
      <c r="CD362" s="115"/>
      <c r="CE362" s="116"/>
      <c r="CG362" s="11">
        <v>46381</v>
      </c>
      <c r="CH362" s="33" t="s">
        <v>5</v>
      </c>
      <c r="CI362" s="114"/>
      <c r="CJ362" s="115"/>
      <c r="CK362" s="115"/>
      <c r="CL362" s="116"/>
      <c r="CN362" s="11">
        <v>46381</v>
      </c>
      <c r="CO362" s="33" t="s">
        <v>5</v>
      </c>
      <c r="CP362" s="114"/>
      <c r="CQ362" s="115"/>
      <c r="CR362" s="115"/>
      <c r="CS362" s="116"/>
      <c r="CU362" s="11">
        <v>46381</v>
      </c>
      <c r="CV362" s="33" t="s">
        <v>5</v>
      </c>
      <c r="CW362" s="114"/>
      <c r="CX362" s="115"/>
      <c r="CY362" s="115"/>
      <c r="CZ362" s="116"/>
      <c r="DB362" s="11">
        <v>46379</v>
      </c>
      <c r="DC362" s="33" t="s">
        <v>3</v>
      </c>
      <c r="DD362" s="114"/>
      <c r="DE362" s="115"/>
      <c r="DF362" s="115"/>
      <c r="DG362" s="116"/>
      <c r="DI362" s="11">
        <v>46381</v>
      </c>
      <c r="DJ362" s="33" t="s">
        <v>5</v>
      </c>
      <c r="DK362" s="114"/>
      <c r="DL362" s="115"/>
      <c r="DM362" s="115"/>
      <c r="DN362" s="116"/>
      <c r="DP362" s="11">
        <v>46379</v>
      </c>
      <c r="DQ362" s="33" t="s">
        <v>3</v>
      </c>
      <c r="DR362" s="114"/>
      <c r="DS362" s="115"/>
      <c r="DT362" s="115"/>
      <c r="DU362" s="116"/>
      <c r="DW362" s="11">
        <v>46381</v>
      </c>
      <c r="DX362" s="33" t="s">
        <v>5</v>
      </c>
      <c r="DY362" s="114"/>
      <c r="DZ362" s="115"/>
      <c r="EA362" s="115"/>
      <c r="EB362" s="116"/>
    </row>
    <row r="363" spans="1:132" x14ac:dyDescent="0.25">
      <c r="A363" s="11">
        <v>46382</v>
      </c>
      <c r="B363" s="33" t="s">
        <v>6</v>
      </c>
      <c r="C363" s="114"/>
      <c r="D363" s="115"/>
      <c r="E363" s="115"/>
      <c r="F363" s="116"/>
      <c r="H363" s="11">
        <v>46382</v>
      </c>
      <c r="I363" s="33" t="s">
        <v>6</v>
      </c>
      <c r="J363" s="114"/>
      <c r="K363" s="115"/>
      <c r="L363" s="115"/>
      <c r="M363" s="116"/>
      <c r="O363" s="11">
        <v>46382</v>
      </c>
      <c r="P363" s="33" t="s">
        <v>6</v>
      </c>
      <c r="Q363" s="114"/>
      <c r="R363" s="115"/>
      <c r="S363" s="115"/>
      <c r="T363" s="116"/>
      <c r="V363" s="11">
        <v>46381</v>
      </c>
      <c r="W363" s="33" t="s">
        <v>5</v>
      </c>
      <c r="X363" s="114"/>
      <c r="Y363" s="115"/>
      <c r="Z363" s="115"/>
      <c r="AA363" s="116"/>
      <c r="AC363" s="11">
        <v>46382</v>
      </c>
      <c r="AD363" s="33" t="s">
        <v>6</v>
      </c>
      <c r="AE363" s="114"/>
      <c r="AF363" s="115"/>
      <c r="AG363" s="115"/>
      <c r="AH363" s="116"/>
      <c r="AJ363" s="11">
        <v>46382</v>
      </c>
      <c r="AK363" s="33" t="s">
        <v>6</v>
      </c>
      <c r="AL363" s="114"/>
      <c r="AM363" s="115"/>
      <c r="AN363" s="115"/>
      <c r="AO363" s="116"/>
      <c r="AQ363" s="11">
        <v>46382</v>
      </c>
      <c r="AR363" s="33" t="s">
        <v>6</v>
      </c>
      <c r="AS363" s="114"/>
      <c r="AT363" s="115"/>
      <c r="AU363" s="115"/>
      <c r="AV363" s="116"/>
      <c r="AX363" s="11">
        <v>46381</v>
      </c>
      <c r="AY363" s="33" t="s">
        <v>5</v>
      </c>
      <c r="AZ363" s="114"/>
      <c r="BA363" s="115"/>
      <c r="BB363" s="115"/>
      <c r="BC363" s="116"/>
      <c r="BE363" s="11">
        <v>46382</v>
      </c>
      <c r="BF363" s="33" t="s">
        <v>6</v>
      </c>
      <c r="BG363" s="33"/>
      <c r="BH363" s="19"/>
      <c r="BI363" s="19"/>
      <c r="BJ363" s="20"/>
      <c r="BL363" s="11">
        <v>46382</v>
      </c>
      <c r="BM363" s="33" t="s">
        <v>6</v>
      </c>
      <c r="BN363" s="114"/>
      <c r="BO363" s="115"/>
      <c r="BP363" s="115"/>
      <c r="BQ363" s="116"/>
      <c r="BS363" s="11">
        <v>46382</v>
      </c>
      <c r="BT363" s="33" t="s">
        <v>6</v>
      </c>
      <c r="BU363" s="114"/>
      <c r="BV363" s="115"/>
      <c r="BW363" s="115"/>
      <c r="BX363" s="116"/>
      <c r="BZ363" s="11">
        <v>46381</v>
      </c>
      <c r="CA363" s="33" t="s">
        <v>5</v>
      </c>
      <c r="CB363" s="114"/>
      <c r="CC363" s="115"/>
      <c r="CD363" s="115"/>
      <c r="CE363" s="116"/>
      <c r="CG363" s="11">
        <v>46382</v>
      </c>
      <c r="CH363" s="33" t="s">
        <v>6</v>
      </c>
      <c r="CI363" s="114"/>
      <c r="CJ363" s="115"/>
      <c r="CK363" s="115"/>
      <c r="CL363" s="116"/>
      <c r="CN363" s="11">
        <v>46382</v>
      </c>
      <c r="CO363" s="33" t="s">
        <v>6</v>
      </c>
      <c r="CP363" s="114"/>
      <c r="CQ363" s="115"/>
      <c r="CR363" s="115"/>
      <c r="CS363" s="116"/>
      <c r="CU363" s="11">
        <v>46382</v>
      </c>
      <c r="CV363" s="33" t="s">
        <v>6</v>
      </c>
      <c r="CW363" s="114"/>
      <c r="CX363" s="115"/>
      <c r="CY363" s="115"/>
      <c r="CZ363" s="116"/>
      <c r="DB363" s="11">
        <v>46380</v>
      </c>
      <c r="DC363" s="33" t="s">
        <v>4</v>
      </c>
      <c r="DD363" s="114"/>
      <c r="DE363" s="115"/>
      <c r="DF363" s="115"/>
      <c r="DG363" s="116"/>
      <c r="DI363" s="11">
        <v>46382</v>
      </c>
      <c r="DJ363" s="33" t="s">
        <v>6</v>
      </c>
      <c r="DK363" s="114"/>
      <c r="DL363" s="115"/>
      <c r="DM363" s="115"/>
      <c r="DN363" s="116"/>
      <c r="DP363" s="11">
        <v>46380</v>
      </c>
      <c r="DQ363" s="33" t="s">
        <v>4</v>
      </c>
      <c r="DR363" s="114"/>
      <c r="DS363" s="115"/>
      <c r="DT363" s="115"/>
      <c r="DU363" s="116"/>
      <c r="DW363" s="11">
        <v>46382</v>
      </c>
      <c r="DX363" s="33" t="s">
        <v>6</v>
      </c>
      <c r="DY363" s="114"/>
      <c r="DZ363" s="115"/>
      <c r="EA363" s="115"/>
      <c r="EB363" s="116"/>
    </row>
    <row r="364" spans="1:132" x14ac:dyDescent="0.25">
      <c r="A364" s="11">
        <v>46383</v>
      </c>
      <c r="B364" s="33" t="s">
        <v>7</v>
      </c>
      <c r="C364" s="114"/>
      <c r="D364" s="115"/>
      <c r="E364" s="115"/>
      <c r="F364" s="116"/>
      <c r="H364" s="11">
        <v>46383</v>
      </c>
      <c r="I364" s="33" t="s">
        <v>7</v>
      </c>
      <c r="J364" s="114"/>
      <c r="K364" s="115"/>
      <c r="L364" s="115"/>
      <c r="M364" s="116"/>
      <c r="O364" s="11">
        <v>46383</v>
      </c>
      <c r="P364" s="33" t="s">
        <v>7</v>
      </c>
      <c r="Q364" s="114"/>
      <c r="R364" s="115"/>
      <c r="S364" s="115"/>
      <c r="T364" s="116"/>
      <c r="V364" s="11">
        <v>46382</v>
      </c>
      <c r="W364" s="33" t="s">
        <v>6</v>
      </c>
      <c r="X364" s="114"/>
      <c r="Y364" s="115"/>
      <c r="Z364" s="115"/>
      <c r="AA364" s="116"/>
      <c r="AC364" s="11">
        <v>46383</v>
      </c>
      <c r="AD364" s="33" t="s">
        <v>7</v>
      </c>
      <c r="AE364" s="114"/>
      <c r="AF364" s="115"/>
      <c r="AG364" s="115"/>
      <c r="AH364" s="116"/>
      <c r="AJ364" s="11">
        <v>46383</v>
      </c>
      <c r="AK364" s="33" t="s">
        <v>7</v>
      </c>
      <c r="AL364" s="114"/>
      <c r="AM364" s="115"/>
      <c r="AN364" s="115"/>
      <c r="AO364" s="116"/>
      <c r="AQ364" s="11">
        <v>46383</v>
      </c>
      <c r="AR364" s="33" t="s">
        <v>7</v>
      </c>
      <c r="AS364" s="114"/>
      <c r="AT364" s="115"/>
      <c r="AU364" s="115"/>
      <c r="AV364" s="116"/>
      <c r="AX364" s="11">
        <v>46382</v>
      </c>
      <c r="AY364" s="33" t="s">
        <v>6</v>
      </c>
      <c r="AZ364" s="114"/>
      <c r="BA364" s="115"/>
      <c r="BB364" s="115"/>
      <c r="BC364" s="116"/>
      <c r="BE364" s="11">
        <v>46383</v>
      </c>
      <c r="BF364" s="33" t="s">
        <v>7</v>
      </c>
      <c r="BG364" s="33"/>
      <c r="BH364" s="19"/>
      <c r="BI364" s="19"/>
      <c r="BJ364" s="20"/>
      <c r="BL364" s="11">
        <v>46383</v>
      </c>
      <c r="BM364" s="33" t="s">
        <v>7</v>
      </c>
      <c r="BN364" s="114"/>
      <c r="BO364" s="115"/>
      <c r="BP364" s="115"/>
      <c r="BQ364" s="116"/>
      <c r="BS364" s="11">
        <v>46383</v>
      </c>
      <c r="BT364" s="33" t="s">
        <v>7</v>
      </c>
      <c r="BU364" s="114"/>
      <c r="BV364" s="115"/>
      <c r="BW364" s="115"/>
      <c r="BX364" s="116"/>
      <c r="BZ364" s="11">
        <v>46382</v>
      </c>
      <c r="CA364" s="33" t="s">
        <v>6</v>
      </c>
      <c r="CB364" s="114"/>
      <c r="CC364" s="115"/>
      <c r="CD364" s="115"/>
      <c r="CE364" s="116"/>
      <c r="CG364" s="11">
        <v>46383</v>
      </c>
      <c r="CH364" s="33" t="s">
        <v>7</v>
      </c>
      <c r="CI364" s="114"/>
      <c r="CJ364" s="115"/>
      <c r="CK364" s="115"/>
      <c r="CL364" s="116"/>
      <c r="CN364" s="11">
        <v>46383</v>
      </c>
      <c r="CO364" s="33" t="s">
        <v>7</v>
      </c>
      <c r="CP364" s="114"/>
      <c r="CQ364" s="115"/>
      <c r="CR364" s="115"/>
      <c r="CS364" s="116"/>
      <c r="CU364" s="11">
        <v>46383</v>
      </c>
      <c r="CV364" s="33" t="s">
        <v>7</v>
      </c>
      <c r="CW364" s="114"/>
      <c r="CX364" s="115"/>
      <c r="CY364" s="115"/>
      <c r="CZ364" s="116"/>
      <c r="DB364" s="11">
        <v>46381</v>
      </c>
      <c r="DC364" s="33" t="s">
        <v>5</v>
      </c>
      <c r="DD364" s="114"/>
      <c r="DE364" s="115"/>
      <c r="DF364" s="115"/>
      <c r="DG364" s="116"/>
      <c r="DI364" s="11">
        <v>46383</v>
      </c>
      <c r="DJ364" s="33" t="s">
        <v>7</v>
      </c>
      <c r="DK364" s="114"/>
      <c r="DL364" s="115"/>
      <c r="DM364" s="115"/>
      <c r="DN364" s="116"/>
      <c r="DP364" s="11">
        <v>46381</v>
      </c>
      <c r="DQ364" s="33" t="s">
        <v>5</v>
      </c>
      <c r="DR364" s="114"/>
      <c r="DS364" s="115"/>
      <c r="DT364" s="115"/>
      <c r="DU364" s="116"/>
      <c r="DW364" s="11">
        <v>46383</v>
      </c>
      <c r="DX364" s="33" t="s">
        <v>7</v>
      </c>
      <c r="DY364" s="114"/>
      <c r="DZ364" s="115"/>
      <c r="EA364" s="115"/>
      <c r="EB364" s="116"/>
    </row>
    <row r="365" spans="1:132" x14ac:dyDescent="0.25">
      <c r="A365" s="11">
        <v>46384</v>
      </c>
      <c r="B365" s="33" t="s">
        <v>8</v>
      </c>
      <c r="C365" s="114"/>
      <c r="D365" s="115"/>
      <c r="E365" s="115"/>
      <c r="F365" s="116"/>
      <c r="H365" s="11">
        <v>46384</v>
      </c>
      <c r="I365" s="33" t="s">
        <v>8</v>
      </c>
      <c r="J365" s="114"/>
      <c r="K365" s="115"/>
      <c r="L365" s="115"/>
      <c r="M365" s="116"/>
      <c r="O365" s="11">
        <v>46384</v>
      </c>
      <c r="P365" s="33" t="s">
        <v>8</v>
      </c>
      <c r="Q365" s="114"/>
      <c r="R365" s="115"/>
      <c r="S365" s="115"/>
      <c r="T365" s="116"/>
      <c r="V365" s="11">
        <v>46383</v>
      </c>
      <c r="W365" s="33" t="s">
        <v>7</v>
      </c>
      <c r="X365" s="114"/>
      <c r="Y365" s="115"/>
      <c r="Z365" s="115"/>
      <c r="AA365" s="116"/>
      <c r="AC365" s="11">
        <v>46384</v>
      </c>
      <c r="AD365" s="33" t="s">
        <v>8</v>
      </c>
      <c r="AE365" s="114"/>
      <c r="AF365" s="115"/>
      <c r="AG365" s="115"/>
      <c r="AH365" s="116"/>
      <c r="AJ365" s="11">
        <v>46384</v>
      </c>
      <c r="AK365" s="33" t="s">
        <v>8</v>
      </c>
      <c r="AL365" s="114"/>
      <c r="AM365" s="115"/>
      <c r="AN365" s="115"/>
      <c r="AO365" s="116"/>
      <c r="AQ365" s="11">
        <v>46384</v>
      </c>
      <c r="AR365" s="33" t="s">
        <v>8</v>
      </c>
      <c r="AS365" s="114"/>
      <c r="AT365" s="115"/>
      <c r="AU365" s="115"/>
      <c r="AV365" s="116"/>
      <c r="AX365" s="11">
        <v>46383</v>
      </c>
      <c r="AY365" s="33" t="s">
        <v>7</v>
      </c>
      <c r="AZ365" s="114"/>
      <c r="BA365" s="115"/>
      <c r="BB365" s="115"/>
      <c r="BC365" s="116"/>
      <c r="BE365" s="11">
        <v>46384</v>
      </c>
      <c r="BF365" s="33" t="s">
        <v>8</v>
      </c>
      <c r="BG365" s="33"/>
      <c r="BH365" s="19"/>
      <c r="BI365" s="19"/>
      <c r="BJ365" s="20"/>
      <c r="BL365" s="11">
        <v>46384</v>
      </c>
      <c r="BM365" s="33" t="s">
        <v>8</v>
      </c>
      <c r="BN365" s="114"/>
      <c r="BO365" s="115"/>
      <c r="BP365" s="115"/>
      <c r="BQ365" s="116"/>
      <c r="BS365" s="11">
        <v>46384</v>
      </c>
      <c r="BT365" s="33" t="s">
        <v>8</v>
      </c>
      <c r="BU365" s="114"/>
      <c r="BV365" s="115"/>
      <c r="BW365" s="115"/>
      <c r="BX365" s="116"/>
      <c r="BZ365" s="11">
        <v>46383</v>
      </c>
      <c r="CA365" s="33" t="s">
        <v>7</v>
      </c>
      <c r="CB365" s="114"/>
      <c r="CC365" s="115"/>
      <c r="CD365" s="115"/>
      <c r="CE365" s="116"/>
      <c r="CG365" s="11">
        <v>46384</v>
      </c>
      <c r="CH365" s="33" t="s">
        <v>8</v>
      </c>
      <c r="CI365" s="114"/>
      <c r="CJ365" s="115"/>
      <c r="CK365" s="115"/>
      <c r="CL365" s="116"/>
      <c r="CN365" s="11">
        <v>46384</v>
      </c>
      <c r="CO365" s="33" t="s">
        <v>8</v>
      </c>
      <c r="CP365" s="114"/>
      <c r="CQ365" s="115"/>
      <c r="CR365" s="115"/>
      <c r="CS365" s="116"/>
      <c r="CU365" s="11">
        <v>46384</v>
      </c>
      <c r="CV365" s="33" t="s">
        <v>8</v>
      </c>
      <c r="CW365" s="114"/>
      <c r="CX365" s="115"/>
      <c r="CY365" s="115"/>
      <c r="CZ365" s="116"/>
      <c r="DB365" s="11">
        <v>46382</v>
      </c>
      <c r="DC365" s="33" t="s">
        <v>6</v>
      </c>
      <c r="DD365" s="114"/>
      <c r="DE365" s="115"/>
      <c r="DF365" s="115"/>
      <c r="DG365" s="116"/>
      <c r="DI365" s="11">
        <v>46384</v>
      </c>
      <c r="DJ365" s="33" t="s">
        <v>8</v>
      </c>
      <c r="DK365" s="114"/>
      <c r="DL365" s="115"/>
      <c r="DM365" s="115"/>
      <c r="DN365" s="116"/>
      <c r="DP365" s="11">
        <v>46382</v>
      </c>
      <c r="DQ365" s="33" t="s">
        <v>6</v>
      </c>
      <c r="DR365" s="114"/>
      <c r="DS365" s="115"/>
      <c r="DT365" s="115"/>
      <c r="DU365" s="116"/>
      <c r="DW365" s="11">
        <v>46384</v>
      </c>
      <c r="DX365" s="33" t="s">
        <v>8</v>
      </c>
      <c r="DY365" s="114"/>
      <c r="DZ365" s="115"/>
      <c r="EA365" s="115"/>
      <c r="EB365" s="116"/>
    </row>
    <row r="366" spans="1:132" x14ac:dyDescent="0.25">
      <c r="A366" s="11">
        <v>46385</v>
      </c>
      <c r="B366" s="33" t="s">
        <v>9</v>
      </c>
      <c r="C366" s="114"/>
      <c r="D366" s="115"/>
      <c r="E366" s="115"/>
      <c r="F366" s="116"/>
      <c r="H366" s="11">
        <v>46385</v>
      </c>
      <c r="I366" s="33" t="s">
        <v>9</v>
      </c>
      <c r="J366" s="114"/>
      <c r="K366" s="115"/>
      <c r="L366" s="115"/>
      <c r="M366" s="116"/>
      <c r="O366" s="11">
        <v>46385</v>
      </c>
      <c r="P366" s="33" t="s">
        <v>9</v>
      </c>
      <c r="Q366" s="114"/>
      <c r="R366" s="115"/>
      <c r="S366" s="115"/>
      <c r="T366" s="116"/>
      <c r="V366" s="11">
        <v>46384</v>
      </c>
      <c r="W366" s="33" t="s">
        <v>8</v>
      </c>
      <c r="X366" s="114"/>
      <c r="Y366" s="115"/>
      <c r="Z366" s="115"/>
      <c r="AA366" s="116"/>
      <c r="AC366" s="11">
        <v>46385</v>
      </c>
      <c r="AD366" s="33" t="s">
        <v>9</v>
      </c>
      <c r="AE366" s="114"/>
      <c r="AF366" s="115"/>
      <c r="AG366" s="115"/>
      <c r="AH366" s="116"/>
      <c r="AJ366" s="11">
        <v>46385</v>
      </c>
      <c r="AK366" s="33" t="s">
        <v>9</v>
      </c>
      <c r="AL366" s="114"/>
      <c r="AM366" s="115"/>
      <c r="AN366" s="115"/>
      <c r="AO366" s="116"/>
      <c r="AQ366" s="11">
        <v>46385</v>
      </c>
      <c r="AR366" s="33" t="s">
        <v>9</v>
      </c>
      <c r="AS366" s="114"/>
      <c r="AT366" s="115"/>
      <c r="AU366" s="115"/>
      <c r="AV366" s="116"/>
      <c r="AX366" s="11">
        <v>46384</v>
      </c>
      <c r="AY366" s="33" t="s">
        <v>8</v>
      </c>
      <c r="AZ366" s="114"/>
      <c r="BA366" s="115"/>
      <c r="BB366" s="115"/>
      <c r="BC366" s="116"/>
      <c r="BE366" s="11">
        <v>46385</v>
      </c>
      <c r="BF366" s="33" t="s">
        <v>9</v>
      </c>
      <c r="BG366" s="33"/>
      <c r="BH366" s="19"/>
      <c r="BI366" s="19"/>
      <c r="BJ366" s="20"/>
      <c r="BL366" s="11">
        <v>46385</v>
      </c>
      <c r="BM366" s="33" t="s">
        <v>9</v>
      </c>
      <c r="BN366" s="114"/>
      <c r="BO366" s="115"/>
      <c r="BP366" s="115"/>
      <c r="BQ366" s="116"/>
      <c r="BS366" s="11">
        <v>46385</v>
      </c>
      <c r="BT366" s="33" t="s">
        <v>9</v>
      </c>
      <c r="BU366" s="114"/>
      <c r="BV366" s="115"/>
      <c r="BW366" s="115"/>
      <c r="BX366" s="116"/>
      <c r="BZ366" s="11">
        <v>46384</v>
      </c>
      <c r="CA366" s="33" t="s">
        <v>8</v>
      </c>
      <c r="CB366" s="114"/>
      <c r="CC366" s="115"/>
      <c r="CD366" s="115"/>
      <c r="CE366" s="116"/>
      <c r="CG366" s="11">
        <v>46385</v>
      </c>
      <c r="CH366" s="33" t="s">
        <v>9</v>
      </c>
      <c r="CI366" s="114"/>
      <c r="CJ366" s="115"/>
      <c r="CK366" s="115"/>
      <c r="CL366" s="116"/>
      <c r="CN366" s="11">
        <v>46385</v>
      </c>
      <c r="CO366" s="33" t="s">
        <v>9</v>
      </c>
      <c r="CP366" s="114"/>
      <c r="CQ366" s="115"/>
      <c r="CR366" s="115"/>
      <c r="CS366" s="116"/>
      <c r="CU366" s="11">
        <v>46385</v>
      </c>
      <c r="CV366" s="33" t="s">
        <v>9</v>
      </c>
      <c r="CW366" s="114"/>
      <c r="CX366" s="115"/>
      <c r="CY366" s="115"/>
      <c r="CZ366" s="116"/>
      <c r="DB366" s="11">
        <v>46383</v>
      </c>
      <c r="DC366" s="33" t="s">
        <v>7</v>
      </c>
      <c r="DD366" s="114"/>
      <c r="DE366" s="115"/>
      <c r="DF366" s="115"/>
      <c r="DG366" s="116"/>
      <c r="DI366" s="11">
        <v>46385</v>
      </c>
      <c r="DJ366" s="33" t="s">
        <v>9</v>
      </c>
      <c r="DK366" s="114"/>
      <c r="DL366" s="115"/>
      <c r="DM366" s="115"/>
      <c r="DN366" s="116"/>
      <c r="DP366" s="11">
        <v>46383</v>
      </c>
      <c r="DQ366" s="33" t="s">
        <v>7</v>
      </c>
      <c r="DR366" s="114"/>
      <c r="DS366" s="115"/>
      <c r="DT366" s="115"/>
      <c r="DU366" s="116"/>
      <c r="DW366" s="11">
        <v>46385</v>
      </c>
      <c r="DX366" s="33" t="s">
        <v>9</v>
      </c>
      <c r="DY366" s="114"/>
      <c r="DZ366" s="115"/>
      <c r="EA366" s="115"/>
      <c r="EB366" s="116"/>
    </row>
    <row r="367" spans="1:132" x14ac:dyDescent="0.25">
      <c r="A367" s="11">
        <v>46386</v>
      </c>
      <c r="B367" s="33" t="s">
        <v>3</v>
      </c>
      <c r="C367" s="114"/>
      <c r="D367" s="115"/>
      <c r="E367" s="115"/>
      <c r="F367" s="116"/>
      <c r="H367" s="11">
        <v>46386</v>
      </c>
      <c r="I367" s="33" t="s">
        <v>3</v>
      </c>
      <c r="J367" s="114"/>
      <c r="K367" s="115"/>
      <c r="L367" s="115"/>
      <c r="M367" s="116"/>
      <c r="O367" s="11">
        <v>46386</v>
      </c>
      <c r="P367" s="33" t="s">
        <v>3</v>
      </c>
      <c r="Q367" s="114"/>
      <c r="R367" s="115"/>
      <c r="S367" s="115"/>
      <c r="T367" s="116"/>
      <c r="V367" s="11">
        <v>46385</v>
      </c>
      <c r="W367" s="33" t="s">
        <v>9</v>
      </c>
      <c r="X367" s="114"/>
      <c r="Y367" s="115"/>
      <c r="Z367" s="115"/>
      <c r="AA367" s="116"/>
      <c r="AC367" s="11">
        <v>46386</v>
      </c>
      <c r="AD367" s="33" t="s">
        <v>3</v>
      </c>
      <c r="AE367" s="114"/>
      <c r="AF367" s="115"/>
      <c r="AG367" s="115"/>
      <c r="AH367" s="116"/>
      <c r="AJ367" s="11">
        <v>46386</v>
      </c>
      <c r="AK367" s="33" t="s">
        <v>3</v>
      </c>
      <c r="AL367" s="114"/>
      <c r="AM367" s="115"/>
      <c r="AN367" s="115"/>
      <c r="AO367" s="116"/>
      <c r="AQ367" s="11">
        <v>46386</v>
      </c>
      <c r="AR367" s="33" t="s">
        <v>3</v>
      </c>
      <c r="AS367" s="114"/>
      <c r="AT367" s="115"/>
      <c r="AU367" s="115"/>
      <c r="AV367" s="116"/>
      <c r="AX367" s="11">
        <v>46385</v>
      </c>
      <c r="AY367" s="33" t="s">
        <v>9</v>
      </c>
      <c r="AZ367" s="114"/>
      <c r="BA367" s="115"/>
      <c r="BB367" s="115"/>
      <c r="BC367" s="116"/>
      <c r="BE367" s="11">
        <v>46386</v>
      </c>
      <c r="BF367" s="33" t="s">
        <v>3</v>
      </c>
      <c r="BG367" s="33"/>
      <c r="BH367" s="19"/>
      <c r="BI367" s="19"/>
      <c r="BJ367" s="20"/>
      <c r="BL367" s="11">
        <v>46386</v>
      </c>
      <c r="BM367" s="33" t="s">
        <v>3</v>
      </c>
      <c r="BN367" s="114"/>
      <c r="BO367" s="115"/>
      <c r="BP367" s="115"/>
      <c r="BQ367" s="116"/>
      <c r="BS367" s="11">
        <v>46386</v>
      </c>
      <c r="BT367" s="33" t="s">
        <v>3</v>
      </c>
      <c r="BU367" s="114"/>
      <c r="BV367" s="115"/>
      <c r="BW367" s="115"/>
      <c r="BX367" s="116"/>
      <c r="BZ367" s="11">
        <v>46385</v>
      </c>
      <c r="CA367" s="33" t="s">
        <v>9</v>
      </c>
      <c r="CB367" s="114"/>
      <c r="CC367" s="115"/>
      <c r="CD367" s="115"/>
      <c r="CE367" s="116"/>
      <c r="CG367" s="11">
        <v>46386</v>
      </c>
      <c r="CH367" s="33" t="s">
        <v>3</v>
      </c>
      <c r="CI367" s="114"/>
      <c r="CJ367" s="115"/>
      <c r="CK367" s="115"/>
      <c r="CL367" s="116"/>
      <c r="CN367" s="11">
        <v>46386</v>
      </c>
      <c r="CO367" s="33" t="s">
        <v>3</v>
      </c>
      <c r="CP367" s="114"/>
      <c r="CQ367" s="115"/>
      <c r="CR367" s="115"/>
      <c r="CS367" s="116"/>
      <c r="CU367" s="11">
        <v>46386</v>
      </c>
      <c r="CV367" s="33" t="s">
        <v>3</v>
      </c>
      <c r="CW367" s="114"/>
      <c r="CX367" s="115"/>
      <c r="CY367" s="115"/>
      <c r="CZ367" s="116"/>
      <c r="DB367" s="11">
        <v>46384</v>
      </c>
      <c r="DC367" s="33" t="s">
        <v>8</v>
      </c>
      <c r="DD367" s="114"/>
      <c r="DE367" s="115"/>
      <c r="DF367" s="115"/>
      <c r="DG367" s="116"/>
      <c r="DI367" s="11">
        <v>46386</v>
      </c>
      <c r="DJ367" s="33" t="s">
        <v>3</v>
      </c>
      <c r="DK367" s="114"/>
      <c r="DL367" s="115"/>
      <c r="DM367" s="115"/>
      <c r="DN367" s="116"/>
      <c r="DP367" s="11">
        <v>46384</v>
      </c>
      <c r="DQ367" s="33" t="s">
        <v>8</v>
      </c>
      <c r="DR367" s="114"/>
      <c r="DS367" s="115"/>
      <c r="DT367" s="115"/>
      <c r="DU367" s="116"/>
      <c r="DW367" s="11">
        <v>46386</v>
      </c>
      <c r="DX367" s="33" t="s">
        <v>3</v>
      </c>
      <c r="DY367" s="114"/>
      <c r="DZ367" s="115"/>
      <c r="EA367" s="115"/>
      <c r="EB367" s="116"/>
    </row>
    <row r="368" spans="1:132" ht="15.75" thickBot="1" x14ac:dyDescent="0.3">
      <c r="A368" s="11">
        <v>46387</v>
      </c>
      <c r="B368" s="33" t="s">
        <v>4</v>
      </c>
      <c r="C368" s="114" t="s">
        <v>60</v>
      </c>
      <c r="D368" s="115"/>
      <c r="E368" s="115"/>
      <c r="F368" s="116"/>
      <c r="H368" s="11">
        <v>46387</v>
      </c>
      <c r="I368" s="33" t="s">
        <v>4</v>
      </c>
      <c r="J368" s="114" t="s">
        <v>60</v>
      </c>
      <c r="K368" s="115"/>
      <c r="L368" s="115"/>
      <c r="M368" s="116"/>
      <c r="O368" s="11">
        <v>46387</v>
      </c>
      <c r="P368" s="33" t="s">
        <v>4</v>
      </c>
      <c r="Q368" s="114" t="s">
        <v>60</v>
      </c>
      <c r="R368" s="115"/>
      <c r="S368" s="115"/>
      <c r="T368" s="116"/>
      <c r="V368" s="11">
        <v>46386</v>
      </c>
      <c r="W368" s="33" t="s">
        <v>3</v>
      </c>
      <c r="X368" s="114"/>
      <c r="Y368" s="115"/>
      <c r="Z368" s="115"/>
      <c r="AA368" s="116"/>
      <c r="AC368" s="11">
        <v>46387</v>
      </c>
      <c r="AD368" s="33" t="s">
        <v>4</v>
      </c>
      <c r="AE368" s="114" t="s">
        <v>60</v>
      </c>
      <c r="AF368" s="115"/>
      <c r="AG368" s="115"/>
      <c r="AH368" s="116"/>
      <c r="AJ368" s="11">
        <v>46387</v>
      </c>
      <c r="AK368" s="33" t="s">
        <v>4</v>
      </c>
      <c r="AL368" s="114" t="s">
        <v>60</v>
      </c>
      <c r="AM368" s="115"/>
      <c r="AN368" s="115"/>
      <c r="AO368" s="116"/>
      <c r="AQ368" s="11">
        <v>46387</v>
      </c>
      <c r="AR368" s="33" t="s">
        <v>4</v>
      </c>
      <c r="AS368" s="114" t="s">
        <v>60</v>
      </c>
      <c r="AT368" s="115"/>
      <c r="AU368" s="115"/>
      <c r="AV368" s="116"/>
      <c r="AX368" s="11">
        <v>46386</v>
      </c>
      <c r="AY368" s="33" t="s">
        <v>3</v>
      </c>
      <c r="AZ368" s="114"/>
      <c r="BA368" s="115"/>
      <c r="BB368" s="115"/>
      <c r="BC368" s="116"/>
      <c r="BE368" s="11">
        <v>46387</v>
      </c>
      <c r="BF368" s="33" t="s">
        <v>4</v>
      </c>
      <c r="BG368" s="33" t="s">
        <v>60</v>
      </c>
      <c r="BH368" s="19"/>
      <c r="BI368" s="19"/>
      <c r="BJ368" s="20"/>
      <c r="BL368" s="11">
        <v>46387</v>
      </c>
      <c r="BM368" s="33" t="s">
        <v>4</v>
      </c>
      <c r="BN368" s="114" t="s">
        <v>60</v>
      </c>
      <c r="BO368" s="115"/>
      <c r="BP368" s="115"/>
      <c r="BQ368" s="116"/>
      <c r="BS368" s="11">
        <v>46387</v>
      </c>
      <c r="BT368" s="33" t="s">
        <v>4</v>
      </c>
      <c r="BU368" s="114" t="s">
        <v>60</v>
      </c>
      <c r="BV368" s="115"/>
      <c r="BW368" s="115"/>
      <c r="BX368" s="116"/>
      <c r="BZ368" s="11">
        <v>46386</v>
      </c>
      <c r="CA368" s="33" t="s">
        <v>3</v>
      </c>
      <c r="CB368" s="114"/>
      <c r="CC368" s="115"/>
      <c r="CD368" s="115"/>
      <c r="CE368" s="116"/>
      <c r="CG368" s="11">
        <v>46387</v>
      </c>
      <c r="CH368" s="33" t="s">
        <v>4</v>
      </c>
      <c r="CI368" s="114" t="s">
        <v>60</v>
      </c>
      <c r="CJ368" s="115"/>
      <c r="CK368" s="115"/>
      <c r="CL368" s="116"/>
      <c r="CN368" s="11">
        <v>46387</v>
      </c>
      <c r="CO368" s="33" t="s">
        <v>4</v>
      </c>
      <c r="CP368" s="114" t="s">
        <v>60</v>
      </c>
      <c r="CQ368" s="115"/>
      <c r="CR368" s="115"/>
      <c r="CS368" s="116"/>
      <c r="CU368" s="11">
        <v>46387</v>
      </c>
      <c r="CV368" s="33" t="s">
        <v>4</v>
      </c>
      <c r="CW368" s="114" t="s">
        <v>60</v>
      </c>
      <c r="CX368" s="115"/>
      <c r="CY368" s="115"/>
      <c r="CZ368" s="116"/>
      <c r="DB368" s="11">
        <v>46385</v>
      </c>
      <c r="DC368" s="33" t="s">
        <v>9</v>
      </c>
      <c r="DD368" s="114"/>
      <c r="DE368" s="115"/>
      <c r="DF368" s="115"/>
      <c r="DG368" s="116"/>
      <c r="DI368" s="11">
        <v>46387</v>
      </c>
      <c r="DJ368" s="33" t="s">
        <v>4</v>
      </c>
      <c r="DK368" s="114" t="s">
        <v>60</v>
      </c>
      <c r="DL368" s="115"/>
      <c r="DM368" s="115"/>
      <c r="DN368" s="116"/>
      <c r="DP368" s="11">
        <v>46385</v>
      </c>
      <c r="DQ368" s="33" t="s">
        <v>9</v>
      </c>
      <c r="DR368" s="114"/>
      <c r="DS368" s="115"/>
      <c r="DT368" s="115"/>
      <c r="DU368" s="116"/>
      <c r="DW368" s="11">
        <v>46387</v>
      </c>
      <c r="DX368" s="33" t="s">
        <v>4</v>
      </c>
      <c r="DY368" s="114" t="s">
        <v>60</v>
      </c>
      <c r="DZ368" s="115"/>
      <c r="EA368" s="115"/>
      <c r="EB368" s="116"/>
    </row>
    <row r="369" spans="1:132" ht="15.75" hidden="1" thickBot="1" x14ac:dyDescent="0.3">
      <c r="D369" s="119">
        <f>SUM(D4:D368)</f>
        <v>10800</v>
      </c>
      <c r="E369" s="120">
        <f>SUM(E4:E368)</f>
        <v>960</v>
      </c>
      <c r="F369" s="121">
        <f>SUM(F4:F368)</f>
        <v>1216</v>
      </c>
      <c r="K369" s="119">
        <f>SUM(K4:K368)</f>
        <v>10250</v>
      </c>
      <c r="L369" s="120">
        <f>SUM(L4:L368)</f>
        <v>840.5</v>
      </c>
      <c r="M369" s="121">
        <f>SUM(M4:M368)</f>
        <v>0</v>
      </c>
      <c r="R369" s="119">
        <f>SUM(R4:R368)</f>
        <v>0</v>
      </c>
      <c r="S369" s="120">
        <f>SUM(S4:S368)</f>
        <v>0</v>
      </c>
      <c r="T369" s="121">
        <f>SUM(T4:T368)</f>
        <v>0</v>
      </c>
      <c r="V369" s="11">
        <v>46387</v>
      </c>
      <c r="W369" s="33" t="s">
        <v>4</v>
      </c>
      <c r="X369" s="114" t="s">
        <v>60</v>
      </c>
      <c r="Y369" s="115"/>
      <c r="Z369" s="115"/>
      <c r="AA369" s="116"/>
      <c r="AF369" s="119">
        <f>SUM(AF4:AF368)</f>
        <v>9700</v>
      </c>
      <c r="AG369" s="120">
        <f>SUM(AG4:AG368)</f>
        <v>442</v>
      </c>
      <c r="AH369" s="121">
        <f>SUM(AH4:AH368)</f>
        <v>335</v>
      </c>
      <c r="AM369" s="129">
        <f>SUM(AM4:AM368)</f>
        <v>13500</v>
      </c>
      <c r="AN369" s="130">
        <f>SUM(AN4:AN368)</f>
        <v>189.5</v>
      </c>
      <c r="AO369" s="131">
        <f>SUM(AO4:AO368)</f>
        <v>350</v>
      </c>
      <c r="AT369" s="119">
        <f>SUM(AT4:AT368)</f>
        <v>3120</v>
      </c>
      <c r="AU369" s="120">
        <f>SUM(AU4:AU368)</f>
        <v>386</v>
      </c>
      <c r="AV369" s="121">
        <f>SUM(AV4:AV368)</f>
        <v>0</v>
      </c>
      <c r="AX369" s="11">
        <v>46387</v>
      </c>
      <c r="AY369" s="33" t="s">
        <v>4</v>
      </c>
      <c r="AZ369" s="114" t="s">
        <v>60</v>
      </c>
      <c r="BA369" s="115"/>
      <c r="BB369" s="115"/>
      <c r="BC369" s="116"/>
      <c r="BH369" s="21">
        <f>SUM(BH4:BH368)</f>
        <v>0</v>
      </c>
      <c r="BI369" s="22">
        <f>SUM(BI4:BI368)</f>
        <v>0</v>
      </c>
      <c r="BJ369" s="23">
        <f>SUM(BJ4:BJ368)</f>
        <v>0</v>
      </c>
      <c r="BO369" s="119">
        <f>SUM(BO4:BO368)</f>
        <v>6220</v>
      </c>
      <c r="BP369" s="120">
        <f>SUM(BP4:BP368)</f>
        <v>776</v>
      </c>
      <c r="BQ369" s="121">
        <f>SUM(BQ4:BQ368)</f>
        <v>0</v>
      </c>
      <c r="BV369" s="119">
        <f>SUM(BV4:BV368)</f>
        <v>200</v>
      </c>
      <c r="BW369" s="120">
        <f>SUM(BW4:BW368)</f>
        <v>24</v>
      </c>
      <c r="BX369" s="121">
        <f>SUM(BX4:BX368)</f>
        <v>0</v>
      </c>
      <c r="BZ369" s="11">
        <v>46387</v>
      </c>
      <c r="CA369" s="33" t="s">
        <v>4</v>
      </c>
      <c r="CB369" s="114" t="s">
        <v>60</v>
      </c>
      <c r="CC369" s="115"/>
      <c r="CD369" s="115"/>
      <c r="CE369" s="116"/>
      <c r="CJ369" s="119">
        <f>SUM(CJ4:CJ368)</f>
        <v>1300</v>
      </c>
      <c r="CK369" s="120">
        <f>SUM(CK4:CK368)</f>
        <v>161</v>
      </c>
      <c r="CL369" s="121">
        <f>SUM(CL4:CL368)</f>
        <v>0</v>
      </c>
      <c r="CQ369" s="119">
        <f>SUM(CQ4:CQ368)</f>
        <v>6665</v>
      </c>
      <c r="CR369" s="120">
        <f>SUM(CR4:CR368)</f>
        <v>546</v>
      </c>
      <c r="CS369" s="121">
        <f>SUM(CS4:CS368)</f>
        <v>50</v>
      </c>
      <c r="CX369" s="119">
        <f>SUM(CX4:CX368)</f>
        <v>3480</v>
      </c>
      <c r="CY369" s="120">
        <f>SUM(CY4:CY368)</f>
        <v>104</v>
      </c>
      <c r="CZ369" s="121">
        <f>SUM(CZ4:CZ368)</f>
        <v>310</v>
      </c>
      <c r="DB369" s="11">
        <v>46386</v>
      </c>
      <c r="DC369" s="33" t="s">
        <v>3</v>
      </c>
      <c r="DD369" s="114"/>
      <c r="DE369" s="115"/>
      <c r="DF369" s="115"/>
      <c r="DG369" s="116"/>
      <c r="DL369" s="119">
        <f>SUM(DL4:DL368)</f>
        <v>600</v>
      </c>
      <c r="DM369" s="120">
        <f>SUM(DM4:DM368)</f>
        <v>13</v>
      </c>
      <c r="DN369" s="121">
        <f>SUM(DN4:DN368)</f>
        <v>110</v>
      </c>
      <c r="DP369" s="11">
        <v>46386</v>
      </c>
      <c r="DQ369" s="33" t="s">
        <v>3</v>
      </c>
      <c r="DR369" s="114"/>
      <c r="DS369" s="115"/>
      <c r="DT369" s="115"/>
      <c r="DU369" s="116"/>
      <c r="DZ369" s="119">
        <f>SUM(DZ4:DZ368)</f>
        <v>2160</v>
      </c>
      <c r="EA369" s="120">
        <f>SUM(EA4:EA368)</f>
        <v>286</v>
      </c>
      <c r="EB369" s="121">
        <f>SUM(EB4:EB368)</f>
        <v>0</v>
      </c>
    </row>
    <row r="370" spans="1:132" s="71" customFormat="1" ht="16.5" thickBot="1" x14ac:dyDescent="0.3">
      <c r="A370" s="30"/>
      <c r="B370" s="30"/>
      <c r="C370" s="122"/>
      <c r="D370" s="200">
        <f>SUM(D369:F369)</f>
        <v>12976</v>
      </c>
      <c r="E370" s="201"/>
      <c r="F370" s="202"/>
      <c r="J370" s="72"/>
      <c r="K370" s="178">
        <f>SUM(K369:M369)</f>
        <v>11090.5</v>
      </c>
      <c r="L370" s="179"/>
      <c r="M370" s="180"/>
      <c r="Q370" s="72"/>
      <c r="R370" s="178">
        <f>SUM(R369:T369)</f>
        <v>0</v>
      </c>
      <c r="S370" s="179"/>
      <c r="T370" s="180"/>
      <c r="V370" s="1"/>
      <c r="W370" s="1"/>
      <c r="X370" s="112"/>
      <c r="Y370" s="119">
        <f>SUM(Y4:Y369)</f>
        <v>5740</v>
      </c>
      <c r="Z370" s="120">
        <f>SUM(Z4:Z369)</f>
        <v>642.60000000000059</v>
      </c>
      <c r="AA370" s="121">
        <f>SUM(AA4:AA369)</f>
        <v>50</v>
      </c>
      <c r="AE370" s="72"/>
      <c r="AF370" s="178">
        <f>SUM(AF369:AH369)</f>
        <v>10477</v>
      </c>
      <c r="AG370" s="179"/>
      <c r="AH370" s="180"/>
      <c r="AL370" s="72"/>
      <c r="AM370" s="178">
        <f>SUM(AM369:AO369)</f>
        <v>14039.5</v>
      </c>
      <c r="AN370" s="179"/>
      <c r="AO370" s="180"/>
      <c r="AS370" s="72"/>
      <c r="AT370" s="178">
        <f>SUM(AT369:AV369)</f>
        <v>3506</v>
      </c>
      <c r="AU370" s="179"/>
      <c r="AV370" s="180"/>
      <c r="AX370" s="1"/>
      <c r="AY370" s="1"/>
      <c r="AZ370" s="112"/>
      <c r="BA370" s="119">
        <f>SUM(BA4:BA369)</f>
        <v>6120</v>
      </c>
      <c r="BB370" s="120">
        <f>SUM(BB4:BB369)</f>
        <v>225.5</v>
      </c>
      <c r="BC370" s="121">
        <f>SUM(BC4:BC369)</f>
        <v>340</v>
      </c>
      <c r="BG370" s="72"/>
      <c r="BH370" s="178">
        <f>SUM(BH369:BJ369)</f>
        <v>0</v>
      </c>
      <c r="BI370" s="179"/>
      <c r="BJ370" s="180"/>
      <c r="BN370" s="72"/>
      <c r="BO370" s="178">
        <f>SUM(BO369:BQ369)</f>
        <v>6996</v>
      </c>
      <c r="BP370" s="179"/>
      <c r="BQ370" s="180"/>
      <c r="BU370" s="72"/>
      <c r="BV370" s="178">
        <f>SUM(BV369:BX369)</f>
        <v>224</v>
      </c>
      <c r="BW370" s="179"/>
      <c r="BX370" s="180"/>
      <c r="BZ370" s="1"/>
      <c r="CA370" s="1"/>
      <c r="CB370" s="112"/>
      <c r="CC370" s="119">
        <f>SUM(CC4:CC369)</f>
        <v>4840</v>
      </c>
      <c r="CD370" s="120">
        <f>SUM(CD4:CD369)</f>
        <v>165.5</v>
      </c>
      <c r="CE370" s="121">
        <f>SUM(CE4:CE369)</f>
        <v>320</v>
      </c>
      <c r="CI370" s="72"/>
      <c r="CJ370" s="178">
        <f>SUM(CJ369:CL369)</f>
        <v>1461</v>
      </c>
      <c r="CK370" s="179"/>
      <c r="CL370" s="180"/>
      <c r="CP370" s="72"/>
      <c r="CQ370" s="178">
        <f>SUM(CQ369:CS369)</f>
        <v>7261</v>
      </c>
      <c r="CR370" s="179"/>
      <c r="CS370" s="180"/>
      <c r="CW370" s="72"/>
      <c r="CX370" s="178">
        <f>SUM(CX369:CZ369)</f>
        <v>3894</v>
      </c>
      <c r="CY370" s="179"/>
      <c r="CZ370" s="180"/>
      <c r="DB370" s="11">
        <v>46387</v>
      </c>
      <c r="DC370" s="33" t="s">
        <v>4</v>
      </c>
      <c r="DD370" s="114" t="s">
        <v>60</v>
      </c>
      <c r="DE370" s="115"/>
      <c r="DF370" s="115"/>
      <c r="DG370" s="116"/>
      <c r="DK370" s="72"/>
      <c r="DL370" s="178">
        <f>SUM(DL369:DN369)</f>
        <v>723</v>
      </c>
      <c r="DM370" s="179"/>
      <c r="DN370" s="180"/>
      <c r="DP370" s="11">
        <v>46387</v>
      </c>
      <c r="DQ370" s="33" t="s">
        <v>4</v>
      </c>
      <c r="DR370" s="114" t="s">
        <v>60</v>
      </c>
      <c r="DS370" s="115"/>
      <c r="DT370" s="115"/>
      <c r="DU370" s="116"/>
      <c r="DY370" s="72"/>
      <c r="DZ370" s="178">
        <f>SUM(DZ369:EB369)</f>
        <v>2446</v>
      </c>
      <c r="EA370" s="179"/>
      <c r="EB370" s="180"/>
    </row>
    <row r="371" spans="1:132" ht="15" customHeight="1" thickBot="1" x14ac:dyDescent="0.3">
      <c r="V371" s="71"/>
      <c r="W371" s="71"/>
      <c r="X371" s="72"/>
      <c r="Y371" s="178">
        <f>SUM(Y370:AA370)</f>
        <v>6432.6</v>
      </c>
      <c r="Z371" s="179"/>
      <c r="AA371" s="180"/>
      <c r="AX371" s="71"/>
      <c r="AY371" s="71"/>
      <c r="AZ371" s="72"/>
      <c r="BA371" s="178">
        <f>SUM(BA370:BC370)</f>
        <v>6685.5</v>
      </c>
      <c r="BB371" s="179"/>
      <c r="BC371" s="180"/>
      <c r="BZ371" s="71"/>
      <c r="CA371" s="71"/>
      <c r="CB371" s="72"/>
      <c r="CC371" s="178">
        <f>SUM(CC370:CE370)</f>
        <v>5325.5</v>
      </c>
      <c r="CD371" s="179"/>
      <c r="CE371" s="180"/>
      <c r="DE371" s="119">
        <f>SUM(DE4:DE370)</f>
        <v>7000</v>
      </c>
      <c r="DF371" s="120">
        <f>SUM(DF4:DF370)</f>
        <v>481</v>
      </c>
      <c r="DG371" s="121">
        <f>SUM(DG4:DG370)</f>
        <v>300</v>
      </c>
      <c r="DS371" s="119">
        <f>SUM(DS4:DS370)</f>
        <v>3000</v>
      </c>
      <c r="DT371" s="120">
        <f>SUM(DT4:DT370)</f>
        <v>351</v>
      </c>
      <c r="DU371" s="121">
        <f>SUM(DU4:DU370)</f>
        <v>240</v>
      </c>
    </row>
    <row r="372" spans="1:132" ht="15" customHeight="1" thickBot="1" x14ac:dyDescent="0.3">
      <c r="A372" s="181" t="s">
        <v>22</v>
      </c>
      <c r="B372" s="182"/>
      <c r="C372" s="182"/>
      <c r="D372" s="182"/>
      <c r="E372" s="182"/>
      <c r="F372" s="183"/>
      <c r="H372" s="181" t="s">
        <v>22</v>
      </c>
      <c r="I372" s="182"/>
      <c r="J372" s="182"/>
      <c r="K372" s="182"/>
      <c r="L372" s="182"/>
      <c r="M372" s="183"/>
      <c r="O372" s="181" t="s">
        <v>22</v>
      </c>
      <c r="P372" s="182"/>
      <c r="Q372" s="182"/>
      <c r="R372" s="182"/>
      <c r="S372" s="182"/>
      <c r="T372" s="183"/>
      <c r="AC372" s="181" t="s">
        <v>22</v>
      </c>
      <c r="AD372" s="182"/>
      <c r="AE372" s="182"/>
      <c r="AF372" s="182"/>
      <c r="AG372" s="182"/>
      <c r="AH372" s="183"/>
      <c r="AJ372" s="181" t="s">
        <v>22</v>
      </c>
      <c r="AK372" s="182"/>
      <c r="AL372" s="182"/>
      <c r="AM372" s="182"/>
      <c r="AN372" s="182"/>
      <c r="AO372" s="183"/>
      <c r="AQ372" s="181" t="s">
        <v>22</v>
      </c>
      <c r="AR372" s="182"/>
      <c r="AS372" s="182"/>
      <c r="AT372" s="182"/>
      <c r="AU372" s="182"/>
      <c r="AV372" s="183"/>
      <c r="BE372" s="181" t="s">
        <v>22</v>
      </c>
      <c r="BF372" s="182"/>
      <c r="BG372" s="182"/>
      <c r="BH372" s="182"/>
      <c r="BI372" s="182"/>
      <c r="BJ372" s="183"/>
      <c r="BL372" s="181" t="s">
        <v>22</v>
      </c>
      <c r="BM372" s="182"/>
      <c r="BN372" s="182"/>
      <c r="BO372" s="182"/>
      <c r="BP372" s="182"/>
      <c r="BQ372" s="183"/>
      <c r="BS372" s="181" t="s">
        <v>22</v>
      </c>
      <c r="BT372" s="182"/>
      <c r="BU372" s="182"/>
      <c r="BV372" s="182"/>
      <c r="BW372" s="182"/>
      <c r="BX372" s="183"/>
      <c r="CG372" s="181" t="s">
        <v>22</v>
      </c>
      <c r="CH372" s="182"/>
      <c r="CI372" s="182"/>
      <c r="CJ372" s="182"/>
      <c r="CK372" s="182"/>
      <c r="CL372" s="183"/>
      <c r="CN372" s="181" t="s">
        <v>22</v>
      </c>
      <c r="CO372" s="182"/>
      <c r="CP372" s="182"/>
      <c r="CQ372" s="182"/>
      <c r="CR372" s="182"/>
      <c r="CS372" s="183"/>
      <c r="CU372" s="181" t="s">
        <v>22</v>
      </c>
      <c r="CV372" s="182"/>
      <c r="CW372" s="182"/>
      <c r="CX372" s="182"/>
      <c r="CY372" s="182"/>
      <c r="CZ372" s="183"/>
      <c r="DB372" s="71"/>
      <c r="DC372" s="71"/>
      <c r="DD372" s="72"/>
      <c r="DE372" s="178">
        <f>SUM(DE371:DG371)</f>
        <v>7781</v>
      </c>
      <c r="DF372" s="179"/>
      <c r="DG372" s="180"/>
      <c r="DI372" s="181" t="s">
        <v>22</v>
      </c>
      <c r="DJ372" s="182"/>
      <c r="DK372" s="182"/>
      <c r="DL372" s="182"/>
      <c r="DM372" s="182"/>
      <c r="DN372" s="183"/>
      <c r="DP372" s="71"/>
      <c r="DQ372" s="71"/>
      <c r="DR372" s="72"/>
      <c r="DS372" s="178">
        <f>SUM(DS371:DU371)</f>
        <v>3591</v>
      </c>
      <c r="DT372" s="179"/>
      <c r="DU372" s="180"/>
      <c r="DW372" s="181" t="s">
        <v>22</v>
      </c>
      <c r="DX372" s="182"/>
      <c r="DY372" s="182"/>
      <c r="DZ372" s="182"/>
      <c r="EA372" s="182"/>
      <c r="EB372" s="183"/>
    </row>
    <row r="373" spans="1:132" ht="15" customHeight="1" thickBot="1" x14ac:dyDescent="0.3">
      <c r="A373" s="184" t="s">
        <v>1</v>
      </c>
      <c r="B373" s="185"/>
      <c r="C373" s="24" t="s">
        <v>18</v>
      </c>
      <c r="D373" s="24" t="s">
        <v>19</v>
      </c>
      <c r="E373" s="24" t="s">
        <v>20</v>
      </c>
      <c r="F373" s="24" t="s">
        <v>21</v>
      </c>
      <c r="H373" s="184" t="s">
        <v>1</v>
      </c>
      <c r="I373" s="185"/>
      <c r="J373" s="24" t="s">
        <v>18</v>
      </c>
      <c r="K373" s="24" t="s">
        <v>19</v>
      </c>
      <c r="L373" s="24" t="s">
        <v>20</v>
      </c>
      <c r="M373" s="24" t="s">
        <v>21</v>
      </c>
      <c r="O373" s="184" t="s">
        <v>1</v>
      </c>
      <c r="P373" s="185"/>
      <c r="Q373" s="24" t="s">
        <v>18</v>
      </c>
      <c r="R373" s="24" t="s">
        <v>19</v>
      </c>
      <c r="S373" s="24" t="s">
        <v>20</v>
      </c>
      <c r="T373" s="24" t="s">
        <v>21</v>
      </c>
      <c r="V373" s="181" t="s">
        <v>22</v>
      </c>
      <c r="W373" s="182"/>
      <c r="X373" s="182"/>
      <c r="Y373" s="182"/>
      <c r="Z373" s="182"/>
      <c r="AA373" s="183"/>
      <c r="AC373" s="184" t="s">
        <v>1</v>
      </c>
      <c r="AD373" s="185"/>
      <c r="AE373" s="24" t="s">
        <v>18</v>
      </c>
      <c r="AF373" s="24" t="s">
        <v>19</v>
      </c>
      <c r="AG373" s="24" t="s">
        <v>20</v>
      </c>
      <c r="AH373" s="24" t="s">
        <v>21</v>
      </c>
      <c r="AJ373" s="184" t="s">
        <v>1</v>
      </c>
      <c r="AK373" s="185"/>
      <c r="AL373" s="24" t="s">
        <v>18</v>
      </c>
      <c r="AM373" s="24" t="s">
        <v>19</v>
      </c>
      <c r="AN373" s="24" t="s">
        <v>20</v>
      </c>
      <c r="AO373" s="24" t="s">
        <v>21</v>
      </c>
      <c r="AQ373" s="184" t="s">
        <v>1</v>
      </c>
      <c r="AR373" s="185"/>
      <c r="AS373" s="24" t="s">
        <v>18</v>
      </c>
      <c r="AT373" s="24" t="s">
        <v>19</v>
      </c>
      <c r="AU373" s="24" t="s">
        <v>20</v>
      </c>
      <c r="AV373" s="24" t="s">
        <v>21</v>
      </c>
      <c r="AX373" s="181" t="s">
        <v>22</v>
      </c>
      <c r="AY373" s="182"/>
      <c r="AZ373" s="182"/>
      <c r="BA373" s="182"/>
      <c r="BB373" s="182"/>
      <c r="BC373" s="183"/>
      <c r="BE373" s="184" t="s">
        <v>1</v>
      </c>
      <c r="BF373" s="185"/>
      <c r="BG373" s="24" t="s">
        <v>18</v>
      </c>
      <c r="BH373" s="24" t="s">
        <v>19</v>
      </c>
      <c r="BI373" s="24" t="s">
        <v>20</v>
      </c>
      <c r="BJ373" s="24" t="s">
        <v>21</v>
      </c>
      <c r="BL373" s="184" t="s">
        <v>1</v>
      </c>
      <c r="BM373" s="185"/>
      <c r="BN373" s="24" t="s">
        <v>18</v>
      </c>
      <c r="BO373" s="24" t="s">
        <v>19</v>
      </c>
      <c r="BP373" s="24" t="s">
        <v>20</v>
      </c>
      <c r="BQ373" s="24" t="s">
        <v>21</v>
      </c>
      <c r="BS373" s="184" t="s">
        <v>1</v>
      </c>
      <c r="BT373" s="185"/>
      <c r="BU373" s="24" t="s">
        <v>18</v>
      </c>
      <c r="BV373" s="24" t="s">
        <v>19</v>
      </c>
      <c r="BW373" s="24" t="s">
        <v>20</v>
      </c>
      <c r="BX373" s="24" t="s">
        <v>21</v>
      </c>
      <c r="BZ373" s="181" t="s">
        <v>22</v>
      </c>
      <c r="CA373" s="182"/>
      <c r="CB373" s="182"/>
      <c r="CC373" s="182"/>
      <c r="CD373" s="182"/>
      <c r="CE373" s="183"/>
      <c r="CG373" s="184" t="s">
        <v>1</v>
      </c>
      <c r="CH373" s="185"/>
      <c r="CI373" s="24" t="s">
        <v>18</v>
      </c>
      <c r="CJ373" s="24" t="s">
        <v>19</v>
      </c>
      <c r="CK373" s="24" t="s">
        <v>20</v>
      </c>
      <c r="CL373" s="24" t="s">
        <v>21</v>
      </c>
      <c r="CN373" s="184" t="s">
        <v>1</v>
      </c>
      <c r="CO373" s="185"/>
      <c r="CP373" s="24" t="s">
        <v>18</v>
      </c>
      <c r="CQ373" s="24" t="s">
        <v>19</v>
      </c>
      <c r="CR373" s="24" t="s">
        <v>20</v>
      </c>
      <c r="CS373" s="24" t="s">
        <v>21</v>
      </c>
      <c r="CU373" s="184" t="s">
        <v>1</v>
      </c>
      <c r="CV373" s="185"/>
      <c r="CW373" s="24" t="s">
        <v>18</v>
      </c>
      <c r="CX373" s="24" t="s">
        <v>19</v>
      </c>
      <c r="CY373" s="24" t="s">
        <v>20</v>
      </c>
      <c r="CZ373" s="24" t="s">
        <v>21</v>
      </c>
      <c r="DI373" s="184" t="s">
        <v>1</v>
      </c>
      <c r="DJ373" s="185"/>
      <c r="DK373" s="24" t="s">
        <v>18</v>
      </c>
      <c r="DL373" s="24" t="s">
        <v>19</v>
      </c>
      <c r="DM373" s="24" t="s">
        <v>20</v>
      </c>
      <c r="DN373" s="24" t="s">
        <v>21</v>
      </c>
      <c r="DW373" s="184" t="s">
        <v>1</v>
      </c>
      <c r="DX373" s="185"/>
      <c r="DY373" s="24" t="s">
        <v>18</v>
      </c>
      <c r="DZ373" s="24" t="s">
        <v>19</v>
      </c>
      <c r="EA373" s="24" t="s">
        <v>20</v>
      </c>
      <c r="EB373" s="24" t="s">
        <v>21</v>
      </c>
    </row>
    <row r="374" spans="1:132" ht="15" customHeight="1" thickBot="1" x14ac:dyDescent="0.3">
      <c r="A374" s="186" t="s">
        <v>32</v>
      </c>
      <c r="B374" s="187"/>
      <c r="C374" s="123">
        <f>SUMIF(C4:C368,"*ANGELA CID*",D4:D368)</f>
        <v>360</v>
      </c>
      <c r="D374" s="124">
        <f>SUMIF(C4:C368,"*ANGELA CID*",E4:E368)</f>
        <v>30</v>
      </c>
      <c r="E374" s="124">
        <f>SUMIF(C4:C368,"*ANGELA CID*",F4:F368)</f>
        <v>38</v>
      </c>
      <c r="F374" s="124">
        <f t="shared" ref="F374:F385" si="1">SUM(C374:E374)</f>
        <v>428</v>
      </c>
      <c r="H374" s="186" t="s">
        <v>32</v>
      </c>
      <c r="I374" s="187"/>
      <c r="J374" s="123">
        <f>SUMIF(J4:J368,"*ANGELA CID*",K4:K368)</f>
        <v>250</v>
      </c>
      <c r="K374" s="124">
        <f>SUMIF(J4:J368,"*ANGELA CID*",L4:L368)</f>
        <v>20.5</v>
      </c>
      <c r="L374" s="124">
        <f>SUMIF(J4:J368,"*ANGELA CID*",M4:M368)</f>
        <v>0</v>
      </c>
      <c r="M374" s="124">
        <f>SUM(J374:L374)</f>
        <v>270.5</v>
      </c>
      <c r="O374" s="186" t="s">
        <v>32</v>
      </c>
      <c r="P374" s="187"/>
      <c r="Q374" s="123">
        <f>SUMIF(Q4:Q368,"*ANGELA CID*",R4:R368)</f>
        <v>0</v>
      </c>
      <c r="R374" s="124">
        <f>SUMIF(Q4:Q368,"*ANGELA CID*",S4:S368)</f>
        <v>0</v>
      </c>
      <c r="S374" s="124">
        <f>SUMIF(Q4:Q368,"*ANGELA CID*",T4:T368)</f>
        <v>0</v>
      </c>
      <c r="T374" s="124">
        <f>SUM(Q374:S374)</f>
        <v>0</v>
      </c>
      <c r="V374" s="184" t="s">
        <v>1</v>
      </c>
      <c r="W374" s="185"/>
      <c r="X374" s="24" t="s">
        <v>18</v>
      </c>
      <c r="Y374" s="24" t="s">
        <v>19</v>
      </c>
      <c r="Z374" s="24" t="s">
        <v>20</v>
      </c>
      <c r="AA374" s="24" t="s">
        <v>21</v>
      </c>
      <c r="AC374" s="186" t="s">
        <v>32</v>
      </c>
      <c r="AD374" s="187"/>
      <c r="AE374" s="123">
        <f>SUMIF(AE4:AE368,"*ANGELA CID*",AF4:AF368)</f>
        <v>3600</v>
      </c>
      <c r="AF374" s="124">
        <f>SUMIF(AE4:AE368,"*ANGELA CID*",AG4:AG368)</f>
        <v>65</v>
      </c>
      <c r="AG374" s="124">
        <f>SUMIF(AE4:AE368,"*ANGELA CID*",AH4:AH368)</f>
        <v>285</v>
      </c>
      <c r="AH374" s="124">
        <f>SUM(AE374:AG374)</f>
        <v>3950</v>
      </c>
      <c r="AJ374" s="186" t="s">
        <v>32</v>
      </c>
      <c r="AK374" s="187"/>
      <c r="AL374" s="132">
        <f>SUMIF(AL4:AL368,"*ANGELA CID*",AM4:AM368)</f>
        <v>10000</v>
      </c>
      <c r="AM374" s="133">
        <f>SUMIF(AL4:AL368,"*ANGELA CID*",AN4:AN368)</f>
        <v>129.5</v>
      </c>
      <c r="AN374" s="133">
        <f>SUMIF(AL4:AL368,"*ANGELA CID*",AO4:AO368)</f>
        <v>290</v>
      </c>
      <c r="AO374" s="124">
        <f>SUM(AL374:AN374)</f>
        <v>10419.5</v>
      </c>
      <c r="AQ374" s="186" t="s">
        <v>32</v>
      </c>
      <c r="AR374" s="187"/>
      <c r="AS374" s="123">
        <f>SUMIF(AS4:AS368,"*ANGELA CID*",AT4:AT368)</f>
        <v>100</v>
      </c>
      <c r="AT374" s="124">
        <f>SUMIF(AS4:AS368,"*ANGELA CID*",AU4:AU368)</f>
        <v>12</v>
      </c>
      <c r="AU374" s="124">
        <f>SUMIF(AS4:AS368,"*ANGELA CID*",AV4:AV368)</f>
        <v>0</v>
      </c>
      <c r="AV374" s="124">
        <f>SUM(AS374:AU374)</f>
        <v>112</v>
      </c>
      <c r="AX374" s="184" t="s">
        <v>1</v>
      </c>
      <c r="AY374" s="185"/>
      <c r="AZ374" s="24" t="s">
        <v>18</v>
      </c>
      <c r="BA374" s="24" t="s">
        <v>19</v>
      </c>
      <c r="BB374" s="24" t="s">
        <v>20</v>
      </c>
      <c r="BC374" s="24" t="s">
        <v>21</v>
      </c>
      <c r="BE374" s="186" t="s">
        <v>32</v>
      </c>
      <c r="BF374" s="187"/>
      <c r="BG374" s="25">
        <f>SUMIF(BG4:BG368,"*ANGELA CID*",BH4:BH368)</f>
        <v>0</v>
      </c>
      <c r="BH374" s="26">
        <f>SUMIF(BG4:BG368,"*ANGELA CID*",BI4:BI368)</f>
        <v>0</v>
      </c>
      <c r="BI374" s="26">
        <f>SUMIF(BG4:BG368,"*ANGELA CID*",BJ4:BJ368)</f>
        <v>0</v>
      </c>
      <c r="BJ374" s="26">
        <f>SUM(BG374:BI374)</f>
        <v>0</v>
      </c>
      <c r="BL374" s="186" t="s">
        <v>32</v>
      </c>
      <c r="BM374" s="187"/>
      <c r="BN374" s="123">
        <f>SUMIF(BN4:BN368,"*ANGELA CID*",BO4:BO368)</f>
        <v>120</v>
      </c>
      <c r="BO374" s="124">
        <f>SUMIF(BN4:BN368,"*ANGELA CID*",BP4:BP368)</f>
        <v>13</v>
      </c>
      <c r="BP374" s="124">
        <f>SUMIF(BN4:BN368,"*ANGELA CID*",BQ4:BQ368)</f>
        <v>0</v>
      </c>
      <c r="BQ374" s="124">
        <f>SUM(BN374:BP374)</f>
        <v>133</v>
      </c>
      <c r="BS374" s="186" t="s">
        <v>32</v>
      </c>
      <c r="BT374" s="187"/>
      <c r="BU374" s="123">
        <f>SUMIF(BU4:BU368,"*ANGELA CID*",BV4:BV368)</f>
        <v>0</v>
      </c>
      <c r="BV374" s="124">
        <f>SUMIF(BU4:BU368,"*ANGELA CID*",BW4:BW368)</f>
        <v>0</v>
      </c>
      <c r="BW374" s="124">
        <f>SUMIF(BU4:BU368,"*ANGELA CID*",BX4:BX368)</f>
        <v>0</v>
      </c>
      <c r="BX374" s="124">
        <f>SUM(BU374:BW374)</f>
        <v>0</v>
      </c>
      <c r="BZ374" s="184" t="s">
        <v>1</v>
      </c>
      <c r="CA374" s="185"/>
      <c r="CB374" s="24" t="s">
        <v>18</v>
      </c>
      <c r="CC374" s="24" t="s">
        <v>19</v>
      </c>
      <c r="CD374" s="24" t="s">
        <v>20</v>
      </c>
      <c r="CE374" s="24" t="s">
        <v>21</v>
      </c>
      <c r="CG374" s="186" t="s">
        <v>32</v>
      </c>
      <c r="CH374" s="187"/>
      <c r="CI374" s="123">
        <f>SUMIF(CI4:CI368,"*ANGELA CID*",CJ4:CJ368)</f>
        <v>0</v>
      </c>
      <c r="CJ374" s="124">
        <f>SUMIF(CI4:CI368,"*ANGELA CID*",CK4:CK368)</f>
        <v>0</v>
      </c>
      <c r="CK374" s="124">
        <f>SUMIF(CI4:CI368,"*ANGELA CID*",CL4:CL368)</f>
        <v>0</v>
      </c>
      <c r="CL374" s="124">
        <f>SUM(CI374:CK374)</f>
        <v>0</v>
      </c>
      <c r="CN374" s="186" t="s">
        <v>32</v>
      </c>
      <c r="CO374" s="187"/>
      <c r="CP374" s="123">
        <f>SUMIF(CP4:CP368,"*ANGELA CID*",CQ4:CQ368)</f>
        <v>1035</v>
      </c>
      <c r="CQ374" s="124">
        <f>SUMIF(CP4:CP368,"*ANGELA CID*",CR4:CR368)</f>
        <v>91</v>
      </c>
      <c r="CR374" s="124">
        <f>SUMIF(CP4:CP368,"*ANGELA CID*",CS4:CS368)</f>
        <v>50</v>
      </c>
      <c r="CS374" s="124">
        <f>SUM(CP374:CR374)</f>
        <v>1176</v>
      </c>
      <c r="CU374" s="186" t="s">
        <v>32</v>
      </c>
      <c r="CV374" s="187"/>
      <c r="CW374" s="123">
        <f>SUMIF(CW4:CW368,"*ANGELA CID*",CX4:CX368)</f>
        <v>3120</v>
      </c>
      <c r="CX374" s="124">
        <f>SUMIF(CW4:CW368,"*ANGELA CID*",CY4:CY368)</f>
        <v>91</v>
      </c>
      <c r="CY374" s="124">
        <f>SUMIF(CW4:CW368,"*ANGELA CID*",CZ4:CZ368)</f>
        <v>250</v>
      </c>
      <c r="CZ374" s="124">
        <f>SUM(CW374:CY374)</f>
        <v>3461</v>
      </c>
      <c r="DB374" s="181" t="s">
        <v>22</v>
      </c>
      <c r="DC374" s="182"/>
      <c r="DD374" s="182"/>
      <c r="DE374" s="182"/>
      <c r="DF374" s="182"/>
      <c r="DG374" s="183"/>
      <c r="DI374" s="186" t="s">
        <v>32</v>
      </c>
      <c r="DJ374" s="187"/>
      <c r="DK374" s="123">
        <f>SUMIF(DK4:DK368,"*ANGELA CID*",DL4:DL368)</f>
        <v>600</v>
      </c>
      <c r="DL374" s="124">
        <f>SUMIF(DK4:DK368,"*ANGELA CID*",DM4:DM368)</f>
        <v>13</v>
      </c>
      <c r="DM374" s="124">
        <f>SUMIF(DK4:DK368,"*ANGELA CID*",DN4:DN368)</f>
        <v>50</v>
      </c>
      <c r="DN374" s="124">
        <f>SUM(DK374:DM374)</f>
        <v>663</v>
      </c>
      <c r="DP374" s="181" t="s">
        <v>22</v>
      </c>
      <c r="DQ374" s="182"/>
      <c r="DR374" s="182"/>
      <c r="DS374" s="182"/>
      <c r="DT374" s="182"/>
      <c r="DU374" s="183"/>
      <c r="DW374" s="186" t="s">
        <v>32</v>
      </c>
      <c r="DX374" s="187"/>
      <c r="DY374" s="123">
        <f>SUMIF(DY4:DY368,"*ANGELA CID*",DZ4:DZ368)</f>
        <v>120</v>
      </c>
      <c r="DZ374" s="124">
        <f>SUMIF(DY4:DY368,"*ANGELA CID*",EA4:EA368)</f>
        <v>13</v>
      </c>
      <c r="EA374" s="124">
        <f>SUMIF(DY4:DY368,"*ANGELA CID*",EB4:EB368)</f>
        <v>0</v>
      </c>
      <c r="EB374" s="124">
        <f>SUM(DY374:EA374)</f>
        <v>133</v>
      </c>
    </row>
    <row r="375" spans="1:132" ht="15" customHeight="1" thickBot="1" x14ac:dyDescent="0.3">
      <c r="A375" s="171" t="s">
        <v>35</v>
      </c>
      <c r="B375" s="172"/>
      <c r="C375" s="123">
        <f>SUMIF(C4:C368,"*CHALÉS - STO ANTONIO*",D4:D368)</f>
        <v>0</v>
      </c>
      <c r="D375" s="124">
        <f>SUMIF(C4:C368,"*CHALÉS - STO ANTONIO*",E4:E368)</f>
        <v>0</v>
      </c>
      <c r="E375" s="124">
        <f>SUMIF(C4:C368,"*CHALÉS - STO ANTONIO*",F4:F368)</f>
        <v>0</v>
      </c>
      <c r="F375" s="124">
        <f t="shared" si="1"/>
        <v>0</v>
      </c>
      <c r="H375" s="171" t="s">
        <v>35</v>
      </c>
      <c r="I375" s="172"/>
      <c r="J375" s="123">
        <f>SUMIF(J4:J368,"*CHALÉS - STO ANTONIO*",K4:K368)</f>
        <v>0</v>
      </c>
      <c r="K375" s="124">
        <f>SUMIF(J4:J368,"*CHALÉS - STO ANTONIO*",L4:L368)</f>
        <v>0</v>
      </c>
      <c r="L375" s="124">
        <f>SUMIF(J4:J368,"*CHALÉS - STO ANTONIO*",M4:M368)</f>
        <v>0</v>
      </c>
      <c r="M375" s="124">
        <f>SUM(J375:L375)</f>
        <v>0</v>
      </c>
      <c r="O375" s="171" t="s">
        <v>35</v>
      </c>
      <c r="P375" s="172"/>
      <c r="Q375" s="123">
        <f>SUMIF(Q4:Q368,"*CHALÉS - STO ANTONIO*",R4:R368)</f>
        <v>0</v>
      </c>
      <c r="R375" s="124">
        <f>SUMIF(Q4:Q368,"*CHALÉS - STO ANTONIO*",S4:S368)</f>
        <v>0</v>
      </c>
      <c r="S375" s="124">
        <f>SUMIF(Q4:Q368,"*CHALÉS - STO ANTONIO*",T4:T368)</f>
        <v>0</v>
      </c>
      <c r="T375" s="124">
        <f>SUM(Q375:S375)</f>
        <v>0</v>
      </c>
      <c r="U375" s="91"/>
      <c r="V375" s="186" t="s">
        <v>32</v>
      </c>
      <c r="W375" s="187"/>
      <c r="X375" s="123">
        <f>SUMIF(X4:X369,"*ANGELA CID*",Y4:Y369)</f>
        <v>1480</v>
      </c>
      <c r="Y375" s="124">
        <f>SUMIF(X4:X369,"*ANGELA CID*",Z4:Z369)</f>
        <v>182.69999999999996</v>
      </c>
      <c r="Z375" s="124">
        <f>SUMIF(X4:X369,"*ANGELA CID*",AA4:AA369)</f>
        <v>50</v>
      </c>
      <c r="AA375" s="124">
        <f>SUM(X375:Z375)</f>
        <v>1712.7</v>
      </c>
      <c r="AB375" s="91"/>
      <c r="AC375" s="171" t="s">
        <v>35</v>
      </c>
      <c r="AD375" s="172"/>
      <c r="AE375" s="123">
        <f>SUMIF(AE4:AE368,"*CHALÉS - STO ANTONIO*",AF4:AF368)</f>
        <v>0</v>
      </c>
      <c r="AF375" s="124">
        <f>SUMIF(AE4:AE368,"*CHALÉS - STO ANTONIO*",AG4:AG368)</f>
        <v>0</v>
      </c>
      <c r="AG375" s="124">
        <f>SUMIF(AE4:AE368,"*CHALÉS - STO ANTONIO*",AH4:AH368)</f>
        <v>0</v>
      </c>
      <c r="AH375" s="124">
        <f>SUM(AE375:AG375)</f>
        <v>0</v>
      </c>
      <c r="AI375" s="91"/>
      <c r="AJ375" s="171" t="s">
        <v>35</v>
      </c>
      <c r="AK375" s="172"/>
      <c r="AL375" s="123">
        <f>SUMIF(AL4:AL368,"*CHALÉS - STO ANTONIO*",AM4:AM368)</f>
        <v>0</v>
      </c>
      <c r="AM375" s="124">
        <f>SUMIF(AL4:AL368,"*CHALÉS - STO ANTONIO*",AN4:AN368)</f>
        <v>0</v>
      </c>
      <c r="AN375" s="134">
        <f>SUMIF(AL4:AL368,"*CHALÉS - STO ANTONIO*",AO4:AO368)</f>
        <v>0</v>
      </c>
      <c r="AO375" s="124">
        <f>SUM(AL375:AN375)</f>
        <v>0</v>
      </c>
      <c r="AQ375" s="171" t="s">
        <v>35</v>
      </c>
      <c r="AR375" s="172"/>
      <c r="AS375" s="123">
        <f>SUMIF(AS4:AS368,"*CHALÉS - STO ANTONIO*",AT4:AT368)</f>
        <v>0</v>
      </c>
      <c r="AT375" s="124">
        <f>SUMIF(AS4:AS368,"*CHALÉS - STO ANTONIO*",AU4:AU368)</f>
        <v>0</v>
      </c>
      <c r="AU375" s="124">
        <f>SUMIF(AS4:AS368,"*CHALÉS - STO ANTONIO*",AV4:AV368)</f>
        <v>0</v>
      </c>
      <c r="AV375" s="124">
        <f>SUM(AS375:AU375)</f>
        <v>0</v>
      </c>
      <c r="AX375" s="186" t="s">
        <v>32</v>
      </c>
      <c r="AY375" s="187"/>
      <c r="AZ375" s="123">
        <f>SUMIF(AZ4:AZ369,"*ANGELA CID*",BA4:BA369)</f>
        <v>4500</v>
      </c>
      <c r="BA375" s="124">
        <f>SUMIF(AZ4:AZ369,"*ANGELA CID*",BB4:BB369)</f>
        <v>170</v>
      </c>
      <c r="BB375" s="124">
        <f>SUMIF(AZ4:AZ369,"*ANGELA CID*",BC4:BC369)</f>
        <v>300</v>
      </c>
      <c r="BC375" s="124">
        <f>SUM(AZ375:BB375)</f>
        <v>4970</v>
      </c>
      <c r="BE375" s="171" t="s">
        <v>35</v>
      </c>
      <c r="BF375" s="172"/>
      <c r="BG375" s="25">
        <f>SUMIF(BG4:BG368,"*CHALÉS - STO ANTONIO*",BH4:BH368)</f>
        <v>0</v>
      </c>
      <c r="BH375" s="26">
        <f>SUMIF(BG4:BG368,"*CHALÉS - STO ANTONIO*",BI4:BI368)</f>
        <v>0</v>
      </c>
      <c r="BI375" s="26">
        <f>SUMIF(BG4:BG368,"*CHALÉS - STO ANTONIO*",BJ4:BJ368)</f>
        <v>0</v>
      </c>
      <c r="BJ375" s="26">
        <f>SUM(BG375:BI375)</f>
        <v>0</v>
      </c>
      <c r="BL375" s="171" t="s">
        <v>35</v>
      </c>
      <c r="BM375" s="172"/>
      <c r="BN375" s="123">
        <f>SUMIF(BN4:BN368,"*CHALÉS - STO ANTONIO*",BO4:BO368)</f>
        <v>0</v>
      </c>
      <c r="BO375" s="124">
        <f>SUMIF(BN4:BN368,"*CHALÉS - STO ANTONIO*",BP4:BP368)</f>
        <v>0</v>
      </c>
      <c r="BP375" s="124">
        <f>SUMIF(BN4:BN368,"*CHALÉS - STO ANTONIO*",BQ4:BQ368)</f>
        <v>0</v>
      </c>
      <c r="BQ375" s="124">
        <f>SUM(BN375:BP375)</f>
        <v>0</v>
      </c>
      <c r="BS375" s="171" t="s">
        <v>35</v>
      </c>
      <c r="BT375" s="172"/>
      <c r="BU375" s="123">
        <f>SUMIF(BU4:BU368,"*CHALÉS - STO ANTONIO*",BV4:BV368)</f>
        <v>0</v>
      </c>
      <c r="BV375" s="124">
        <f>SUMIF(BU4:BU368,"*CHALÉS - STO ANTONIO*",BW4:BW368)</f>
        <v>0</v>
      </c>
      <c r="BW375" s="124">
        <f>SUMIF(BU4:BU368,"*CHALÉS - STO ANTONIO*",BX4:BX368)</f>
        <v>0</v>
      </c>
      <c r="BX375" s="124">
        <f>SUM(BU375:BW375)</f>
        <v>0</v>
      </c>
      <c r="BZ375" s="186" t="s">
        <v>32</v>
      </c>
      <c r="CA375" s="187"/>
      <c r="CB375" s="123">
        <f>SUMIF(CB4:CB369,"*ANGELA CID*",CC4:CC369)</f>
        <v>4240</v>
      </c>
      <c r="CC375" s="124">
        <f>SUMIF(CB4:CB369,"*ANGELA CID*",CD4:CD369)</f>
        <v>129.5</v>
      </c>
      <c r="CD375" s="124">
        <f>SUMIF(CB4:CB369,"*ANGELA CID*",CE4:CE369)</f>
        <v>270</v>
      </c>
      <c r="CE375" s="124">
        <f>SUM(CB375:CD375)</f>
        <v>4639.5</v>
      </c>
      <c r="CG375" s="171" t="s">
        <v>35</v>
      </c>
      <c r="CH375" s="172"/>
      <c r="CI375" s="123">
        <f>SUMIF(CI4:CI368,"*CHALÉS - STO ANTONIO*",CJ4:CJ368)</f>
        <v>0</v>
      </c>
      <c r="CJ375" s="124">
        <f>SUMIF(CI4:CI368,"*CHALÉS - STO ANTONIO*",CK4:CK368)</f>
        <v>0</v>
      </c>
      <c r="CK375" s="124">
        <f>SUMIF(CI4:CI368,"*CHALÉS - STO ANTONIO*",CL4:CL368)</f>
        <v>0</v>
      </c>
      <c r="CL375" s="124">
        <f>SUM(CI375:CK375)</f>
        <v>0</v>
      </c>
      <c r="CN375" s="171" t="s">
        <v>35</v>
      </c>
      <c r="CO375" s="172"/>
      <c r="CP375" s="123">
        <f>SUMIF(CP4:CP368,"*CHALÉS - STO ANTONIO*",CQ4:CQ368)</f>
        <v>0</v>
      </c>
      <c r="CQ375" s="124">
        <f>SUMIF(CP4:CP368,"*CHALÉS - STO ANTONIO*",CR4:CR368)</f>
        <v>0</v>
      </c>
      <c r="CR375" s="124">
        <f>SUMIF(CP4:CP368,"*CHALÉS - STO ANTONIO*",CS4:CS368)</f>
        <v>0</v>
      </c>
      <c r="CS375" s="124">
        <f>SUM(CP375:CR375)</f>
        <v>0</v>
      </c>
      <c r="CU375" s="171" t="s">
        <v>35</v>
      </c>
      <c r="CV375" s="172"/>
      <c r="CW375" s="123">
        <f>SUMIF(CW4:CW368,"*CHALÉS - STO ANTONIO*",CX4:CX368)</f>
        <v>0</v>
      </c>
      <c r="CX375" s="124">
        <f>SUMIF(CW4:CW368,"*CHALÉS - STO ANTONIO*",CY4:CY368)</f>
        <v>0</v>
      </c>
      <c r="CY375" s="124">
        <f>SUMIF(CW4:CW368,"*CHALÉS - STO ANTONIO*",CZ4:CZ368)</f>
        <v>0</v>
      </c>
      <c r="CZ375" s="124">
        <f>SUM(CW375:CY375)</f>
        <v>0</v>
      </c>
      <c r="DB375" s="184" t="s">
        <v>1</v>
      </c>
      <c r="DC375" s="185"/>
      <c r="DD375" s="24" t="s">
        <v>18</v>
      </c>
      <c r="DE375" s="24" t="s">
        <v>19</v>
      </c>
      <c r="DF375" s="24" t="s">
        <v>20</v>
      </c>
      <c r="DG375" s="24" t="s">
        <v>21</v>
      </c>
      <c r="DI375" s="171" t="s">
        <v>35</v>
      </c>
      <c r="DJ375" s="172"/>
      <c r="DK375" s="123">
        <f>SUMIF(DK4:DK368,"*CHALÉS - STO ANTONIO*",DL4:DL368)</f>
        <v>0</v>
      </c>
      <c r="DL375" s="124">
        <f>SUMIF(DK4:DK368,"*CHALÉS - STO ANTONIO*",DM4:DM368)</f>
        <v>0</v>
      </c>
      <c r="DM375" s="124">
        <f>SUMIF(DK4:DK368,"*CHALÉS - STO ANTONIO*",DN4:DN368)</f>
        <v>0</v>
      </c>
      <c r="DN375" s="124">
        <f>SUM(DK375:DM375)</f>
        <v>0</v>
      </c>
      <c r="DP375" s="184" t="s">
        <v>1</v>
      </c>
      <c r="DQ375" s="185"/>
      <c r="DR375" s="24" t="s">
        <v>18</v>
      </c>
      <c r="DS375" s="24" t="s">
        <v>19</v>
      </c>
      <c r="DT375" s="24" t="s">
        <v>20</v>
      </c>
      <c r="DU375" s="24" t="s">
        <v>21</v>
      </c>
      <c r="DW375" s="171" t="s">
        <v>35</v>
      </c>
      <c r="DX375" s="172"/>
      <c r="DY375" s="123">
        <f>SUMIF(DY4:DY368,"*CHALÉS - STO ANTONIO*",DZ4:DZ368)</f>
        <v>0</v>
      </c>
      <c r="DZ375" s="124">
        <f>SUMIF(DY4:DY368,"*CHALÉS - STO ANTONIO*",EA4:EA368)</f>
        <v>0</v>
      </c>
      <c r="EA375" s="124">
        <f>SUMIF(DY4:DY368,"*CHALÉS - STO ANTONIO*",EB4:EB368)</f>
        <v>0</v>
      </c>
      <c r="EB375" s="124">
        <f>SUM(DY375:EA375)</f>
        <v>0</v>
      </c>
    </row>
    <row r="376" spans="1:132" ht="15" customHeight="1" x14ac:dyDescent="0.25">
      <c r="A376" s="171" t="s">
        <v>30</v>
      </c>
      <c r="B376" s="172"/>
      <c r="C376" s="123">
        <f>SUMIF(C4:C368,"*DONA GILDA*",D4:D368)</f>
        <v>180</v>
      </c>
      <c r="D376" s="124">
        <f>SUMIF(C4:C368,"*DONA GILDA*",E4:E368)</f>
        <v>15</v>
      </c>
      <c r="E376" s="124">
        <f>SUMIF(C4:C368,"*DONA GILDA*",F4:F368)</f>
        <v>19</v>
      </c>
      <c r="F376" s="124">
        <f t="shared" si="1"/>
        <v>214</v>
      </c>
      <c r="H376" s="171" t="s">
        <v>30</v>
      </c>
      <c r="I376" s="172"/>
      <c r="J376" s="123">
        <f>SUMIF(J4:J368,"*DONA GILDA*",K4:K368)</f>
        <v>0</v>
      </c>
      <c r="K376" s="124">
        <f>SUMIF(J4:J368,"*DONA GILDA*",L4:L368)</f>
        <v>0</v>
      </c>
      <c r="L376" s="124">
        <f>SUMIF(J4:J368,"*DONA GILDA*",M4:M368)</f>
        <v>0</v>
      </c>
      <c r="M376" s="124">
        <f>SUM(J376:L376)</f>
        <v>0</v>
      </c>
      <c r="O376" s="171" t="s">
        <v>30</v>
      </c>
      <c r="P376" s="172"/>
      <c r="Q376" s="123">
        <f>SUMIF(Q4:Q368,"*DONA GILDA*",R4:R368)</f>
        <v>0</v>
      </c>
      <c r="R376" s="124">
        <f>SUMIF(Q4:Q368,"*DONA GILDA*",S4:S368)</f>
        <v>0</v>
      </c>
      <c r="S376" s="124">
        <f>SUMIF(Q4:Q368,"*DONA GILDA*",T4:T368)</f>
        <v>0</v>
      </c>
      <c r="T376" s="124">
        <f>SUM(Q376:S376)</f>
        <v>0</v>
      </c>
      <c r="U376" s="91"/>
      <c r="V376" s="171" t="s">
        <v>35</v>
      </c>
      <c r="W376" s="172"/>
      <c r="X376" s="123">
        <f>SUMIF(X4:X369,"*CHALÉS - STO ANTONIO*",Y4:Y369)</f>
        <v>0</v>
      </c>
      <c r="Y376" s="124">
        <f>SUMIF(X4:X369,"*CHALÉS - STO ANTONIO*",Z4:Z369)</f>
        <v>0</v>
      </c>
      <c r="Z376" s="124">
        <f>SUMIF(X4:X369,"*CHALÉS - STO ANTONIO*",AA4:AA369)</f>
        <v>0</v>
      </c>
      <c r="AA376" s="124">
        <f>SUM(X376:Z376)</f>
        <v>0</v>
      </c>
      <c r="AB376" s="91"/>
      <c r="AC376" s="171" t="s">
        <v>30</v>
      </c>
      <c r="AD376" s="172"/>
      <c r="AE376" s="123">
        <f>SUMIF(AE4:AE368,"*DONA GILDA*",AF4:AF368)</f>
        <v>0</v>
      </c>
      <c r="AF376" s="124">
        <f>SUMIF(AE4:AE368,"*DONA GILDA*",AG4:AG368)</f>
        <v>0</v>
      </c>
      <c r="AG376" s="124">
        <f>SUMIF(AE4:AE368,"*DONA GILDA*",AH4:AH368)</f>
        <v>0</v>
      </c>
      <c r="AH376" s="124">
        <f>SUM(AE376:AG376)</f>
        <v>0</v>
      </c>
      <c r="AI376" s="91"/>
      <c r="AJ376" s="171" t="s">
        <v>30</v>
      </c>
      <c r="AK376" s="172"/>
      <c r="AL376" s="123">
        <f>SUMIF(AL4:AL368,"*DONA GILDA*",AM4:AM368)</f>
        <v>0</v>
      </c>
      <c r="AM376" s="124">
        <f>SUMIF(AL4:AL368,"*DONA GILDA*",AN4:AN368)</f>
        <v>0</v>
      </c>
      <c r="AN376" s="134">
        <f>SUMIF(AL4:AL368,"*DONA GILDA*",AO4:AO368)</f>
        <v>0</v>
      </c>
      <c r="AO376" s="124">
        <f>SUM(AL376:AN376)</f>
        <v>0</v>
      </c>
      <c r="AQ376" s="171" t="s">
        <v>30</v>
      </c>
      <c r="AR376" s="172"/>
      <c r="AS376" s="123">
        <f>SUMIF(AS4:AS368,"*DONA GILDA*",AT4:AT368)</f>
        <v>0</v>
      </c>
      <c r="AT376" s="124">
        <f>SUMIF(AS4:AS368,"*DONA GILDA*",AU4:AU368)</f>
        <v>0</v>
      </c>
      <c r="AU376" s="124">
        <f>SUMIF(AS4:AS368,"*DONA GILDA*",AV4:AV368)</f>
        <v>0</v>
      </c>
      <c r="AV376" s="124">
        <f>SUM(AS376:AU376)</f>
        <v>0</v>
      </c>
      <c r="AX376" s="171" t="s">
        <v>35</v>
      </c>
      <c r="AY376" s="172"/>
      <c r="AZ376" s="123">
        <f>SUMIF(AZ4:AZ369,"*CHALÉS - STO ANTONIO*",BA4:BA369)</f>
        <v>0</v>
      </c>
      <c r="BA376" s="124">
        <f>SUMIF(AZ4:AZ369,"*CHALÉS - STO ANTONIO*",BB4:BB369)</f>
        <v>0</v>
      </c>
      <c r="BB376" s="124">
        <f>SUMIF(AZ4:AZ369,"*CHALÉS - STO ANTONIO*",BC4:BC369)</f>
        <v>0</v>
      </c>
      <c r="BC376" s="124">
        <f>SUM(AZ376:BB376)</f>
        <v>0</v>
      </c>
      <c r="BE376" s="171" t="s">
        <v>30</v>
      </c>
      <c r="BF376" s="172"/>
      <c r="BG376" s="25">
        <f>SUMIF(BG4:BG368,"*DONA GILDA*",BH4:BH368)</f>
        <v>0</v>
      </c>
      <c r="BH376" s="26">
        <f>SUMIF(BG4:BG368,"*DONA GILDA*",BI4:BI368)</f>
        <v>0</v>
      </c>
      <c r="BI376" s="26">
        <f>SUMIF(BG4:BG368,"*DONA GILDA*",BJ4:BJ368)</f>
        <v>0</v>
      </c>
      <c r="BJ376" s="26">
        <f>SUM(BG376:BI376)</f>
        <v>0</v>
      </c>
      <c r="BL376" s="171" t="s">
        <v>30</v>
      </c>
      <c r="BM376" s="172"/>
      <c r="BN376" s="123">
        <f>SUMIF(BN4:BN368,"*DONA GILDA*",BO4:BO368)</f>
        <v>100</v>
      </c>
      <c r="BO376" s="124">
        <f>SUMIF(BN4:BN368,"*DONA GILDA*",BP4:BP368)</f>
        <v>12</v>
      </c>
      <c r="BP376" s="124">
        <f>SUMIF(BN4:BN368,"*DONA GILDA*",BQ4:BQ368)</f>
        <v>0</v>
      </c>
      <c r="BQ376" s="124">
        <f>SUM(BN376:BP376)</f>
        <v>112</v>
      </c>
      <c r="BS376" s="171" t="s">
        <v>30</v>
      </c>
      <c r="BT376" s="172"/>
      <c r="BU376" s="123">
        <f>SUMIF(BU4:BU368,"*DONA GILDA*",BV4:BV368)</f>
        <v>0</v>
      </c>
      <c r="BV376" s="124">
        <f>SUMIF(BU4:BU368,"*DONA GILDA*",BW4:BW368)</f>
        <v>0</v>
      </c>
      <c r="BW376" s="124">
        <f>SUMIF(BU4:BU368,"*DONA GILDA*",BX4:BX368)</f>
        <v>0</v>
      </c>
      <c r="BX376" s="124">
        <f>SUM(BU376:BW376)</f>
        <v>0</v>
      </c>
      <c r="BZ376" s="171" t="s">
        <v>35</v>
      </c>
      <c r="CA376" s="172"/>
      <c r="CB376" s="123">
        <f>SUMIF(CB4:CB369,"*CHALÉS - STO ANTONIO*",CC4:CC369)</f>
        <v>0</v>
      </c>
      <c r="CC376" s="124">
        <f>SUMIF(CB4:CB369,"*CHALÉS - STO ANTONIO*",CD4:CD369)</f>
        <v>0</v>
      </c>
      <c r="CD376" s="124">
        <f>SUMIF(CB4:CB369,"*CHALÉS - STO ANTONIO*",CE4:CE369)</f>
        <v>0</v>
      </c>
      <c r="CE376" s="124">
        <f>SUM(CB376:CD376)</f>
        <v>0</v>
      </c>
      <c r="CG376" s="171" t="s">
        <v>30</v>
      </c>
      <c r="CH376" s="172"/>
      <c r="CI376" s="123">
        <f>SUMIF(CI4:CI368,"*DONA GILDA*",CJ4:CJ368)</f>
        <v>0</v>
      </c>
      <c r="CJ376" s="124">
        <f>SUMIF(CI4:CI368,"*DONA GILDA*",CK4:CK368)</f>
        <v>0</v>
      </c>
      <c r="CK376" s="124">
        <f>SUMIF(CI4:CI368,"*DONA GILDA*",CL4:CL368)</f>
        <v>0</v>
      </c>
      <c r="CL376" s="124">
        <f>SUM(CI376:CK376)</f>
        <v>0</v>
      </c>
      <c r="CN376" s="171" t="s">
        <v>30</v>
      </c>
      <c r="CO376" s="172"/>
      <c r="CP376" s="123">
        <f>SUMIF(CP4:CP368,"*DONA GILDA*",CQ4:CQ368)</f>
        <v>0</v>
      </c>
      <c r="CQ376" s="124">
        <f>SUMIF(CP4:CP368,"*DONA GILDA*",CR4:CR368)</f>
        <v>0</v>
      </c>
      <c r="CR376" s="124">
        <f>SUMIF(CP4:CP368,"*DONA GILDA*",CS4:CS368)</f>
        <v>0</v>
      </c>
      <c r="CS376" s="124">
        <f>SUM(CP376:CR376)</f>
        <v>0</v>
      </c>
      <c r="CU376" s="171" t="s">
        <v>30</v>
      </c>
      <c r="CV376" s="172"/>
      <c r="CW376" s="123">
        <f>SUMIF(CW4:CW368,"*DONA GILDA*",CX4:CX368)</f>
        <v>0</v>
      </c>
      <c r="CX376" s="124">
        <f>SUMIF(CW4:CW368,"*DONA GILDA*",CY4:CY368)</f>
        <v>0</v>
      </c>
      <c r="CY376" s="124">
        <f>SUMIF(CW4:CW368,"*DONA GILDA*",CZ4:CZ368)</f>
        <v>0</v>
      </c>
      <c r="CZ376" s="124">
        <f>SUM(CW376:CY376)</f>
        <v>0</v>
      </c>
      <c r="DB376" s="186" t="s">
        <v>32</v>
      </c>
      <c r="DC376" s="187"/>
      <c r="DD376" s="123">
        <f>SUMIF(DD4:DD370,"*ANGELA CID*",DE4:DE370)</f>
        <v>5000</v>
      </c>
      <c r="DE376" s="124">
        <f>SUMIF(DD4:DD370,"*ANGELA CID*",DF4:DF370)</f>
        <v>299</v>
      </c>
      <c r="DF376" s="124">
        <f>SUMIF(DD4:DD370,"*ANGELA CID*",DG4:DG370)</f>
        <v>220</v>
      </c>
      <c r="DG376" s="124">
        <f>SUM(DD376:DF376)</f>
        <v>5519</v>
      </c>
      <c r="DI376" s="171" t="s">
        <v>30</v>
      </c>
      <c r="DJ376" s="172"/>
      <c r="DK376" s="123">
        <f>SUMIF(DK4:DK368,"*DONA GILDA*",DL4:DL368)</f>
        <v>0</v>
      </c>
      <c r="DL376" s="124">
        <f>SUMIF(DK4:DK368,"*DONA GILDA*",DM4:DM368)</f>
        <v>0</v>
      </c>
      <c r="DM376" s="124">
        <f>SUMIF(DK4:DK368,"*DONA GILDA*",DN4:DN368)</f>
        <v>0</v>
      </c>
      <c r="DN376" s="124">
        <f>SUM(DK376:DM376)</f>
        <v>0</v>
      </c>
      <c r="DP376" s="186" t="s">
        <v>32</v>
      </c>
      <c r="DQ376" s="187"/>
      <c r="DR376" s="123">
        <f>SUMIF(DR4:DR370,"*ANGELA CID*",DS4:DS370)</f>
        <v>2160</v>
      </c>
      <c r="DS376" s="124">
        <f>SUMIF(DR4:DR370,"*ANGELA CID*",DT4:DT370)</f>
        <v>234</v>
      </c>
      <c r="DT376" s="124">
        <f>SUMIF(DR4:DR370,"*ANGELA CID*",DU4:DU370)</f>
        <v>170</v>
      </c>
      <c r="DU376" s="124">
        <f>SUM(DR376:DT376)</f>
        <v>2564</v>
      </c>
      <c r="DW376" s="171" t="s">
        <v>30</v>
      </c>
      <c r="DX376" s="172"/>
      <c r="DY376" s="123">
        <f>SUMIF(DY4:DY368,"*DONA GILDA*",DZ4:DZ368)</f>
        <v>0</v>
      </c>
      <c r="DZ376" s="124">
        <f>SUMIF(DY4:DY368,"*DONA GILDA*",EA4:EA368)</f>
        <v>0</v>
      </c>
      <c r="EA376" s="124">
        <f>SUMIF(DY4:DY368,"*DONA GILDA*",EB4:EB368)</f>
        <v>0</v>
      </c>
      <c r="EB376" s="124">
        <f>SUM(DY376:EA376)</f>
        <v>0</v>
      </c>
    </row>
    <row r="377" spans="1:132" ht="15" customHeight="1" x14ac:dyDescent="0.25">
      <c r="A377" s="171" t="s">
        <v>29</v>
      </c>
      <c r="B377" s="172"/>
      <c r="C377" s="123">
        <f>SUMIF(C4:C368,"*FAZ BARRO BRANCO*",D4:D368)</f>
        <v>0</v>
      </c>
      <c r="D377" s="124">
        <f>SUMIF(C4:C368,"*FAZ BARRO BRANCO*",E4:E368)</f>
        <v>0</v>
      </c>
      <c r="E377" s="124">
        <f>SUMIF(C4:C368,"*FAZ BARRO BRANCO*",F4:F368)</f>
        <v>0</v>
      </c>
      <c r="F377" s="124">
        <f t="shared" si="1"/>
        <v>0</v>
      </c>
      <c r="H377" s="171" t="s">
        <v>29</v>
      </c>
      <c r="I377" s="172"/>
      <c r="J377" s="123">
        <f>SUMIF(J4:J368,"*FAZ BARRO BRANCO*",K4:K368)</f>
        <v>0</v>
      </c>
      <c r="K377" s="124">
        <f>SUMIF(J4:J368,"*FAZ BARRO BRANCO*",L4:L368)</f>
        <v>0</v>
      </c>
      <c r="L377" s="124">
        <f>SUMIF(J4:J368,"*FAZ BARRO BRANCO*",M4:M368)</f>
        <v>0</v>
      </c>
      <c r="M377" s="124">
        <f t="shared" ref="M377:M385" si="2">SUM(J377:L377)</f>
        <v>0</v>
      </c>
      <c r="O377" s="171" t="s">
        <v>29</v>
      </c>
      <c r="P377" s="172"/>
      <c r="Q377" s="123">
        <f>SUMIF(Q4:Q368,"*FAZ BARRO BRANCO*",R4:R368)</f>
        <v>0</v>
      </c>
      <c r="R377" s="124">
        <f>SUMIF(Q4:Q368,"*FAZ BARRO BRANCO*",S4:S368)</f>
        <v>0</v>
      </c>
      <c r="S377" s="124">
        <f>SUMIF(Q4:Q368,"*FAZ BARRO BRANCO*",T4:T368)</f>
        <v>0</v>
      </c>
      <c r="T377" s="124">
        <f t="shared" ref="T377:T385" si="3">SUM(Q377:S377)</f>
        <v>0</v>
      </c>
      <c r="U377" s="91"/>
      <c r="V377" s="171" t="s">
        <v>30</v>
      </c>
      <c r="W377" s="172"/>
      <c r="X377" s="123">
        <f>SUMIF(X4:X369,"*DONA GILDA*",Y4:Y369)</f>
        <v>0</v>
      </c>
      <c r="Y377" s="124">
        <f>SUMIF(X4:X369,"*DONA GILDA*",Z4:Z369)</f>
        <v>0</v>
      </c>
      <c r="Z377" s="124">
        <f>SUMIF(X4:X369,"*DONA GILDA*",AA4:AA369)</f>
        <v>0</v>
      </c>
      <c r="AA377" s="124">
        <f>SUM(X377:Z377)</f>
        <v>0</v>
      </c>
      <c r="AB377" s="91"/>
      <c r="AC377" s="171" t="s">
        <v>29</v>
      </c>
      <c r="AD377" s="172"/>
      <c r="AE377" s="123">
        <f>SUMIF(AE4:AE368,"*FAZ BARRO BRANCO*",AF4:AF368)</f>
        <v>0</v>
      </c>
      <c r="AF377" s="124">
        <f>SUMIF(AE4:AE368,"*FAZ BARRO BRANCO*",AG4:AG368)</f>
        <v>0</v>
      </c>
      <c r="AG377" s="124">
        <f>SUMIF(AE4:AE368,"*FAZ BARRO BRANCO*",AH4:AH368)</f>
        <v>0</v>
      </c>
      <c r="AH377" s="124">
        <f t="shared" ref="AH377:AH385" si="4">SUM(AE377:AG377)</f>
        <v>0</v>
      </c>
      <c r="AI377" s="91"/>
      <c r="AJ377" s="171" t="s">
        <v>29</v>
      </c>
      <c r="AK377" s="172"/>
      <c r="AL377" s="123">
        <f>SUMIF(AL4:AL368,"*FAZ BARRO BRANCO*",AM4:AM368)</f>
        <v>0</v>
      </c>
      <c r="AM377" s="124">
        <f>SUMIF(AL4:AL368,"*FAZ BARRO BRANCO*",AN4:AN368)</f>
        <v>0</v>
      </c>
      <c r="AN377" s="134">
        <f>SUMIF(AL4:AL368,"*FAZ BARRO BRANCO*",AO4:AO368)</f>
        <v>0</v>
      </c>
      <c r="AO377" s="124">
        <f t="shared" ref="AO377:AO385" si="5">SUM(AL377:AN377)</f>
        <v>0</v>
      </c>
      <c r="AQ377" s="171" t="s">
        <v>29</v>
      </c>
      <c r="AR377" s="172"/>
      <c r="AS377" s="123">
        <f>SUMIF(AS4:AS368,"*FAZ BARRO BRANCO*",AT4:AT368)</f>
        <v>0</v>
      </c>
      <c r="AT377" s="124">
        <f>SUMIF(AS4:AS368,"*FAZ BARRO BRANCO*",AU4:AU368)</f>
        <v>0</v>
      </c>
      <c r="AU377" s="124">
        <f>SUMIF(AS4:AS368,"*FAZ BARRO BRANCO*",AV4:AV368)</f>
        <v>0</v>
      </c>
      <c r="AV377" s="124">
        <f t="shared" ref="AV377:AV385" si="6">SUM(AS377:AU377)</f>
        <v>0</v>
      </c>
      <c r="AX377" s="171" t="s">
        <v>30</v>
      </c>
      <c r="AY377" s="172"/>
      <c r="AZ377" s="123">
        <f>SUMIF(AZ4:AZ369,"*DONA GILDA*",BA4:BA369)</f>
        <v>0</v>
      </c>
      <c r="BA377" s="124">
        <f>SUMIF(AZ4:AZ369,"*DONA GILDA*",BB4:BB369)</f>
        <v>0</v>
      </c>
      <c r="BB377" s="124">
        <f>SUMIF(AZ4:AZ369,"*DONA GILDA*",BC4:BC369)</f>
        <v>0</v>
      </c>
      <c r="BC377" s="124">
        <f>SUM(AZ377:BB377)</f>
        <v>0</v>
      </c>
      <c r="BE377" s="171" t="s">
        <v>29</v>
      </c>
      <c r="BF377" s="172"/>
      <c r="BG377" s="25">
        <f>SUMIF(BG4:BG368,"*FAZ BARRO BRANCO*",BH4:BH368)</f>
        <v>0</v>
      </c>
      <c r="BH377" s="26">
        <f>SUMIF(BG4:BG368,"*FAZ BARRO BRANCO*",BI4:BI368)</f>
        <v>0</v>
      </c>
      <c r="BI377" s="26">
        <f>SUMIF(BG4:BG368,"*FAZ BARRO BRANCO*",BJ4:BJ368)</f>
        <v>0</v>
      </c>
      <c r="BJ377" s="26">
        <f t="shared" ref="BJ377:BJ385" si="7">SUM(BG377:BI377)</f>
        <v>0</v>
      </c>
      <c r="BL377" s="171" t="s">
        <v>29</v>
      </c>
      <c r="BM377" s="172"/>
      <c r="BN377" s="123">
        <f>SUMIF(BN4:BN368,"*FAZ BARRO BRANCO*",BO4:BO368)</f>
        <v>0</v>
      </c>
      <c r="BO377" s="124">
        <f>SUMIF(BN4:BN368,"*FAZ BARRO BRANCO*",BP4:BP368)</f>
        <v>0</v>
      </c>
      <c r="BP377" s="124">
        <f>SUMIF(BN4:BN368,"*FAZ BARRO BRANCO*",BQ4:BQ368)</f>
        <v>0</v>
      </c>
      <c r="BQ377" s="124">
        <f t="shared" ref="BQ377:BQ385" si="8">SUM(BN377:BP377)</f>
        <v>0</v>
      </c>
      <c r="BS377" s="171" t="s">
        <v>29</v>
      </c>
      <c r="BT377" s="172"/>
      <c r="BU377" s="123">
        <f>SUMIF(BU4:BU368,"*FAZ BARRO BRANCO*",BV4:BV368)</f>
        <v>0</v>
      </c>
      <c r="BV377" s="124">
        <f>SUMIF(BU4:BU368,"*FAZ BARRO BRANCO*",BW4:BW368)</f>
        <v>0</v>
      </c>
      <c r="BW377" s="124">
        <f>SUMIF(BU4:BU368,"*FAZ BARRO BRANCO*",BX4:BX368)</f>
        <v>0</v>
      </c>
      <c r="BX377" s="124">
        <f t="shared" ref="BX377:BX385" si="9">SUM(BU377:BW377)</f>
        <v>0</v>
      </c>
      <c r="BZ377" s="171" t="s">
        <v>30</v>
      </c>
      <c r="CA377" s="172"/>
      <c r="CB377" s="123">
        <f>SUMIF(CB4:CB369,"*DONA GILDA*",CC4:CC369)</f>
        <v>0</v>
      </c>
      <c r="CC377" s="124">
        <f>SUMIF(CB4:CB369,"*DONA GILDA*",CD4:CD369)</f>
        <v>0</v>
      </c>
      <c r="CD377" s="124">
        <f>SUMIF(CB4:CB369,"*DONA GILDA*",CE4:CE369)</f>
        <v>0</v>
      </c>
      <c r="CE377" s="124">
        <f>SUM(CB377:CD377)</f>
        <v>0</v>
      </c>
      <c r="CG377" s="171" t="s">
        <v>29</v>
      </c>
      <c r="CH377" s="172"/>
      <c r="CI377" s="123">
        <f>SUMIF(CI4:CI368,"*FAZ BARRO BRANCO*",CJ4:CJ368)</f>
        <v>0</v>
      </c>
      <c r="CJ377" s="124">
        <f>SUMIF(CI4:CI368,"*FAZ BARRO BRANCO*",CK4:CK368)</f>
        <v>0</v>
      </c>
      <c r="CK377" s="124">
        <f>SUMIF(CI4:CI368,"*FAZ BARRO BRANCO*",CL4:CL368)</f>
        <v>0</v>
      </c>
      <c r="CL377" s="124">
        <f t="shared" ref="CL377:CL385" si="10">SUM(CI377:CK377)</f>
        <v>0</v>
      </c>
      <c r="CN377" s="171" t="s">
        <v>29</v>
      </c>
      <c r="CO377" s="172"/>
      <c r="CP377" s="123">
        <f>SUMIF(CP4:CP368,"*FAZ BARRO BRANCO*",CQ4:CQ368)</f>
        <v>0</v>
      </c>
      <c r="CQ377" s="124">
        <f>SUMIF(CP4:CP368,"*FAZ BARRO BRANCO*",CR4:CR368)</f>
        <v>0</v>
      </c>
      <c r="CR377" s="124">
        <f>SUMIF(CP4:CP368,"*FAZ BARRO BRANCO*",CS4:CS368)</f>
        <v>0</v>
      </c>
      <c r="CS377" s="124">
        <f t="shared" ref="CS377:CS385" si="11">SUM(CP377:CR377)</f>
        <v>0</v>
      </c>
      <c r="CU377" s="171" t="s">
        <v>29</v>
      </c>
      <c r="CV377" s="172"/>
      <c r="CW377" s="123">
        <f>SUMIF(CW4:CW368,"*FAZ BARRO BRANCO*",CX4:CX368)</f>
        <v>0</v>
      </c>
      <c r="CX377" s="124">
        <f>SUMIF(CW4:CW368,"*FAZ BARRO BRANCO*",CY4:CY368)</f>
        <v>0</v>
      </c>
      <c r="CY377" s="124">
        <f>SUMIF(CW4:CW368,"*FAZ BARRO BRANCO*",CZ4:CZ368)</f>
        <v>0</v>
      </c>
      <c r="CZ377" s="124">
        <f t="shared" ref="CZ377:CZ385" si="12">SUM(CW377:CY377)</f>
        <v>0</v>
      </c>
      <c r="DB377" s="171" t="s">
        <v>35</v>
      </c>
      <c r="DC377" s="172"/>
      <c r="DD377" s="123">
        <f>SUMIF(DD4:DD370,"*CHALÉS - STO ANTONIO*",DE4:DE370)</f>
        <v>0</v>
      </c>
      <c r="DE377" s="124">
        <f>SUMIF(DD4:DD370,"*CHALÉS - STO ANTONIO*",DF4:DF370)</f>
        <v>0</v>
      </c>
      <c r="DF377" s="124">
        <f>SUMIF(DD4:DD370,"*CHALÉS - STO ANTONIO*",DG4:DG370)</f>
        <v>0</v>
      </c>
      <c r="DG377" s="124">
        <f>SUM(DD377:DF377)</f>
        <v>0</v>
      </c>
      <c r="DI377" s="171" t="s">
        <v>29</v>
      </c>
      <c r="DJ377" s="172"/>
      <c r="DK377" s="123">
        <f>SUMIF(DK4:DK368,"*FAZ BARRO BRANCO*",DL4:DL368)</f>
        <v>0</v>
      </c>
      <c r="DL377" s="124">
        <f>SUMIF(DK4:DK368,"*FAZ BARRO BRANCO*",DM4:DM368)</f>
        <v>0</v>
      </c>
      <c r="DM377" s="124">
        <f>SUMIF(DK4:DK368,"*FAZ BARRO BRANCO*",DN4:DN368)</f>
        <v>0</v>
      </c>
      <c r="DN377" s="124">
        <f t="shared" ref="DN377:DN385" si="13">SUM(DK377:DM377)</f>
        <v>0</v>
      </c>
      <c r="DP377" s="171" t="s">
        <v>35</v>
      </c>
      <c r="DQ377" s="172"/>
      <c r="DR377" s="123">
        <f>SUMIF(DR4:DR370,"*CHALÉS - STO ANTONIO*",DS4:DS370)</f>
        <v>0</v>
      </c>
      <c r="DS377" s="124">
        <f>SUMIF(DR4:DR370,"*CHALÉS - STO ANTONIO*",DT4:DT370)</f>
        <v>0</v>
      </c>
      <c r="DT377" s="124">
        <f>SUMIF(DR4:DR370,"*CHALÉS - STO ANTONIO*",DU4:DU370)</f>
        <v>0</v>
      </c>
      <c r="DU377" s="124">
        <f>SUM(DR377:DT377)</f>
        <v>0</v>
      </c>
      <c r="DW377" s="171" t="s">
        <v>29</v>
      </c>
      <c r="DX377" s="172"/>
      <c r="DY377" s="123">
        <f>SUMIF(DY4:DY368,"*FAZ BARRO BRANCO*",DZ4:DZ368)</f>
        <v>0</v>
      </c>
      <c r="DZ377" s="124">
        <f>SUMIF(DY4:DY368,"*FAZ BARRO BRANCO*",EA4:EA368)</f>
        <v>0</v>
      </c>
      <c r="EA377" s="124">
        <f>SUMIF(DY4:DY368,"*FAZ BARRO BRANCO*",EB4:EB368)</f>
        <v>0</v>
      </c>
      <c r="EB377" s="124">
        <f t="shared" ref="EB377:EB385" si="14">SUM(DY377:EA377)</f>
        <v>0</v>
      </c>
    </row>
    <row r="378" spans="1:132" x14ac:dyDescent="0.25">
      <c r="A378" s="171" t="s">
        <v>31</v>
      </c>
      <c r="B378" s="172"/>
      <c r="C378" s="123">
        <f>SUMIF(C4:C368,"*GATTAI - ROBSON*",D4:D368)</f>
        <v>0</v>
      </c>
      <c r="D378" s="124">
        <f>SUMIF(C4:C368,"*GATTAI - ROBSON*",E4:E368)</f>
        <v>0</v>
      </c>
      <c r="E378" s="124">
        <f>SUMIF(C4:C368,"*GATTAI - ROBSON*",F4:F368)</f>
        <v>0</v>
      </c>
      <c r="F378" s="124">
        <f t="shared" si="1"/>
        <v>0</v>
      </c>
      <c r="H378" s="171" t="s">
        <v>31</v>
      </c>
      <c r="I378" s="172"/>
      <c r="J378" s="123">
        <f>SUMIF(J4:J368,"*GATTAI - ROBSON*",K4:K368)</f>
        <v>0</v>
      </c>
      <c r="K378" s="124">
        <f>SUMIF(J4:J368,"*GATTAI - ROBSON*",L4:L368)</f>
        <v>0</v>
      </c>
      <c r="L378" s="124">
        <f>SUMIF(J4:J368,"*GATTAI - ROBSON*",M4:M368)</f>
        <v>0</v>
      </c>
      <c r="M378" s="124">
        <f t="shared" si="2"/>
        <v>0</v>
      </c>
      <c r="O378" s="171" t="s">
        <v>31</v>
      </c>
      <c r="P378" s="172"/>
      <c r="Q378" s="123">
        <f>SUMIF(Q4:Q368,"*GATTAI - ROBSON*",R4:R368)</f>
        <v>0</v>
      </c>
      <c r="R378" s="124">
        <f>SUMIF(Q4:Q368,"*GATTAI - ROBSON*",S4:S368)</f>
        <v>0</v>
      </c>
      <c r="S378" s="124">
        <f>SUMIF(Q4:Q368,"*GATTAI - ROBSON*",T4:T368)</f>
        <v>0</v>
      </c>
      <c r="T378" s="124">
        <f t="shared" si="3"/>
        <v>0</v>
      </c>
      <c r="U378" s="91"/>
      <c r="V378" s="171" t="s">
        <v>29</v>
      </c>
      <c r="W378" s="172"/>
      <c r="X378" s="123">
        <f>SUMIF(X4:X369,"*FAZ BARRO BRANCO*",Y4:Y369)</f>
        <v>0</v>
      </c>
      <c r="Y378" s="124">
        <f>SUMIF(X4:X369,"*FAZ BARRO BRANCO*",Z4:Z369)</f>
        <v>0</v>
      </c>
      <c r="Z378" s="124">
        <f>SUMIF(X4:X369,"*FAZ BARRO BRANCO*",AA4:AA369)</f>
        <v>0</v>
      </c>
      <c r="AA378" s="124">
        <f t="shared" ref="AA378:AA386" si="15">SUM(X378:Z378)</f>
        <v>0</v>
      </c>
      <c r="AB378" s="91"/>
      <c r="AC378" s="171" t="s">
        <v>31</v>
      </c>
      <c r="AD378" s="172"/>
      <c r="AE378" s="123">
        <f>SUMIF(AE4:AE368,"*GATTAI - ROBSON*",AF4:AF368)</f>
        <v>900</v>
      </c>
      <c r="AF378" s="124">
        <f>SUMIF(AE4:AE368,"*GATTAI - ROBSON*",AG4:AG368)</f>
        <v>0</v>
      </c>
      <c r="AG378" s="124">
        <f>SUMIF(AE4:AE368,"*GATTAI - ROBSON*",AH4:AH368)</f>
        <v>0</v>
      </c>
      <c r="AH378" s="124">
        <f t="shared" si="4"/>
        <v>900</v>
      </c>
      <c r="AI378" s="91"/>
      <c r="AJ378" s="171" t="s">
        <v>31</v>
      </c>
      <c r="AK378" s="172"/>
      <c r="AL378" s="123">
        <f>SUMIF(AL4:AL368,"*GATTAI - ROBSON*",AM4:AM368)</f>
        <v>1250</v>
      </c>
      <c r="AM378" s="124">
        <f>SUMIF(AL4:AL368,"*GATTAI - ROBSON*",AN4:AN368)</f>
        <v>0</v>
      </c>
      <c r="AN378" s="134">
        <f>SUMIF(AL4:AL368,"*GATTAI - ROBSON*",AO4:AO368)</f>
        <v>0</v>
      </c>
      <c r="AO378" s="124">
        <f t="shared" si="5"/>
        <v>1250</v>
      </c>
      <c r="AQ378" s="171" t="s">
        <v>31</v>
      </c>
      <c r="AR378" s="172"/>
      <c r="AS378" s="123">
        <f>SUMIF(AS4:AS368,"*GATTAI - ROBSON*",AT4:AT368)</f>
        <v>0</v>
      </c>
      <c r="AT378" s="124">
        <f>SUMIF(AS4:AS368,"*GATTAI - ROBSON*",AU4:AU368)</f>
        <v>0</v>
      </c>
      <c r="AU378" s="124">
        <f>SUMIF(AS4:AS368,"*GATTAI - ROBSON*",AV4:AV368)</f>
        <v>0</v>
      </c>
      <c r="AV378" s="124">
        <f t="shared" si="6"/>
        <v>0</v>
      </c>
      <c r="AX378" s="171" t="s">
        <v>29</v>
      </c>
      <c r="AY378" s="172"/>
      <c r="AZ378" s="123">
        <f>SUMIF(AZ4:AZ369,"*FAZ BARRO BRANCO*",BA4:BA369)</f>
        <v>0</v>
      </c>
      <c r="BA378" s="124">
        <f>SUMIF(AZ4:AZ369,"*FAZ BARRO BRANCO*",BB4:BB369)</f>
        <v>0</v>
      </c>
      <c r="BB378" s="124">
        <f>SUMIF(AZ4:AZ369,"*FAZ BARRO BRANCO*",BC4:BC369)</f>
        <v>0</v>
      </c>
      <c r="BC378" s="124">
        <f t="shared" ref="BC378:BC386" si="16">SUM(AZ378:BB378)</f>
        <v>0</v>
      </c>
      <c r="BE378" s="171" t="s">
        <v>31</v>
      </c>
      <c r="BF378" s="172"/>
      <c r="BG378" s="25">
        <f>SUMIF(BG4:BG368,"*GATTAI - ROBSON*",BH4:BH368)</f>
        <v>0</v>
      </c>
      <c r="BH378" s="26">
        <f>SUMIF(BG4:BG368,"*GATTAI - ROBSON*",BI4:BI368)</f>
        <v>0</v>
      </c>
      <c r="BI378" s="26">
        <f>SUMIF(BG4:BG368,"*GATTAI - ROBSON*",BJ4:BJ368)</f>
        <v>0</v>
      </c>
      <c r="BJ378" s="26">
        <f t="shared" si="7"/>
        <v>0</v>
      </c>
      <c r="BL378" s="171" t="s">
        <v>31</v>
      </c>
      <c r="BM378" s="172"/>
      <c r="BN378" s="123">
        <f>SUMIF(BN4:BN368,"*GATTAI - ROBSON*",BO4:BO368)</f>
        <v>0</v>
      </c>
      <c r="BO378" s="124">
        <f>SUMIF(BN4:BN368,"*GATTAI - ROBSON*",BP4:BP368)</f>
        <v>0</v>
      </c>
      <c r="BP378" s="124">
        <f>SUMIF(BN4:BN368,"*GATTAI - ROBSON*",BQ4:BQ368)</f>
        <v>0</v>
      </c>
      <c r="BQ378" s="124">
        <f t="shared" si="8"/>
        <v>0</v>
      </c>
      <c r="BS378" s="171" t="s">
        <v>31</v>
      </c>
      <c r="BT378" s="172"/>
      <c r="BU378" s="123">
        <f>SUMIF(BU4:BU368,"*GATTAI - ROBSON*",BV4:BV368)</f>
        <v>0</v>
      </c>
      <c r="BV378" s="124">
        <f>SUMIF(BU4:BU368,"*GATTAI - ROBSON*",BW4:BW368)</f>
        <v>0</v>
      </c>
      <c r="BW378" s="124">
        <f>SUMIF(BU4:BU368,"*GATTAI - ROBSON*",BX4:BX368)</f>
        <v>0</v>
      </c>
      <c r="BX378" s="124">
        <f t="shared" si="9"/>
        <v>0</v>
      </c>
      <c r="BZ378" s="171" t="s">
        <v>29</v>
      </c>
      <c r="CA378" s="172"/>
      <c r="CB378" s="123">
        <f>SUMIF(CB4:CB369,"*FAZ BARRO BRANCO*",CC4:CC369)</f>
        <v>0</v>
      </c>
      <c r="CC378" s="124">
        <f>SUMIF(CB4:CB369,"*FAZ BARRO BRANCO*",CD4:CD369)</f>
        <v>0</v>
      </c>
      <c r="CD378" s="124">
        <f>SUMIF(CB4:CB369,"*FAZ BARRO BRANCO*",CE4:CE369)</f>
        <v>0</v>
      </c>
      <c r="CE378" s="124">
        <f t="shared" ref="CE378:CE386" si="17">SUM(CB378:CD378)</f>
        <v>0</v>
      </c>
      <c r="CG378" s="171" t="s">
        <v>31</v>
      </c>
      <c r="CH378" s="172"/>
      <c r="CI378" s="123">
        <f>SUMIF(CI4:CI368,"*GATTAI - ROBSON*",CJ4:CJ368)</f>
        <v>0</v>
      </c>
      <c r="CJ378" s="124">
        <f>SUMIF(CI4:CI368,"*GATTAI - ROBSON*",CK4:CK368)</f>
        <v>0</v>
      </c>
      <c r="CK378" s="124">
        <f>SUMIF(CI4:CI368,"*GATTAI - ROBSON*",CL4:CL368)</f>
        <v>0</v>
      </c>
      <c r="CL378" s="124">
        <f t="shared" si="10"/>
        <v>0</v>
      </c>
      <c r="CN378" s="171" t="s">
        <v>31</v>
      </c>
      <c r="CO378" s="172"/>
      <c r="CP378" s="123">
        <f>SUMIF(CP4:CP368,"*GATTAI - ROBSON*",CQ4:CQ368)</f>
        <v>0</v>
      </c>
      <c r="CQ378" s="124">
        <f>SUMIF(CP4:CP368,"*GATTAI - ROBSON*",CR4:CR368)</f>
        <v>0</v>
      </c>
      <c r="CR378" s="124">
        <f>SUMIF(CP4:CP368,"*GATTAI - ROBSON*",CS4:CS368)</f>
        <v>0</v>
      </c>
      <c r="CS378" s="124">
        <f t="shared" si="11"/>
        <v>0</v>
      </c>
      <c r="CU378" s="171" t="s">
        <v>31</v>
      </c>
      <c r="CV378" s="172"/>
      <c r="CW378" s="123">
        <f>SUMIF(CW4:CW368,"*GATTAI - ROBSON*",CX4:CX368)</f>
        <v>0</v>
      </c>
      <c r="CX378" s="124">
        <f>SUMIF(CW4:CW368,"*GATTAI - ROBSON*",CY4:CY368)</f>
        <v>0</v>
      </c>
      <c r="CY378" s="124">
        <f>SUMIF(CW4:CW368,"*GATTAI - ROBSON*",CZ4:CZ368)</f>
        <v>0</v>
      </c>
      <c r="CZ378" s="124">
        <f t="shared" si="12"/>
        <v>0</v>
      </c>
      <c r="DB378" s="171" t="s">
        <v>30</v>
      </c>
      <c r="DC378" s="172"/>
      <c r="DD378" s="123">
        <f>SUMIF(DD4:DD370,"*DONA GILDA*",DE4:DE370)</f>
        <v>0</v>
      </c>
      <c r="DE378" s="124">
        <f>SUMIF(DD4:DD370,"*DONA GILDA*",DF4:DF370)</f>
        <v>0</v>
      </c>
      <c r="DF378" s="124">
        <f>SUMIF(DD4:DD370,"*DONA GILDA*",DG4:DG370)</f>
        <v>0</v>
      </c>
      <c r="DG378" s="124">
        <f>SUM(DD378:DF378)</f>
        <v>0</v>
      </c>
      <c r="DI378" s="171" t="s">
        <v>31</v>
      </c>
      <c r="DJ378" s="172"/>
      <c r="DK378" s="123">
        <f>SUMIF(DK4:DK368,"*GATTAI - ROBSON*",DL4:DL368)</f>
        <v>0</v>
      </c>
      <c r="DL378" s="124">
        <f>SUMIF(DK4:DK368,"*GATTAI - ROBSON*",DM4:DM368)</f>
        <v>0</v>
      </c>
      <c r="DM378" s="124">
        <f>SUMIF(DK4:DK368,"*GATTAI - ROBSON*",DN4:DN368)</f>
        <v>0</v>
      </c>
      <c r="DN378" s="124">
        <f t="shared" si="13"/>
        <v>0</v>
      </c>
      <c r="DP378" s="171" t="s">
        <v>30</v>
      </c>
      <c r="DQ378" s="172"/>
      <c r="DR378" s="123">
        <f>SUMIF(DR4:DR370,"*DONA GILDA*",DS4:DS370)</f>
        <v>0</v>
      </c>
      <c r="DS378" s="124">
        <f>SUMIF(DR4:DR370,"*DONA GILDA*",DT4:DT370)</f>
        <v>0</v>
      </c>
      <c r="DT378" s="124">
        <f>SUMIF(DR4:DR370,"*DONA GILDA*",DU4:DU370)</f>
        <v>0</v>
      </c>
      <c r="DU378" s="124">
        <f>SUM(DR378:DT378)</f>
        <v>0</v>
      </c>
      <c r="DW378" s="171" t="s">
        <v>31</v>
      </c>
      <c r="DX378" s="172"/>
      <c r="DY378" s="123">
        <f>SUMIF(DY4:DY368,"*GATTAI - ROBSON*",DZ4:DZ368)</f>
        <v>0</v>
      </c>
      <c r="DZ378" s="124">
        <f>SUMIF(DY4:DY368,"*GATTAI - ROBSON*",EA4:EA368)</f>
        <v>0</v>
      </c>
      <c r="EA378" s="124">
        <f>SUMIF(DY4:DY368,"*GATTAI - ROBSON*",EB4:EB368)</f>
        <v>0</v>
      </c>
      <c r="EB378" s="124">
        <f t="shared" si="14"/>
        <v>0</v>
      </c>
    </row>
    <row r="379" spans="1:132" x14ac:dyDescent="0.25">
      <c r="A379" s="171" t="s">
        <v>40</v>
      </c>
      <c r="B379" s="172"/>
      <c r="C379" s="125">
        <f>SUMIF(C4:C368,"*GESPI - FINANC E SUP*",D4:D368)</f>
        <v>0</v>
      </c>
      <c r="D379" s="126">
        <f>SUMIF(C4:C368,"*GESPI - FINANC E SUP*",E4:E368)</f>
        <v>0</v>
      </c>
      <c r="E379" s="126">
        <f>SUMIF(C4:C368,"*GESPI - FINANC E SUP*",F4:F368)</f>
        <v>0</v>
      </c>
      <c r="F379" s="124">
        <f t="shared" si="1"/>
        <v>0</v>
      </c>
      <c r="H379" s="171" t="s">
        <v>40</v>
      </c>
      <c r="I379" s="172"/>
      <c r="J379" s="125">
        <f>SUMIF(J4:J368,"*GESPI - FINANC E SUP*",K4:K368)</f>
        <v>0</v>
      </c>
      <c r="K379" s="126">
        <f>SUMIF(J4:J368,"*GESPI - FINANC E SUP*",L4:L368)</f>
        <v>0</v>
      </c>
      <c r="L379" s="126">
        <f>SUMIF(J4:J368,"*GESPI - FINANC E SUP*",M4:M368)</f>
        <v>0</v>
      </c>
      <c r="M379" s="124">
        <f t="shared" si="2"/>
        <v>0</v>
      </c>
      <c r="O379" s="171" t="s">
        <v>40</v>
      </c>
      <c r="P379" s="172"/>
      <c r="Q379" s="125">
        <f>SUMIF(Q4:Q368,"*GESPI - FINANC E SUP*",R4:R368)</f>
        <v>0</v>
      </c>
      <c r="R379" s="126">
        <f>SUMIF(Q4:Q368,"*GESPI - FINANC E SUP*",S4:S368)</f>
        <v>0</v>
      </c>
      <c r="S379" s="126">
        <f>SUMIF(Q4:Q368,"*GESPI - FINANC E SUP*",T4:T368)</f>
        <v>0</v>
      </c>
      <c r="T379" s="124">
        <f t="shared" si="3"/>
        <v>0</v>
      </c>
      <c r="U379" s="91"/>
      <c r="V379" s="171" t="s">
        <v>31</v>
      </c>
      <c r="W379" s="172"/>
      <c r="X379" s="123">
        <f>SUMIF(X4:X369,"*GATTAI - ROBSON*",Y4:Y369)</f>
        <v>600</v>
      </c>
      <c r="Y379" s="124">
        <f>SUMIF(X4:X369,"*GATTAI - ROBSON*",Z4:Z369)</f>
        <v>0</v>
      </c>
      <c r="Z379" s="124">
        <f>SUMIF(X4:X369,"*GATTAI - ROBSON*",AA4:AA369)</f>
        <v>0</v>
      </c>
      <c r="AA379" s="124">
        <f t="shared" si="15"/>
        <v>600</v>
      </c>
      <c r="AB379" s="91"/>
      <c r="AC379" s="171" t="s">
        <v>40</v>
      </c>
      <c r="AD379" s="172"/>
      <c r="AE379" s="125">
        <f>SUMIF(AE4:AE368,"*GESPI - FINANC E SUP*",AF4:AF368)</f>
        <v>0</v>
      </c>
      <c r="AF379" s="126">
        <f>SUMIF(AE4:AE368,"*GESPI - FINANC E SUP*",AG4:AG368)</f>
        <v>0</v>
      </c>
      <c r="AG379" s="126">
        <f>SUMIF(AE4:AE368,"*GESPI - FINANC E SUP*",AH4:AH368)</f>
        <v>0</v>
      </c>
      <c r="AH379" s="124">
        <f t="shared" si="4"/>
        <v>0</v>
      </c>
      <c r="AI379" s="91"/>
      <c r="AJ379" s="171" t="s">
        <v>40</v>
      </c>
      <c r="AK379" s="172"/>
      <c r="AL379" s="125">
        <f>SUMIF(AL4:AL368,"*GESPI - FINANC E SUP*",AM4:AM368)</f>
        <v>0</v>
      </c>
      <c r="AM379" s="126">
        <f>SUMIF(AL4:AL368,"*GESPI - FINANC E SUP*",AN4:AN368)</f>
        <v>0</v>
      </c>
      <c r="AN379" s="135">
        <f>SUMIF(AL4:AL368,"*GESPI - FINANC E SUP*",AO4:AO368)</f>
        <v>0</v>
      </c>
      <c r="AO379" s="124">
        <f t="shared" si="5"/>
        <v>0</v>
      </c>
      <c r="AQ379" s="171" t="s">
        <v>40</v>
      </c>
      <c r="AR379" s="172"/>
      <c r="AS379" s="125">
        <f>SUMIF(AS4:AS368,"*GESPI - FINANC E SUP*",AT4:AT368)</f>
        <v>0</v>
      </c>
      <c r="AT379" s="126">
        <f>SUMIF(AS4:AS368,"*GESPI - FINANC E SUP*",AU4:AU368)</f>
        <v>0</v>
      </c>
      <c r="AU379" s="126">
        <f>SUMIF(AS4:AS368,"*GESPI - FINANC E SUP*",AV4:AV368)</f>
        <v>0</v>
      </c>
      <c r="AV379" s="124">
        <f t="shared" si="6"/>
        <v>0</v>
      </c>
      <c r="AX379" s="171" t="s">
        <v>31</v>
      </c>
      <c r="AY379" s="172"/>
      <c r="AZ379" s="123">
        <f>SUMIF(AZ4:AZ369,"*GATTAI - ROBSON*",BA4:BA369)</f>
        <v>600</v>
      </c>
      <c r="BA379" s="124">
        <f>SUMIF(AZ4:AZ369,"*GATTAI - ROBSON*",BB4:BB369)</f>
        <v>0</v>
      </c>
      <c r="BB379" s="124">
        <f>SUMIF(AZ4:AZ369,"*GATTAI - ROBSON*",BC4:BC369)</f>
        <v>0</v>
      </c>
      <c r="BC379" s="124">
        <f t="shared" si="16"/>
        <v>600</v>
      </c>
      <c r="BE379" s="171" t="s">
        <v>40</v>
      </c>
      <c r="BF379" s="172"/>
      <c r="BG379" s="27">
        <f>SUMIF(BG4:BG368,"*GESPI - FINANC E SUP*",BH4:BH368)</f>
        <v>0</v>
      </c>
      <c r="BH379" s="28">
        <f>SUMIF(BG4:BG368,"*GESPI - FINANC E SUP*",BI4:BI368)</f>
        <v>0</v>
      </c>
      <c r="BI379" s="28">
        <f>SUMIF(BG4:BG368,"*GESPI - FINANC E SUP*",BJ4:BJ368)</f>
        <v>0</v>
      </c>
      <c r="BJ379" s="26">
        <f t="shared" si="7"/>
        <v>0</v>
      </c>
      <c r="BL379" s="171" t="s">
        <v>40</v>
      </c>
      <c r="BM379" s="172"/>
      <c r="BN379" s="125">
        <f>SUMIF(BN4:BN368,"*GESPI - FINANC E SUP*",BO4:BO368)</f>
        <v>0</v>
      </c>
      <c r="BO379" s="126">
        <f>SUMIF(BN4:BN368,"*GESPI - FINANC E SUP*",BP4:BP368)</f>
        <v>0</v>
      </c>
      <c r="BP379" s="126">
        <f>SUMIF(BN4:BN368,"*GESPI - FINANC E SUP*",BQ4:BQ368)</f>
        <v>0</v>
      </c>
      <c r="BQ379" s="124">
        <f t="shared" si="8"/>
        <v>0</v>
      </c>
      <c r="BS379" s="171" t="s">
        <v>40</v>
      </c>
      <c r="BT379" s="172"/>
      <c r="BU379" s="125">
        <f>SUMIF(BU4:BU368,"*GESPI - FINANC E SUP*",BV4:BV368)</f>
        <v>0</v>
      </c>
      <c r="BV379" s="126">
        <f>SUMIF(BU4:BU368,"*GESPI - FINANC E SUP*",BW4:BW368)</f>
        <v>0</v>
      </c>
      <c r="BW379" s="126">
        <f>SUMIF(BU4:BU368,"*GESPI - FINANC E SUP*",BX4:BX368)</f>
        <v>0</v>
      </c>
      <c r="BX379" s="124">
        <f t="shared" si="9"/>
        <v>0</v>
      </c>
      <c r="BZ379" s="171" t="s">
        <v>31</v>
      </c>
      <c r="CA379" s="172"/>
      <c r="CB379" s="123">
        <f>SUMIF(CB4:CB369,"*GATTAI - ROBSON*",CC4:CC369)</f>
        <v>0</v>
      </c>
      <c r="CC379" s="124">
        <f>SUMIF(CB4:CB369,"*GATTAI - ROBSON*",CD4:CD369)</f>
        <v>0</v>
      </c>
      <c r="CD379" s="124">
        <f>SUMIF(CB4:CB369,"*GATTAI - ROBSON*",CE4:CE369)</f>
        <v>0</v>
      </c>
      <c r="CE379" s="124">
        <f t="shared" si="17"/>
        <v>0</v>
      </c>
      <c r="CG379" s="171" t="s">
        <v>40</v>
      </c>
      <c r="CH379" s="172"/>
      <c r="CI379" s="125">
        <f>SUMIF(CI4:CI368,"*GESPI - FINANC E SUP*",CJ4:CJ368)</f>
        <v>0</v>
      </c>
      <c r="CJ379" s="126">
        <f>SUMIF(CI4:CI368,"*GESPI - FINANC E SUP*",CK4:CK368)</f>
        <v>0</v>
      </c>
      <c r="CK379" s="126">
        <f>SUMIF(CI4:CI368,"*GESPI - FINANC E SUP*",CL4:CL368)</f>
        <v>0</v>
      </c>
      <c r="CL379" s="124">
        <f t="shared" si="10"/>
        <v>0</v>
      </c>
      <c r="CN379" s="171" t="s">
        <v>40</v>
      </c>
      <c r="CO379" s="172"/>
      <c r="CP379" s="125">
        <f>SUMIF(CP4:CP368,"*GESPI - FINANC E SUP*",CQ4:CQ368)</f>
        <v>0</v>
      </c>
      <c r="CQ379" s="126">
        <f>SUMIF(CP4:CP368,"*GESPI - FINANC E SUP*",CR4:CR368)</f>
        <v>0</v>
      </c>
      <c r="CR379" s="126">
        <f>SUMIF(CP4:CP368,"*GESPI - FINANC E SUP*",CS4:CS368)</f>
        <v>0</v>
      </c>
      <c r="CS379" s="124">
        <f t="shared" si="11"/>
        <v>0</v>
      </c>
      <c r="CU379" s="171" t="s">
        <v>40</v>
      </c>
      <c r="CV379" s="172"/>
      <c r="CW379" s="125">
        <f>SUMIF(CW4:CW368,"*GESPI - FINANC E SUP*",CX4:CX368)</f>
        <v>0</v>
      </c>
      <c r="CX379" s="126">
        <f>SUMIF(CW4:CW368,"*GESPI - FINANC E SUP*",CY4:CY368)</f>
        <v>0</v>
      </c>
      <c r="CY379" s="126">
        <f>SUMIF(CW4:CW368,"*GESPI - FINANC E SUP*",CZ4:CZ368)</f>
        <v>0</v>
      </c>
      <c r="CZ379" s="124">
        <f t="shared" si="12"/>
        <v>0</v>
      </c>
      <c r="DB379" s="171" t="s">
        <v>29</v>
      </c>
      <c r="DC379" s="172"/>
      <c r="DD379" s="123">
        <f>SUMIF(DD4:DD370,"*FAZ BARRO BRANCO*",DE4:DE370)</f>
        <v>0</v>
      </c>
      <c r="DE379" s="124">
        <f>SUMIF(DD4:DD370,"*FAZ BARRO BRANCO*",DF4:DF370)</f>
        <v>0</v>
      </c>
      <c r="DF379" s="124">
        <f>SUMIF(DD4:DD370,"*FAZ BARRO BRANCO*",DG4:DG370)</f>
        <v>0</v>
      </c>
      <c r="DG379" s="124">
        <f t="shared" ref="DG379:DG387" si="18">SUM(DD379:DF379)</f>
        <v>0</v>
      </c>
      <c r="DI379" s="171" t="s">
        <v>40</v>
      </c>
      <c r="DJ379" s="172"/>
      <c r="DK379" s="125">
        <f>SUMIF(DK4:DK368,"*GESPI - FINANC E SUP*",DL4:DL368)</f>
        <v>0</v>
      </c>
      <c r="DL379" s="126">
        <f>SUMIF(DK4:DK368,"*GESPI - FINANC E SUP*",DM4:DM368)</f>
        <v>0</v>
      </c>
      <c r="DM379" s="126">
        <f>SUMIF(DK4:DK368,"*GESPI - FINANC E SUP*",DN4:DN368)</f>
        <v>0</v>
      </c>
      <c r="DN379" s="124">
        <f t="shared" si="13"/>
        <v>0</v>
      </c>
      <c r="DP379" s="171" t="s">
        <v>29</v>
      </c>
      <c r="DQ379" s="172"/>
      <c r="DR379" s="123">
        <f>SUMIF(DR4:DR370,"*FAZ BARRO BRANCO*",DS4:DS370)</f>
        <v>0</v>
      </c>
      <c r="DS379" s="124">
        <f>SUMIF(DR4:DR370,"*FAZ BARRO BRANCO*",DT4:DT370)</f>
        <v>0</v>
      </c>
      <c r="DT379" s="124">
        <f>SUMIF(DR4:DR370,"*FAZ BARRO BRANCO*",DU4:DU370)</f>
        <v>0</v>
      </c>
      <c r="DU379" s="124">
        <f t="shared" ref="DU379:DU387" si="19">SUM(DR379:DT379)</f>
        <v>0</v>
      </c>
      <c r="DW379" s="171" t="s">
        <v>40</v>
      </c>
      <c r="DX379" s="172"/>
      <c r="DY379" s="125">
        <f>SUMIF(DY4:DY368,"*GESPI - FINANC E SUP*",DZ4:DZ368)</f>
        <v>0</v>
      </c>
      <c r="DZ379" s="126">
        <f>SUMIF(DY4:DY368,"*GESPI - FINANC E SUP*",EA4:EA368)</f>
        <v>0</v>
      </c>
      <c r="EA379" s="126">
        <f>SUMIF(DY4:DY368,"*GESPI - FINANC E SUP*",EB4:EB368)</f>
        <v>0</v>
      </c>
      <c r="EB379" s="124">
        <f t="shared" si="14"/>
        <v>0</v>
      </c>
    </row>
    <row r="380" spans="1:132" x14ac:dyDescent="0.25">
      <c r="A380" s="171" t="s">
        <v>61</v>
      </c>
      <c r="B380" s="172"/>
      <c r="C380" s="125">
        <f>SUMIF(C5:C369,"*GESPI - ENGENHARIA*",D5:D369)</f>
        <v>0</v>
      </c>
      <c r="D380" s="126">
        <f>SUMIF(C5:C369,"*GESPI - ENGENHARIA*",E5:E369)</f>
        <v>0</v>
      </c>
      <c r="E380" s="126">
        <f>SUMIF(C5:C369,"*GESPI - ENGENHARIA*",F5:F369)</f>
        <v>0</v>
      </c>
      <c r="F380" s="124">
        <f t="shared" ref="F380" si="20">SUM(C380:E380)</f>
        <v>0</v>
      </c>
      <c r="H380" s="171" t="s">
        <v>61</v>
      </c>
      <c r="I380" s="172"/>
      <c r="J380" s="125">
        <f>SUMIF(J5:J369,"*GESPI - ENGENHARIA*",K5:K369)</f>
        <v>0</v>
      </c>
      <c r="K380" s="126">
        <f>SUMIF(J5:J369,"*GESPI - ENGENHARIA*",L5:L369)</f>
        <v>0</v>
      </c>
      <c r="L380" s="126">
        <f>SUMIF(J5:J369,"*GESPI - ENGENHARIA*",M5:M369)</f>
        <v>0</v>
      </c>
      <c r="M380" s="124">
        <f t="shared" ref="M380" si="21">SUM(J380:L380)</f>
        <v>0</v>
      </c>
      <c r="O380" s="171" t="s">
        <v>61</v>
      </c>
      <c r="P380" s="172"/>
      <c r="Q380" s="125">
        <f>SUMIF(Q5:Q369,"*GESPI - ENGENHARIA*",R5:R369)</f>
        <v>0</v>
      </c>
      <c r="R380" s="126">
        <f>SUMIF(Q5:Q369,"*GESPI - ENGENHARIA*",S5:S369)</f>
        <v>0</v>
      </c>
      <c r="S380" s="126">
        <f>SUMIF(Q5:Q369,"*GESPI - ENGENHARIA*",T5:T369)</f>
        <v>0</v>
      </c>
      <c r="T380" s="124">
        <f t="shared" ref="T380" si="22">SUM(Q380:S380)</f>
        <v>0</v>
      </c>
      <c r="U380" s="91"/>
      <c r="V380" s="171" t="s">
        <v>40</v>
      </c>
      <c r="W380" s="172"/>
      <c r="X380" s="125">
        <f>SUMIF(X4:X369,"*GESPI - FINANC E SUP*",Y4:Y369)</f>
        <v>0</v>
      </c>
      <c r="Y380" s="126">
        <f>SUMIF(X4:X369,"*GESPI - FINANC E SUP*",Z4:Z369)</f>
        <v>0</v>
      </c>
      <c r="Z380" s="126">
        <f>SUMIF(X4:X369,"*GESPI - FINANC E SUP*",AA4:AA369)</f>
        <v>0</v>
      </c>
      <c r="AA380" s="124">
        <f t="shared" si="15"/>
        <v>0</v>
      </c>
      <c r="AB380" s="91"/>
      <c r="AC380" s="171" t="s">
        <v>61</v>
      </c>
      <c r="AD380" s="172"/>
      <c r="AE380" s="125">
        <f>SUMIF(AE5:AE369,"*GESPI - ENGENHARIA*",AF5:AF369)</f>
        <v>0</v>
      </c>
      <c r="AF380" s="126">
        <f>SUMIF(AE5:AE369,"*GESPI - ENGENHARIA*",AG5:AG369)</f>
        <v>0</v>
      </c>
      <c r="AG380" s="126">
        <f>SUMIF(AE5:AE369,"*GESPI - ENGENHARIA*",AH5:AH369)</f>
        <v>0</v>
      </c>
      <c r="AH380" s="124">
        <f t="shared" ref="AH380" si="23">SUM(AE380:AG380)</f>
        <v>0</v>
      </c>
      <c r="AI380" s="91"/>
      <c r="AJ380" s="171" t="s">
        <v>61</v>
      </c>
      <c r="AK380" s="172"/>
      <c r="AL380" s="125">
        <f>SUMIF(AL5:AL369,"*GESPI - ENGENHARIA*",AM5:AM369)</f>
        <v>0</v>
      </c>
      <c r="AM380" s="126">
        <f>SUMIF(AL5:AL369,"*GESPI - ENGENHARIA*",AN5:AN369)</f>
        <v>0</v>
      </c>
      <c r="AN380" s="135">
        <f>SUMIF(AL5:AL369,"*GESPI - ENGENHARIA*",AO5:AO369)</f>
        <v>0</v>
      </c>
      <c r="AO380" s="124">
        <f t="shared" ref="AO380" si="24">SUM(AL380:AN380)</f>
        <v>0</v>
      </c>
      <c r="AQ380" s="171" t="s">
        <v>61</v>
      </c>
      <c r="AR380" s="172"/>
      <c r="AS380" s="125">
        <f>SUMIF(AS5:AS369,"*GESPI - ENGENHARIA*",AT5:AT369)</f>
        <v>0</v>
      </c>
      <c r="AT380" s="126">
        <f>SUMIF(AS5:AS369,"*GESPI - ENGENHARIA*",AU5:AU369)</f>
        <v>0</v>
      </c>
      <c r="AU380" s="126">
        <f>SUMIF(AS5:AS369,"*GESPI - ENGENHARIA*",AV5:AV369)</f>
        <v>0</v>
      </c>
      <c r="AV380" s="124">
        <f t="shared" ref="AV380" si="25">SUM(AS380:AU380)</f>
        <v>0</v>
      </c>
      <c r="AX380" s="171" t="s">
        <v>40</v>
      </c>
      <c r="AY380" s="172"/>
      <c r="AZ380" s="125">
        <f>SUMIF(AZ4:AZ369,"*GESPI - FINANC E SUP*",BA4:BA369)</f>
        <v>0</v>
      </c>
      <c r="BA380" s="126">
        <f>SUMIF(AZ4:AZ369,"*GESPI - FINANC E SUP*",BB4:BB369)</f>
        <v>0</v>
      </c>
      <c r="BB380" s="126">
        <f>SUMIF(AZ4:AZ369,"*GESPI - FINANC E SUP*",BC4:BC369)</f>
        <v>0</v>
      </c>
      <c r="BC380" s="124">
        <f t="shared" si="16"/>
        <v>0</v>
      </c>
      <c r="BE380" s="171" t="s">
        <v>61</v>
      </c>
      <c r="BF380" s="172"/>
      <c r="BG380" s="27">
        <f>SUMIF(BG5:BG369,"*GESPI - ENGENHARIA*",BH5:BH369)</f>
        <v>0</v>
      </c>
      <c r="BH380" s="28">
        <f>SUMIF(BG5:BG369,"*GESPI - ENGENHARIA*",BI5:BI369)</f>
        <v>0</v>
      </c>
      <c r="BI380" s="28">
        <f>SUMIF(BG5:BG369,"*GESPI - ENGENHARIA*",BJ5:BJ369)</f>
        <v>0</v>
      </c>
      <c r="BJ380" s="26">
        <f t="shared" si="7"/>
        <v>0</v>
      </c>
      <c r="BL380" s="171" t="s">
        <v>61</v>
      </c>
      <c r="BM380" s="172"/>
      <c r="BN380" s="125">
        <f>SUMIF(BN5:BN369,"*GESPI - ENGENHARIA*",BO5:BO369)</f>
        <v>0</v>
      </c>
      <c r="BO380" s="126">
        <f>SUMIF(BN5:BN369,"*GESPI - ENGENHARIA*",BP5:BP369)</f>
        <v>0</v>
      </c>
      <c r="BP380" s="126">
        <f>SUMIF(BN5:BN369,"*GESPI - ENGENHARIA*",BQ5:BQ369)</f>
        <v>0</v>
      </c>
      <c r="BQ380" s="124">
        <f t="shared" si="8"/>
        <v>0</v>
      </c>
      <c r="BS380" s="171" t="s">
        <v>61</v>
      </c>
      <c r="BT380" s="172"/>
      <c r="BU380" s="125">
        <f>SUMIF(BU5:BU369,"*GESPI - ENGENHARIA*",BV5:BV369)</f>
        <v>0</v>
      </c>
      <c r="BV380" s="126">
        <f>SUMIF(BU5:BU369,"*GESPI - ENGENHARIA*",BW5:BW369)</f>
        <v>0</v>
      </c>
      <c r="BW380" s="126">
        <f>SUMIF(BU5:BU369,"*GESPI - ENGENHARIA*",BX5:BX369)</f>
        <v>0</v>
      </c>
      <c r="BX380" s="124">
        <f t="shared" si="9"/>
        <v>0</v>
      </c>
      <c r="BZ380" s="171" t="s">
        <v>40</v>
      </c>
      <c r="CA380" s="172"/>
      <c r="CB380" s="125">
        <f>SUMIF(CB4:CB369,"*GESPI - FINANC E SUP*",CC4:CC369)</f>
        <v>0</v>
      </c>
      <c r="CC380" s="126">
        <f>SUMIF(CB4:CB369,"*GESPI - FINANC E SUP*",CD4:CD369)</f>
        <v>0</v>
      </c>
      <c r="CD380" s="126">
        <f>SUMIF(CB4:CB369,"*GESPI - FINANC E SUP*",CE4:CE369)</f>
        <v>0</v>
      </c>
      <c r="CE380" s="124">
        <f t="shared" si="17"/>
        <v>0</v>
      </c>
      <c r="CG380" s="171" t="s">
        <v>61</v>
      </c>
      <c r="CH380" s="172"/>
      <c r="CI380" s="125">
        <f>SUMIF(CI6:CI369,"*GESPI - ENGENHARIA*",CJ6:CJ369)</f>
        <v>0</v>
      </c>
      <c r="CJ380" s="126">
        <f>SUMIF(CI6:CI369,"*GESPI - ENGENHARIA*",CK6:CK369)</f>
        <v>0</v>
      </c>
      <c r="CK380" s="126">
        <f>SUMIF(CI6:CI369,"*GESPI - ENGENHARIA*",CL6:CL369)</f>
        <v>0</v>
      </c>
      <c r="CL380" s="124">
        <f t="shared" si="10"/>
        <v>0</v>
      </c>
      <c r="CN380" s="171" t="s">
        <v>61</v>
      </c>
      <c r="CO380" s="172"/>
      <c r="CP380" s="125">
        <f>SUMIF(CP6:CP369,"*GESPI - ENGENHARIA*",CQ6:CQ369)</f>
        <v>0</v>
      </c>
      <c r="CQ380" s="126">
        <f>SUMIF(CP6:CP369,"*GESPI - ENGENHARIA*",CR6:CR369)</f>
        <v>0</v>
      </c>
      <c r="CR380" s="126">
        <f>SUMIF(CP6:CP369,"*GESPI - ENGENHARIA*",CS6:CS369)</f>
        <v>0</v>
      </c>
      <c r="CS380" s="124">
        <f t="shared" si="11"/>
        <v>0</v>
      </c>
      <c r="CU380" s="171" t="s">
        <v>61</v>
      </c>
      <c r="CV380" s="172"/>
      <c r="CW380" s="125">
        <f>SUMIF(CW6:CW369,"*GESPI - ENGENHARIA*",CX6:CX369)</f>
        <v>0</v>
      </c>
      <c r="CX380" s="126">
        <f>SUMIF(CW6:CW369,"*GESPI - ENGENHARIA*",CY6:CY369)</f>
        <v>0</v>
      </c>
      <c r="CY380" s="126">
        <f>SUMIF(CW6:CW369,"*GESPI - ENGENHARIA*",CZ6:CZ369)</f>
        <v>0</v>
      </c>
      <c r="CZ380" s="124">
        <f t="shared" si="12"/>
        <v>0</v>
      </c>
      <c r="DB380" s="171" t="s">
        <v>31</v>
      </c>
      <c r="DC380" s="172"/>
      <c r="DD380" s="123">
        <f>SUMIF(DD4:DD370,"*GATTAI - ROBSON*",DE4:DE370)</f>
        <v>0</v>
      </c>
      <c r="DE380" s="124">
        <f>SUMIF(DD4:DD370,"*GATTAI - ROBSON*",DF4:DF370)</f>
        <v>0</v>
      </c>
      <c r="DF380" s="124">
        <f>SUMIF(DD4:DD370,"*GATTAI - ROBSON*",DG4:DG370)</f>
        <v>0</v>
      </c>
      <c r="DG380" s="124">
        <f t="shared" si="18"/>
        <v>0</v>
      </c>
      <c r="DI380" s="171" t="s">
        <v>61</v>
      </c>
      <c r="DJ380" s="172"/>
      <c r="DK380" s="125">
        <f>SUMIF(DK6:DK369,"*GESPI - ENGENHARIA*",DL6:DL369)</f>
        <v>0</v>
      </c>
      <c r="DL380" s="126">
        <f>SUMIF(DK6:DK369,"*GESPI - ENGENHARIA*",DM6:DM369)</f>
        <v>0</v>
      </c>
      <c r="DM380" s="126">
        <f>SUMIF(DK6:DK369,"*GESPI - ENGENHARIA*",DN6:DN369)</f>
        <v>0</v>
      </c>
      <c r="DN380" s="124">
        <f t="shared" si="13"/>
        <v>0</v>
      </c>
      <c r="DP380" s="171" t="s">
        <v>31</v>
      </c>
      <c r="DQ380" s="172"/>
      <c r="DR380" s="123">
        <f>SUMIF(DR4:DR370,"*GATTAI - ROBSON*",DS4:DS370)</f>
        <v>0</v>
      </c>
      <c r="DS380" s="124">
        <f>SUMIF(DR4:DR370,"*GATTAI - ROBSON*",DT4:DT370)</f>
        <v>0</v>
      </c>
      <c r="DT380" s="124">
        <f>SUMIF(DR4:DR370,"*GATTAI - ROBSON*",DU4:DU370)</f>
        <v>0</v>
      </c>
      <c r="DU380" s="124">
        <f t="shared" si="19"/>
        <v>0</v>
      </c>
      <c r="DW380" s="171" t="s">
        <v>61</v>
      </c>
      <c r="DX380" s="172"/>
      <c r="DY380" s="125">
        <f>SUMIF(DY6:DY369,"*GESPI - ENGENHARIA*",DZ6:DZ369)</f>
        <v>0</v>
      </c>
      <c r="DZ380" s="126">
        <f>SUMIF(DY6:DY369,"*GESPI - ENGENHARIA*",EA6:EA369)</f>
        <v>0</v>
      </c>
      <c r="EA380" s="126">
        <f>SUMIF(DY6:DY369,"*GESPI - ENGENHARIA*",EB6:EB369)</f>
        <v>0</v>
      </c>
      <c r="EB380" s="124">
        <f t="shared" si="14"/>
        <v>0</v>
      </c>
    </row>
    <row r="381" spans="1:132" x14ac:dyDescent="0.25">
      <c r="A381" s="171" t="s">
        <v>39</v>
      </c>
      <c r="B381" s="172"/>
      <c r="C381" s="125">
        <f>SUMIF(C4:C368,"*GESPI - TAMOIOS*",D4:D368)</f>
        <v>0</v>
      </c>
      <c r="D381" s="126">
        <f>SUMIF(C4:C368,"*GESPI - TAMOIOS*",E4:E368)</f>
        <v>0</v>
      </c>
      <c r="E381" s="126">
        <f>SUMIF(C4:C368,"*GESPI - TAMOIOS*",F4:F368)</f>
        <v>0</v>
      </c>
      <c r="F381" s="124">
        <f t="shared" si="1"/>
        <v>0</v>
      </c>
      <c r="G381" s="91"/>
      <c r="H381" s="171" t="s">
        <v>39</v>
      </c>
      <c r="I381" s="172"/>
      <c r="J381" s="125">
        <f>SUMIF(J4:J368,"*GESPI - TAMOIOS*",K4:K368)</f>
        <v>0</v>
      </c>
      <c r="K381" s="126">
        <f>SUMIF(J4:J368,"*GESPI - TAMOIOS*",L4:L368)</f>
        <v>0</v>
      </c>
      <c r="L381" s="126">
        <f>SUMIF(J4:J368,"*GESPI - TAMOIOS*",M4:M368)</f>
        <v>0</v>
      </c>
      <c r="M381" s="124">
        <f t="shared" si="2"/>
        <v>0</v>
      </c>
      <c r="O381" s="171" t="s">
        <v>39</v>
      </c>
      <c r="P381" s="172"/>
      <c r="Q381" s="125">
        <f>SUMIF(Q4:Q368,"*GESPI - TAMOIOS*",R4:R368)</f>
        <v>0</v>
      </c>
      <c r="R381" s="126">
        <f>SUMIF(Q4:Q368,"*GESPI - TAMOIOS*",S4:S368)</f>
        <v>0</v>
      </c>
      <c r="S381" s="126">
        <f>SUMIF(Q4:Q368,"*GESPI - TAMOIOS*",T4:T368)</f>
        <v>0</v>
      </c>
      <c r="T381" s="124">
        <f t="shared" si="3"/>
        <v>0</v>
      </c>
      <c r="U381" s="91"/>
      <c r="V381" s="171" t="s">
        <v>61</v>
      </c>
      <c r="W381" s="172"/>
      <c r="X381" s="125">
        <f>SUMIF(X5:X370,"*GESPI - ENGENHARIA*",Y5:Y370)</f>
        <v>0</v>
      </c>
      <c r="Y381" s="126">
        <f>SUMIF(X5:X370,"*GESPI - ENGENHARIA*",Z5:Z370)</f>
        <v>0</v>
      </c>
      <c r="Z381" s="126">
        <f>SUMIF(X5:X370,"*GESPI - ENGENHARIA*",AA5:AA370)</f>
        <v>0</v>
      </c>
      <c r="AA381" s="124">
        <f t="shared" ref="AA381" si="26">SUM(X381:Z381)</f>
        <v>0</v>
      </c>
      <c r="AB381" s="91"/>
      <c r="AC381" s="171" t="s">
        <v>39</v>
      </c>
      <c r="AD381" s="172"/>
      <c r="AE381" s="125">
        <f>SUMIF(AE4:AE368,"*GESPI - TAMOIOS*",AF4:AF368)</f>
        <v>0</v>
      </c>
      <c r="AF381" s="126">
        <f>SUMIF(AE4:AE368,"*GESPI - TAMOIOS*",AG4:AG368)</f>
        <v>0</v>
      </c>
      <c r="AG381" s="126">
        <f>SUMIF(AE4:AE368,"*GESPI - TAMOIOS*",AH4:AH368)</f>
        <v>0</v>
      </c>
      <c r="AH381" s="124">
        <f t="shared" si="4"/>
        <v>0</v>
      </c>
      <c r="AI381" s="91"/>
      <c r="AJ381" s="171" t="s">
        <v>39</v>
      </c>
      <c r="AK381" s="172"/>
      <c r="AL381" s="125">
        <f>SUMIF(AL4:AL368,"*GESPI - TAMOIOS*",AM4:AM368)</f>
        <v>0</v>
      </c>
      <c r="AM381" s="126">
        <f>SUMIF(AL4:AL368,"*GESPI - TAMOIOS*",AN4:AN368)</f>
        <v>0</v>
      </c>
      <c r="AN381" s="135">
        <f>SUMIF(AL4:AL368,"*GESPI - TAMOIOS*",AO4:AO368)</f>
        <v>0</v>
      </c>
      <c r="AO381" s="124">
        <f t="shared" si="5"/>
        <v>0</v>
      </c>
      <c r="AQ381" s="171" t="s">
        <v>39</v>
      </c>
      <c r="AR381" s="172"/>
      <c r="AS381" s="125">
        <f>SUMIF(AS4:AS368,"*GESPI - TAMOIOS*",AT4:AT368)</f>
        <v>0</v>
      </c>
      <c r="AT381" s="126">
        <f>SUMIF(AS4:AS368,"*GESPI - TAMOIOS*",AU4:AU368)</f>
        <v>0</v>
      </c>
      <c r="AU381" s="126">
        <f>SUMIF(AS4:AS368,"*GESPI - TAMOIOS*",AV4:AV368)</f>
        <v>0</v>
      </c>
      <c r="AV381" s="124">
        <f t="shared" si="6"/>
        <v>0</v>
      </c>
      <c r="AX381" s="171" t="s">
        <v>61</v>
      </c>
      <c r="AY381" s="172"/>
      <c r="AZ381" s="125">
        <f>SUMIF(AZ5:AZ370,"*GESPI - ENGENHARIA*",BA5:BA370)</f>
        <v>0</v>
      </c>
      <c r="BA381" s="126">
        <f>SUMIF(AZ5:AZ370,"*GESPI - ENGENHARIA*",BB5:BB370)</f>
        <v>0</v>
      </c>
      <c r="BB381" s="126">
        <f>SUMIF(AZ5:AZ370,"*GESPI - ENGENHARIA*",BC5:BC370)</f>
        <v>0</v>
      </c>
      <c r="BC381" s="124">
        <f t="shared" si="16"/>
        <v>0</v>
      </c>
      <c r="BE381" s="171" t="s">
        <v>39</v>
      </c>
      <c r="BF381" s="172"/>
      <c r="BG381" s="27">
        <f>SUMIF(BG4:BG368,"*GESPI - TAMOIOS*",BH4:BH368)</f>
        <v>0</v>
      </c>
      <c r="BH381" s="28">
        <f>SUMIF(BG4:BG368,"*GESPI - TAMOIOS*",BI4:BI368)</f>
        <v>0</v>
      </c>
      <c r="BI381" s="28">
        <f>SUMIF(BG4:BG368,"*GESPI - TAMOIOS*",BJ4:BJ368)</f>
        <v>0</v>
      </c>
      <c r="BJ381" s="26">
        <f t="shared" si="7"/>
        <v>0</v>
      </c>
      <c r="BL381" s="171" t="s">
        <v>39</v>
      </c>
      <c r="BM381" s="172"/>
      <c r="BN381" s="125">
        <f>SUMIF(BN4:BN368,"*GESPI - TAMOIOS*",BO4:BO368)</f>
        <v>0</v>
      </c>
      <c r="BO381" s="126">
        <f>SUMIF(BN4:BN368,"*GESPI - TAMOIOS*",BP4:BP368)</f>
        <v>0</v>
      </c>
      <c r="BP381" s="126">
        <f>SUMIF(BN4:BN368,"*GESPI - TAMOIOS*",BQ4:BQ368)</f>
        <v>0</v>
      </c>
      <c r="BQ381" s="124">
        <f t="shared" si="8"/>
        <v>0</v>
      </c>
      <c r="BS381" s="171" t="s">
        <v>39</v>
      </c>
      <c r="BT381" s="172"/>
      <c r="BU381" s="125">
        <f>SUMIF(BU4:BU368,"*GESPI - TAMOIOS*",BV4:BV368)</f>
        <v>0</v>
      </c>
      <c r="BV381" s="126">
        <f>SUMIF(BU4:BU368,"*GESPI - TAMOIOS*",BW4:BW368)</f>
        <v>0</v>
      </c>
      <c r="BW381" s="126">
        <f>SUMIF(BU4:BU368,"*GESPI - TAMOIOS*",BX4:BX368)</f>
        <v>0</v>
      </c>
      <c r="BX381" s="124">
        <f t="shared" si="9"/>
        <v>0</v>
      </c>
      <c r="BZ381" s="171" t="s">
        <v>61</v>
      </c>
      <c r="CA381" s="172"/>
      <c r="CB381" s="125">
        <f>SUMIF(CB6:CB370,"*GESPI - ENGENHARIA*",CC6:CC370)</f>
        <v>0</v>
      </c>
      <c r="CC381" s="126">
        <f>SUMIF(CB6:CB370,"*GESPI - ENGENHARIA*",CD6:CD370)</f>
        <v>0</v>
      </c>
      <c r="CD381" s="126">
        <f>SUMIF(CB6:CB370,"*GESPI - ENGENHARIA*",CE6:CE370)</f>
        <v>0</v>
      </c>
      <c r="CE381" s="124">
        <f t="shared" si="17"/>
        <v>0</v>
      </c>
      <c r="CG381" s="171" t="s">
        <v>39</v>
      </c>
      <c r="CH381" s="172"/>
      <c r="CI381" s="125">
        <f>SUMIF(CI4:CI368,"*GESPI - TAMOIOS*",CJ4:CJ368)</f>
        <v>0</v>
      </c>
      <c r="CJ381" s="126">
        <f>SUMIF(CI4:CI368,"*GESPI - TAMOIOS*",CK4:CK368)</f>
        <v>0</v>
      </c>
      <c r="CK381" s="126">
        <f>SUMIF(CI4:CI368,"*GESPI - TAMOIOS*",CL4:CL368)</f>
        <v>0</v>
      </c>
      <c r="CL381" s="124">
        <f t="shared" si="10"/>
        <v>0</v>
      </c>
      <c r="CN381" s="171" t="s">
        <v>39</v>
      </c>
      <c r="CO381" s="172"/>
      <c r="CP381" s="125">
        <f>SUMIF(CP4:CP368,"*GESPI - TAMOIOS*",CQ4:CQ368)</f>
        <v>0</v>
      </c>
      <c r="CQ381" s="126">
        <f>SUMIF(CP4:CP368,"*GESPI - TAMOIOS*",CR4:CR368)</f>
        <v>0</v>
      </c>
      <c r="CR381" s="126">
        <f>SUMIF(CP4:CP368,"*GESPI - TAMOIOS*",CS4:CS368)</f>
        <v>0</v>
      </c>
      <c r="CS381" s="124">
        <f t="shared" si="11"/>
        <v>0</v>
      </c>
      <c r="CU381" s="171" t="s">
        <v>39</v>
      </c>
      <c r="CV381" s="172"/>
      <c r="CW381" s="125">
        <f>SUMIF(CW4:CW368,"*GESPI - TAMOIOS*",CX4:CX368)</f>
        <v>0</v>
      </c>
      <c r="CX381" s="126">
        <f>SUMIF(CW4:CW368,"*GESPI - TAMOIOS*",CY4:CY368)</f>
        <v>0</v>
      </c>
      <c r="CY381" s="126">
        <f>SUMIF(CW4:CW368,"*GESPI - TAMOIOS*",CZ4:CZ368)</f>
        <v>0</v>
      </c>
      <c r="CZ381" s="124">
        <f t="shared" si="12"/>
        <v>0</v>
      </c>
      <c r="DB381" s="171" t="s">
        <v>40</v>
      </c>
      <c r="DC381" s="172"/>
      <c r="DD381" s="125">
        <f>SUMIF(DD4:DD370,"*GESPI - FINANC E SUP*",DE4:DE370)</f>
        <v>0</v>
      </c>
      <c r="DE381" s="126">
        <f>SUMIF(DD4:DD370,"*GESPI - FINANC E SUP*",DF4:DF370)</f>
        <v>0</v>
      </c>
      <c r="DF381" s="126">
        <f>SUMIF(DD4:DD370,"*GESPI - FINANC E SUP*",DG4:DG370)</f>
        <v>0</v>
      </c>
      <c r="DG381" s="124">
        <f t="shared" si="18"/>
        <v>0</v>
      </c>
      <c r="DI381" s="171" t="s">
        <v>39</v>
      </c>
      <c r="DJ381" s="172"/>
      <c r="DK381" s="125">
        <f>SUMIF(DK4:DK368,"*GESPI - TAMOIOS*",DL4:DL368)</f>
        <v>0</v>
      </c>
      <c r="DL381" s="126">
        <f>SUMIF(DK4:DK368,"*GESPI - TAMOIOS*",DM4:DM368)</f>
        <v>0</v>
      </c>
      <c r="DM381" s="126">
        <f>SUMIF(DK4:DK368,"*GESPI - TAMOIOS*",DN4:DN368)</f>
        <v>0</v>
      </c>
      <c r="DN381" s="124">
        <f t="shared" si="13"/>
        <v>0</v>
      </c>
      <c r="DP381" s="171" t="s">
        <v>40</v>
      </c>
      <c r="DQ381" s="172"/>
      <c r="DR381" s="125">
        <f>SUMIF(DR4:DR370,"*GESPI - FINANC E SUP*",DS4:DS370)</f>
        <v>0</v>
      </c>
      <c r="DS381" s="126">
        <f>SUMIF(DR4:DR370,"*GESPI - FINANC E SUP*",DT4:DT370)</f>
        <v>0</v>
      </c>
      <c r="DT381" s="126">
        <f>SUMIF(DR4:DR370,"*GESPI - FINANC E SUP*",DU4:DU370)</f>
        <v>0</v>
      </c>
      <c r="DU381" s="124">
        <f t="shared" si="19"/>
        <v>0</v>
      </c>
      <c r="DW381" s="171" t="s">
        <v>39</v>
      </c>
      <c r="DX381" s="172"/>
      <c r="DY381" s="125">
        <f>SUMIF(DY4:DY368,"*GESPI - TAMOIOS*",DZ4:DZ368)</f>
        <v>0</v>
      </c>
      <c r="DZ381" s="126">
        <f>SUMIF(DY4:DY368,"*GESPI - TAMOIOS*",EA4:EA368)</f>
        <v>0</v>
      </c>
      <c r="EA381" s="126">
        <f>SUMIF(DY4:DY368,"*GESPI - TAMOIOS*",EB4:EB368)</f>
        <v>0</v>
      </c>
      <c r="EB381" s="124">
        <f t="shared" si="14"/>
        <v>0</v>
      </c>
    </row>
    <row r="382" spans="1:132" x14ac:dyDescent="0.25">
      <c r="A382" s="171" t="s">
        <v>38</v>
      </c>
      <c r="B382" s="172"/>
      <c r="C382" s="125">
        <f>SUMIF(C4:C368,"*GESPI - VILA NAIR*",D4:D368)</f>
        <v>0</v>
      </c>
      <c r="D382" s="126">
        <f>SUMIF(C4:C368,"*GESPI - VILA NAIR*",E4:E368)</f>
        <v>0</v>
      </c>
      <c r="E382" s="126">
        <f>SUMIF(C4:C368,"*GESPI - VILA NAIR*",F4:F368)</f>
        <v>0</v>
      </c>
      <c r="F382" s="124">
        <f t="shared" si="1"/>
        <v>0</v>
      </c>
      <c r="G382" s="91"/>
      <c r="H382" s="171" t="s">
        <v>38</v>
      </c>
      <c r="I382" s="172"/>
      <c r="J382" s="125">
        <f>SUMIF(J4:J368,"*GESPI - VILA NAIR*",K4:K368)</f>
        <v>0</v>
      </c>
      <c r="K382" s="126">
        <f>SUMIF(J4:J368,"*GESPI - VILA NAIR*",L4:L368)</f>
        <v>0</v>
      </c>
      <c r="L382" s="126">
        <f>SUMIF(J4:J368,"*GESPI - VILA NAIR*",M4:M368)</f>
        <v>0</v>
      </c>
      <c r="M382" s="124">
        <f t="shared" si="2"/>
        <v>0</v>
      </c>
      <c r="O382" s="171" t="s">
        <v>38</v>
      </c>
      <c r="P382" s="172"/>
      <c r="Q382" s="125">
        <f>SUMIF(Q4:Q368,"*GESPI - VILA NAIR*",R4:R368)</f>
        <v>0</v>
      </c>
      <c r="R382" s="126">
        <f>SUMIF(Q4:Q368,"*GESPI - VILA NAIR*",S4:S368)</f>
        <v>0</v>
      </c>
      <c r="S382" s="126">
        <f>SUMIF(Q4:Q368,"*GESPI - VILA NAIR*",T4:T368)</f>
        <v>0</v>
      </c>
      <c r="T382" s="124">
        <f t="shared" si="3"/>
        <v>0</v>
      </c>
      <c r="U382" s="91"/>
      <c r="V382" s="171" t="s">
        <v>39</v>
      </c>
      <c r="W382" s="172"/>
      <c r="X382" s="125">
        <f>SUMIF(X4:X369,"*GESPI - TAMOIOS*",Y4:Y369)</f>
        <v>0</v>
      </c>
      <c r="Y382" s="126">
        <f>SUMIF(X4:X369,"*GESPI - TAMOIOS*",Z4:Z369)</f>
        <v>0</v>
      </c>
      <c r="Z382" s="126">
        <f>SUMIF(X4:X369,"*GESPI - TAMOIOS*",AA4:AA369)</f>
        <v>0</v>
      </c>
      <c r="AA382" s="124">
        <f t="shared" si="15"/>
        <v>0</v>
      </c>
      <c r="AB382" s="91"/>
      <c r="AC382" s="171" t="s">
        <v>38</v>
      </c>
      <c r="AD382" s="172"/>
      <c r="AE382" s="125">
        <f>SUMIF(AE4:AE368,"*GESPI - VILA NAIR*",AF4:AF368)</f>
        <v>0</v>
      </c>
      <c r="AF382" s="126">
        <f>SUMIF(AE4:AE368,"*GESPI - VILA NAIR*",AG4:AG368)</f>
        <v>0</v>
      </c>
      <c r="AG382" s="126">
        <f>SUMIF(AE4:AE368,"*GESPI - VILA NAIR*",AH4:AH368)</f>
        <v>0</v>
      </c>
      <c r="AH382" s="124">
        <f t="shared" si="4"/>
        <v>0</v>
      </c>
      <c r="AI382" s="91"/>
      <c r="AJ382" s="171" t="s">
        <v>38</v>
      </c>
      <c r="AK382" s="172"/>
      <c r="AL382" s="125">
        <f>SUMIF(AL4:AL368,"*GESPI - VILA NAIR*",AM4:AM368)</f>
        <v>0</v>
      </c>
      <c r="AM382" s="126">
        <f>SUMIF(AL4:AL368,"*GESPI - VILA NAIR*",AN4:AN368)</f>
        <v>0</v>
      </c>
      <c r="AN382" s="135">
        <f>SUMIF(AL4:AL368,"*GESPI - VILA NAIR*",AO4:AO368)</f>
        <v>0</v>
      </c>
      <c r="AO382" s="124">
        <f t="shared" si="5"/>
        <v>0</v>
      </c>
      <c r="AQ382" s="171" t="s">
        <v>38</v>
      </c>
      <c r="AR382" s="172"/>
      <c r="AS382" s="125">
        <f>SUMIF(AS4:AS368,"*GESPI - VILA NAIR*",AT4:AT368)</f>
        <v>0</v>
      </c>
      <c r="AT382" s="126">
        <f>SUMIF(AS4:AS368,"*GESPI - VILA NAIR*",AU4:AU368)</f>
        <v>0</v>
      </c>
      <c r="AU382" s="126">
        <f>SUMIF(AS4:AS368,"*GESPI - VILA NAIR*",AV4:AV368)</f>
        <v>0</v>
      </c>
      <c r="AV382" s="124">
        <f t="shared" si="6"/>
        <v>0</v>
      </c>
      <c r="AX382" s="171" t="s">
        <v>39</v>
      </c>
      <c r="AY382" s="172"/>
      <c r="AZ382" s="125">
        <f>SUMIF(AZ4:AZ369,"*GESPI - TAMOIOS*",BA4:BA369)</f>
        <v>0</v>
      </c>
      <c r="BA382" s="126">
        <f>SUMIF(AZ4:AZ369,"*GESPI - TAMOIOS*",BB4:BB369)</f>
        <v>0</v>
      </c>
      <c r="BB382" s="126">
        <f>SUMIF(AZ4:AZ369,"*GESPI - TAMOIOS*",BC4:BC369)</f>
        <v>0</v>
      </c>
      <c r="BC382" s="124">
        <f t="shared" si="16"/>
        <v>0</v>
      </c>
      <c r="BE382" s="171" t="s">
        <v>38</v>
      </c>
      <c r="BF382" s="172"/>
      <c r="BG382" s="27">
        <f>SUMIF(BG4:BG368,"*GESPI - VILA NAIR*",BH4:BH368)</f>
        <v>0</v>
      </c>
      <c r="BH382" s="28">
        <f>SUMIF(BG4:BG368,"*GESPI - VILA NAIR*",BI4:BI368)</f>
        <v>0</v>
      </c>
      <c r="BI382" s="28">
        <f>SUMIF(BG4:BG368,"*GESPI - VILA NAIR*",BJ4:BJ368)</f>
        <v>0</v>
      </c>
      <c r="BJ382" s="26">
        <f t="shared" si="7"/>
        <v>0</v>
      </c>
      <c r="BL382" s="171" t="s">
        <v>38</v>
      </c>
      <c r="BM382" s="172"/>
      <c r="BN382" s="125">
        <f>SUMIF(BN4:BN368,"*GESPI - VILA NAIR*",BO4:BO368)</f>
        <v>0</v>
      </c>
      <c r="BO382" s="126">
        <f>SUMIF(BN4:BN368,"*GESPI - VILA NAIR*",BP4:BP368)</f>
        <v>0</v>
      </c>
      <c r="BP382" s="126">
        <f>SUMIF(BN4:BN368,"*GESPI - VILA NAIR*",BQ4:BQ368)</f>
        <v>0</v>
      </c>
      <c r="BQ382" s="124">
        <f t="shared" si="8"/>
        <v>0</v>
      </c>
      <c r="BS382" s="171" t="s">
        <v>38</v>
      </c>
      <c r="BT382" s="172"/>
      <c r="BU382" s="125">
        <f>SUMIF(BU4:BU368,"*GESPI - VILA NAIR*",BV4:BV368)</f>
        <v>0</v>
      </c>
      <c r="BV382" s="126">
        <f>SUMIF(BU4:BU368,"*GESPI - VILA NAIR*",BW4:BW368)</f>
        <v>0</v>
      </c>
      <c r="BW382" s="126">
        <f>SUMIF(BU4:BU368,"*GESPI - VILA NAIR*",BX4:BX368)</f>
        <v>0</v>
      </c>
      <c r="BX382" s="124">
        <f t="shared" si="9"/>
        <v>0</v>
      </c>
      <c r="BZ382" s="171" t="s">
        <v>39</v>
      </c>
      <c r="CA382" s="172"/>
      <c r="CB382" s="125">
        <f>SUMIF(CB4:CB369,"*GESPI - TAMOIOS*",CC4:CC369)</f>
        <v>0</v>
      </c>
      <c r="CC382" s="126">
        <f>SUMIF(CB4:CB369,"*GESPI - TAMOIOS*",CD4:CD369)</f>
        <v>0</v>
      </c>
      <c r="CD382" s="126">
        <f>SUMIF(CB4:CB369,"*GESPI - TAMOIOS*",CE4:CE369)</f>
        <v>0</v>
      </c>
      <c r="CE382" s="124">
        <f t="shared" si="17"/>
        <v>0</v>
      </c>
      <c r="CG382" s="171" t="s">
        <v>38</v>
      </c>
      <c r="CH382" s="172"/>
      <c r="CI382" s="125">
        <f>SUMIF(CI4:CI368,"*GESPI - VILA NAIR*",CJ4:CJ368)</f>
        <v>0</v>
      </c>
      <c r="CJ382" s="126">
        <f>SUMIF(CI4:CI368,"*GESPI - VILA NAIR*",CK4:CK368)</f>
        <v>0</v>
      </c>
      <c r="CK382" s="126">
        <f>SUMIF(CI4:CI368,"*GESPI - VILA NAIR*",CL4:CL368)</f>
        <v>0</v>
      </c>
      <c r="CL382" s="124">
        <f t="shared" si="10"/>
        <v>0</v>
      </c>
      <c r="CN382" s="171" t="s">
        <v>38</v>
      </c>
      <c r="CO382" s="172"/>
      <c r="CP382" s="125">
        <f>SUMIF(CP4:CP368,"*GESPI - VILA NAIR*",CQ4:CQ368)</f>
        <v>0</v>
      </c>
      <c r="CQ382" s="126">
        <f>SUMIF(CP4:CP368,"*GESPI - VILA NAIR*",CR4:CR368)</f>
        <v>0</v>
      </c>
      <c r="CR382" s="126">
        <f>SUMIF(CP4:CP368,"*GESPI - VILA NAIR*",CS4:CS368)</f>
        <v>0</v>
      </c>
      <c r="CS382" s="124">
        <f t="shared" si="11"/>
        <v>0</v>
      </c>
      <c r="CU382" s="171" t="s">
        <v>38</v>
      </c>
      <c r="CV382" s="172"/>
      <c r="CW382" s="125">
        <f>SUMIF(CW4:CW368,"*GESPI - VILA NAIR*",CX4:CX368)</f>
        <v>0</v>
      </c>
      <c r="CX382" s="126">
        <f>SUMIF(CW4:CW368,"*GESPI - VILA NAIR*",CY4:CY368)</f>
        <v>0</v>
      </c>
      <c r="CY382" s="126">
        <f>SUMIF(CW4:CW368,"*GESPI - VILA NAIR*",CZ4:CZ368)</f>
        <v>0</v>
      </c>
      <c r="CZ382" s="124">
        <f t="shared" si="12"/>
        <v>0</v>
      </c>
      <c r="DB382" s="171" t="s">
        <v>61</v>
      </c>
      <c r="DC382" s="172"/>
      <c r="DD382" s="125">
        <f>SUMIF(DD6:DD371,"*GESPI - ENGENHARIA*",DE6:DE371)</f>
        <v>0</v>
      </c>
      <c r="DE382" s="126">
        <f>SUMIF(DD6:DD371,"*GESPI - ENGENHARIA*",DF6:DF371)</f>
        <v>0</v>
      </c>
      <c r="DF382" s="126">
        <f>SUMIF(DD6:DD371,"*GESPI - ENGENHARIA*",DG6:DG371)</f>
        <v>0</v>
      </c>
      <c r="DG382" s="124">
        <f t="shared" si="18"/>
        <v>0</v>
      </c>
      <c r="DI382" s="171" t="s">
        <v>38</v>
      </c>
      <c r="DJ382" s="172"/>
      <c r="DK382" s="125">
        <f>SUMIF(DK4:DK368,"*GESPI - VILA NAIR*",DL4:DL368)</f>
        <v>0</v>
      </c>
      <c r="DL382" s="126">
        <f>SUMIF(DK4:DK368,"*GESPI - VILA NAIR*",DM4:DM368)</f>
        <v>0</v>
      </c>
      <c r="DM382" s="126">
        <f>SUMIF(DK4:DK368,"*GESPI - VILA NAIR*",DN4:DN368)</f>
        <v>0</v>
      </c>
      <c r="DN382" s="124">
        <f t="shared" si="13"/>
        <v>0</v>
      </c>
      <c r="DP382" s="171" t="s">
        <v>61</v>
      </c>
      <c r="DQ382" s="172"/>
      <c r="DR382" s="125">
        <f>SUMIF(DR6:DR371,"*GESPI - ENGENHARIA*",DS6:DS371)</f>
        <v>0</v>
      </c>
      <c r="DS382" s="126">
        <f>SUMIF(DR6:DR371,"*GESPI - ENGENHARIA*",DT6:DT371)</f>
        <v>0</v>
      </c>
      <c r="DT382" s="126">
        <f>SUMIF(DR6:DR371,"*GESPI - ENGENHARIA*",DU6:DU371)</f>
        <v>0</v>
      </c>
      <c r="DU382" s="124">
        <f t="shared" si="19"/>
        <v>0</v>
      </c>
      <c r="DW382" s="171" t="s">
        <v>38</v>
      </c>
      <c r="DX382" s="172"/>
      <c r="DY382" s="125">
        <f>SUMIF(DY4:DY368,"*GESPI - VILA NAIR*",DZ4:DZ368)</f>
        <v>0</v>
      </c>
      <c r="DZ382" s="126">
        <f>SUMIF(DY4:DY368,"*GESPI - VILA NAIR*",EA4:EA368)</f>
        <v>0</v>
      </c>
      <c r="EA382" s="126">
        <f>SUMIF(DY4:DY368,"*GESPI - VILA NAIR*",EB4:EB368)</f>
        <v>0</v>
      </c>
      <c r="EB382" s="124">
        <f t="shared" si="14"/>
        <v>0</v>
      </c>
    </row>
    <row r="383" spans="1:132" x14ac:dyDescent="0.25">
      <c r="A383" s="171" t="s">
        <v>43</v>
      </c>
      <c r="B383" s="172"/>
      <c r="C383" s="125">
        <f>SUMIF(C4:C368,"*LARISSA BERLATO*",D4:D368)</f>
        <v>0</v>
      </c>
      <c r="D383" s="126">
        <f>SUMIF(C4:C368,"*LARISSA BERLATO*",E4:E368)</f>
        <v>0</v>
      </c>
      <c r="E383" s="126">
        <f>SUMIF(C4:C368,"*LARISSA BERLATO*",F4:F368)</f>
        <v>0</v>
      </c>
      <c r="F383" s="124">
        <f t="shared" si="1"/>
        <v>0</v>
      </c>
      <c r="G383" s="91"/>
      <c r="H383" s="171" t="s">
        <v>43</v>
      </c>
      <c r="I383" s="172"/>
      <c r="J383" s="125">
        <f>SUMIF(J4:J368,"*LARISSA BERLATO*",K4:K368)</f>
        <v>750</v>
      </c>
      <c r="K383" s="126">
        <f>SUMIF(J4:J368,"*LARISSA BERLATO*",L4:L368)</f>
        <v>61.5</v>
      </c>
      <c r="L383" s="126">
        <f>SUMIF(J4:J368,"*LARISSA BERLATO*",M4:M368)</f>
        <v>0</v>
      </c>
      <c r="M383" s="124">
        <f t="shared" si="2"/>
        <v>811.5</v>
      </c>
      <c r="O383" s="171" t="s">
        <v>43</v>
      </c>
      <c r="P383" s="172"/>
      <c r="Q383" s="125">
        <f>SUMIF(Q4:Q368,"*LARISSA BERLATO*",R4:R368)</f>
        <v>0</v>
      </c>
      <c r="R383" s="126">
        <f>SUMIF(Q4:Q368,"*LARISSA BERLATO*",S4:S368)</f>
        <v>0</v>
      </c>
      <c r="S383" s="126">
        <f>SUMIF(Q4:Q368,"*LARISSA BERLATO*",T4:T368)</f>
        <v>0</v>
      </c>
      <c r="T383" s="124">
        <f t="shared" si="3"/>
        <v>0</v>
      </c>
      <c r="U383" s="91"/>
      <c r="V383" s="171" t="s">
        <v>38</v>
      </c>
      <c r="W383" s="172"/>
      <c r="X383" s="125">
        <f>SUMIF(X4:X369,"*GESPI - VILA NAIR*",Y4:Y369)</f>
        <v>0</v>
      </c>
      <c r="Y383" s="126">
        <f>SUMIF(X4:X369,"*GESPI - VILA NAIR*",Z4:Z369)</f>
        <v>0</v>
      </c>
      <c r="Z383" s="126">
        <f>SUMIF(X4:X369,"*GESPI - VILA NAIR*",AA4:AA369)</f>
        <v>0</v>
      </c>
      <c r="AA383" s="124">
        <f t="shared" si="15"/>
        <v>0</v>
      </c>
      <c r="AB383" s="91"/>
      <c r="AC383" s="171" t="s">
        <v>43</v>
      </c>
      <c r="AD383" s="172"/>
      <c r="AE383" s="125">
        <f>SUMIF(AE4:AE368,"*LARISSA BERLATO*",AF4:AF368)</f>
        <v>0</v>
      </c>
      <c r="AF383" s="126">
        <f>SUMIF(AE4:AE368,"*LARISSA BERLATO*",AG4:AG368)</f>
        <v>0</v>
      </c>
      <c r="AG383" s="126">
        <f>SUMIF(AE4:AE368,"*LARISSA BERLATO*",AH4:AH368)</f>
        <v>0</v>
      </c>
      <c r="AH383" s="124">
        <f t="shared" si="4"/>
        <v>0</v>
      </c>
      <c r="AI383" s="91"/>
      <c r="AJ383" s="171" t="s">
        <v>43</v>
      </c>
      <c r="AK383" s="172"/>
      <c r="AL383" s="125">
        <f>SUMIF(AL4:AL368,"*LARISSA BERLATO*",AM4:AM368)</f>
        <v>0</v>
      </c>
      <c r="AM383" s="126">
        <f>SUMIF(AL4:AL368,"*LARISSA BERLATO*",AN4:AN368)</f>
        <v>0</v>
      </c>
      <c r="AN383" s="135">
        <f>SUMIF(AL4:AL368,"*LARISSA BERLATO*",AO4:AO368)</f>
        <v>0</v>
      </c>
      <c r="AO383" s="124">
        <f t="shared" si="5"/>
        <v>0</v>
      </c>
      <c r="AQ383" s="171" t="s">
        <v>43</v>
      </c>
      <c r="AR383" s="172"/>
      <c r="AS383" s="125">
        <f>SUMIF(AS4:AS368,"*LARISSA BERLATO*",AT4:AT368)</f>
        <v>200</v>
      </c>
      <c r="AT383" s="126">
        <f>SUMIF(AS4:AS368,"*LARISSA BERLATO*",AU4:AU368)</f>
        <v>24</v>
      </c>
      <c r="AU383" s="126">
        <f>SUMIF(AS4:AS368,"*LARISSA BERLATO*",AV4:AV368)</f>
        <v>0</v>
      </c>
      <c r="AV383" s="124">
        <f t="shared" si="6"/>
        <v>224</v>
      </c>
      <c r="AX383" s="171" t="s">
        <v>38</v>
      </c>
      <c r="AY383" s="172"/>
      <c r="AZ383" s="125">
        <f>SUMIF(AZ4:AZ369,"*GESPI - VILA NAIR*",BA4:BA369)</f>
        <v>0</v>
      </c>
      <c r="BA383" s="126">
        <f>SUMIF(AZ4:AZ369,"*GESPI - VILA NAIR*",BB4:BB369)</f>
        <v>0</v>
      </c>
      <c r="BB383" s="126">
        <f>SUMIF(AZ4:AZ369,"*GESPI - VILA NAIR*",BC4:BC369)</f>
        <v>0</v>
      </c>
      <c r="BC383" s="124">
        <f t="shared" si="16"/>
        <v>0</v>
      </c>
      <c r="BE383" s="171" t="s">
        <v>43</v>
      </c>
      <c r="BF383" s="172"/>
      <c r="BG383" s="27">
        <f>SUMIF(BG4:BG368,"*LARISSA BERLATO*",BH4:BH368)</f>
        <v>0</v>
      </c>
      <c r="BH383" s="28">
        <f>SUMIF(BG4:BG368,"*LARISSA BERLATO*",BI4:BI368)</f>
        <v>0</v>
      </c>
      <c r="BI383" s="28">
        <f>SUMIF(BG4:BG368,"*LARISSA BERLATO*",BJ4:BJ368)</f>
        <v>0</v>
      </c>
      <c r="BJ383" s="26">
        <f t="shared" si="7"/>
        <v>0</v>
      </c>
      <c r="BL383" s="171" t="s">
        <v>43</v>
      </c>
      <c r="BM383" s="172"/>
      <c r="BN383" s="125">
        <f>SUMIF(BN4:BN368,"*LARISSA BERLATO*",BO4:BO368)</f>
        <v>0</v>
      </c>
      <c r="BO383" s="126">
        <f>SUMIF(BN4:BN368,"*LARISSA BERLATO*",BP4:BP368)</f>
        <v>0</v>
      </c>
      <c r="BP383" s="126">
        <f>SUMIF(BN4:BN368,"*LARISSA BERLATO*",BQ4:BQ368)</f>
        <v>0</v>
      </c>
      <c r="BQ383" s="124">
        <f t="shared" si="8"/>
        <v>0</v>
      </c>
      <c r="BS383" s="171" t="s">
        <v>43</v>
      </c>
      <c r="BT383" s="172"/>
      <c r="BU383" s="125">
        <f>SUMIF(BU4:BU368,"*LARISSA BERLATO*",BV4:BV368)</f>
        <v>0</v>
      </c>
      <c r="BV383" s="126">
        <f>SUMIF(BU4:BU368,"*LARISSA BERLATO*",BW4:BW368)</f>
        <v>0</v>
      </c>
      <c r="BW383" s="126">
        <f>SUMIF(BU4:BU368,"*LARISSA BERLATO*",BX4:BX368)</f>
        <v>0</v>
      </c>
      <c r="BX383" s="124">
        <f t="shared" si="9"/>
        <v>0</v>
      </c>
      <c r="BZ383" s="171" t="s">
        <v>38</v>
      </c>
      <c r="CA383" s="172"/>
      <c r="CB383" s="125">
        <f>SUMIF(CB4:CB369,"*GESPI - VILA NAIR*",CC4:CC369)</f>
        <v>0</v>
      </c>
      <c r="CC383" s="126">
        <f>SUMIF(CB4:CB369,"*GESPI - VILA NAIR*",CD4:CD369)</f>
        <v>0</v>
      </c>
      <c r="CD383" s="126">
        <f>SUMIF(CB4:CB369,"*GESPI - VILA NAIR*",CE4:CE369)</f>
        <v>0</v>
      </c>
      <c r="CE383" s="124">
        <f t="shared" si="17"/>
        <v>0</v>
      </c>
      <c r="CG383" s="171" t="s">
        <v>43</v>
      </c>
      <c r="CH383" s="172"/>
      <c r="CI383" s="125">
        <f>SUMIF(CI4:CI368,"*LARISSA BERLATO*",CJ4:CJ368)</f>
        <v>0</v>
      </c>
      <c r="CJ383" s="126">
        <f>SUMIF(CI4:CI368,"*LARISSA BERLATO*",CK4:CK368)</f>
        <v>0</v>
      </c>
      <c r="CK383" s="126">
        <f>SUMIF(CI4:CI368,"*LARISSA BERLATO*",CL4:CL368)</f>
        <v>0</v>
      </c>
      <c r="CL383" s="124">
        <f t="shared" si="10"/>
        <v>0</v>
      </c>
      <c r="CN383" s="171" t="s">
        <v>43</v>
      </c>
      <c r="CO383" s="172"/>
      <c r="CP383" s="125">
        <f>SUMIF(CP4:CP368,"*LARISSA BERLATO*",CQ4:CQ368)</f>
        <v>0</v>
      </c>
      <c r="CQ383" s="126">
        <f>SUMIF(CP4:CP368,"*LARISSA BERLATO*",CR4:CR368)</f>
        <v>0</v>
      </c>
      <c r="CR383" s="126">
        <f>SUMIF(CP4:CP368,"*LARISSA BERLATO*",CS4:CS368)</f>
        <v>0</v>
      </c>
      <c r="CS383" s="124">
        <f t="shared" si="11"/>
        <v>0</v>
      </c>
      <c r="CU383" s="171" t="s">
        <v>43</v>
      </c>
      <c r="CV383" s="172"/>
      <c r="CW383" s="125">
        <f>SUMIF(CW4:CW368,"*LARISSA BERLATO*",CX4:CX368)</f>
        <v>0</v>
      </c>
      <c r="CX383" s="126">
        <f>SUMIF(CW4:CW368,"*LARISSA BERLATO*",CY4:CY368)</f>
        <v>0</v>
      </c>
      <c r="CY383" s="126">
        <f>SUMIF(CW4:CW368,"*LARISSA BERLATO*",CZ4:CZ368)</f>
        <v>0</v>
      </c>
      <c r="CZ383" s="124">
        <f t="shared" si="12"/>
        <v>0</v>
      </c>
      <c r="DB383" s="171" t="s">
        <v>39</v>
      </c>
      <c r="DC383" s="172"/>
      <c r="DD383" s="125">
        <f>SUMIF(DD4:DD370,"*GESPI - TAMOIOS*",DE4:DE370)</f>
        <v>0</v>
      </c>
      <c r="DE383" s="126">
        <f>SUMIF(DD4:DD370,"*GESPI - TAMOIOS*",DF4:DF370)</f>
        <v>0</v>
      </c>
      <c r="DF383" s="126">
        <f>SUMIF(DD4:DD370,"*GESPI - TAMOIOS*",DG4:DG370)</f>
        <v>0</v>
      </c>
      <c r="DG383" s="124">
        <f t="shared" si="18"/>
        <v>0</v>
      </c>
      <c r="DI383" s="171" t="s">
        <v>43</v>
      </c>
      <c r="DJ383" s="172"/>
      <c r="DK383" s="125">
        <f>SUMIF(DK4:DK368,"*LARISSA BERLATO*",DL4:DL368)</f>
        <v>0</v>
      </c>
      <c r="DL383" s="126">
        <f>SUMIF(DK4:DK368,"*LARISSA BERLATO*",DM4:DM368)</f>
        <v>0</v>
      </c>
      <c r="DM383" s="126">
        <f>SUMIF(DK4:DK368,"*LARISSA BERLATO*",DN4:DN368)</f>
        <v>0</v>
      </c>
      <c r="DN383" s="124">
        <f t="shared" si="13"/>
        <v>0</v>
      </c>
      <c r="DP383" s="171" t="s">
        <v>39</v>
      </c>
      <c r="DQ383" s="172"/>
      <c r="DR383" s="125">
        <f>SUMIF(DR4:DR370,"*GESPI - TAMOIOS*",DS4:DS370)</f>
        <v>0</v>
      </c>
      <c r="DS383" s="126">
        <f>SUMIF(DR4:DR370,"*GESPI - TAMOIOS*",DT4:DT370)</f>
        <v>0</v>
      </c>
      <c r="DT383" s="126">
        <f>SUMIF(DR4:DR370,"*GESPI - TAMOIOS*",DU4:DU370)</f>
        <v>0</v>
      </c>
      <c r="DU383" s="124">
        <f t="shared" si="19"/>
        <v>0</v>
      </c>
      <c r="DW383" s="171" t="s">
        <v>43</v>
      </c>
      <c r="DX383" s="172"/>
      <c r="DY383" s="125">
        <f>SUMIF(DY4:DY368,"*LARISSA BERLATO*",DZ4:DZ368)</f>
        <v>0</v>
      </c>
      <c r="DZ383" s="126">
        <f>SUMIF(DY4:DY368,"*LARISSA BERLATO*",EA4:EA368)</f>
        <v>0</v>
      </c>
      <c r="EA383" s="126">
        <f>SUMIF(DY4:DY368,"*LARISSA BERLATO*",EB4:EB368)</f>
        <v>0</v>
      </c>
      <c r="EB383" s="124">
        <f t="shared" si="14"/>
        <v>0</v>
      </c>
    </row>
    <row r="384" spans="1:132" x14ac:dyDescent="0.25">
      <c r="A384" s="171" t="s">
        <v>33</v>
      </c>
      <c r="B384" s="172"/>
      <c r="C384" s="125">
        <f>SUMIF(C4:C368,"*STEEL HOME*",D4:D368)</f>
        <v>360</v>
      </c>
      <c r="D384" s="126">
        <f>SUMIF(C4:C368,"*STEEL HOME*",E4:E368)</f>
        <v>30</v>
      </c>
      <c r="E384" s="126">
        <f>SUMIF(C4:C368,"*STEEL HOME*",F4:F368)</f>
        <v>38</v>
      </c>
      <c r="F384" s="124">
        <f t="shared" si="1"/>
        <v>428</v>
      </c>
      <c r="G384" s="91"/>
      <c r="H384" s="171" t="s">
        <v>33</v>
      </c>
      <c r="I384" s="172"/>
      <c r="J384" s="125">
        <f>SUMIF(J4:J368,"*STEEL HOME*",K4:K368)</f>
        <v>0</v>
      </c>
      <c r="K384" s="126">
        <f>SUMIF(J4:J368,"*STEEL HOME*",L4:L368)</f>
        <v>0</v>
      </c>
      <c r="L384" s="126">
        <f>SUMIF(J4:J368,"*STEEL HOME*",M4:M368)</f>
        <v>0</v>
      </c>
      <c r="M384" s="124">
        <f t="shared" si="2"/>
        <v>0</v>
      </c>
      <c r="O384" s="171" t="s">
        <v>33</v>
      </c>
      <c r="P384" s="172"/>
      <c r="Q384" s="125">
        <f>SUMIF(Q4:Q368,"*STEEL HOME*",R4:R368)</f>
        <v>0</v>
      </c>
      <c r="R384" s="126">
        <f>SUMIF(Q4:Q368,"*STEEL HOME*",S4:S368)</f>
        <v>0</v>
      </c>
      <c r="S384" s="126">
        <f>SUMIF(Q4:Q368,"*STEEL HOME*",T4:T368)</f>
        <v>0</v>
      </c>
      <c r="T384" s="124">
        <f t="shared" si="3"/>
        <v>0</v>
      </c>
      <c r="U384" s="91"/>
      <c r="V384" s="171" t="s">
        <v>43</v>
      </c>
      <c r="W384" s="172"/>
      <c r="X384" s="125">
        <f>SUMIF(X4:X369,"*LARISSA BERLATO*",Y4:Y369)</f>
        <v>0</v>
      </c>
      <c r="Y384" s="126">
        <f>SUMIF(X4:X369,"*LARISSA BERLATO*",Z4:Z369)</f>
        <v>0</v>
      </c>
      <c r="Z384" s="126">
        <f>SUMIF(X4:X369,"*LARISSA BERLATO*",AA4:AA369)</f>
        <v>0</v>
      </c>
      <c r="AA384" s="124">
        <f t="shared" si="15"/>
        <v>0</v>
      </c>
      <c r="AB384" s="91"/>
      <c r="AC384" s="171" t="s">
        <v>33</v>
      </c>
      <c r="AD384" s="172"/>
      <c r="AE384" s="125">
        <f>SUMIF(AE4:AE368,"*STEEL HOME*",AF4:AF368)</f>
        <v>0</v>
      </c>
      <c r="AF384" s="126">
        <f>SUMIF(AE4:AE368,"*STEEL HOME*",AG4:AG368)</f>
        <v>0</v>
      </c>
      <c r="AG384" s="126">
        <f>SUMIF(AE4:AE368,"*STEEL HOME*",AH4:AH368)</f>
        <v>0</v>
      </c>
      <c r="AH384" s="124">
        <f t="shared" si="4"/>
        <v>0</v>
      </c>
      <c r="AI384" s="91"/>
      <c r="AJ384" s="171" t="s">
        <v>33</v>
      </c>
      <c r="AK384" s="172"/>
      <c r="AL384" s="125">
        <f>SUMIF(AL4:AL368,"*STEEL HOME*",AM4:AM368)</f>
        <v>0</v>
      </c>
      <c r="AM384" s="126">
        <f>SUMIF(AL4:AL368,"*STEEL HOME*",AN4:AN368)</f>
        <v>0</v>
      </c>
      <c r="AN384" s="135">
        <f>SUMIF(AL4:AL368,"*STEEL HOME*",AO4:AO368)</f>
        <v>0</v>
      </c>
      <c r="AO384" s="124">
        <f t="shared" si="5"/>
        <v>0</v>
      </c>
      <c r="AQ384" s="171" t="s">
        <v>33</v>
      </c>
      <c r="AR384" s="172"/>
      <c r="AS384" s="125">
        <f>SUMIF(AS4:AS368,"*STEEL HOME*",AT4:AT368)</f>
        <v>0</v>
      </c>
      <c r="AT384" s="126">
        <f>SUMIF(AS4:AS368,"*STEEL HOME*",AU4:AU368)</f>
        <v>0</v>
      </c>
      <c r="AU384" s="126">
        <f>SUMIF(AS4:AS368,"*STEEL HOME*",AV4:AV368)</f>
        <v>0</v>
      </c>
      <c r="AV384" s="124">
        <f t="shared" si="6"/>
        <v>0</v>
      </c>
      <c r="AX384" s="171" t="s">
        <v>43</v>
      </c>
      <c r="AY384" s="172"/>
      <c r="AZ384" s="125">
        <f>SUMIF(AZ4:AZ369,"*LARISSA BERLATO*",BA4:BA369)</f>
        <v>0</v>
      </c>
      <c r="BA384" s="126">
        <f>SUMIF(AZ4:AZ369,"*LARISSA BERLATO*",BB4:BB369)</f>
        <v>0</v>
      </c>
      <c r="BB384" s="126">
        <f>SUMIF(AZ4:AZ369,"*LARISSA BERLATO*",BC4:BC369)</f>
        <v>0</v>
      </c>
      <c r="BC384" s="124">
        <f t="shared" si="16"/>
        <v>0</v>
      </c>
      <c r="BE384" s="171" t="s">
        <v>33</v>
      </c>
      <c r="BF384" s="172"/>
      <c r="BG384" s="27">
        <f>SUMIF(BG4:BG368,"*STEEL HOME*",BH4:BH368)</f>
        <v>0</v>
      </c>
      <c r="BH384" s="28">
        <f>SUMIF(BG4:BG368,"*STEEL HOME*",BI4:BI368)</f>
        <v>0</v>
      </c>
      <c r="BI384" s="28">
        <f>SUMIF(BG4:BG368,"*STEEL HOME*",BJ4:BJ368)</f>
        <v>0</v>
      </c>
      <c r="BJ384" s="26">
        <f t="shared" si="7"/>
        <v>0</v>
      </c>
      <c r="BL384" s="171" t="s">
        <v>33</v>
      </c>
      <c r="BM384" s="172"/>
      <c r="BN384" s="125">
        <f>SUMIF(BN4:BN368,"*STEEL HOME*",BO4:BO368)</f>
        <v>240</v>
      </c>
      <c r="BO384" s="126">
        <f>SUMIF(BN4:BN368,"*STEEL HOME*",BP4:BP368)</f>
        <v>26</v>
      </c>
      <c r="BP384" s="126">
        <f>SUMIF(BN4:BN368,"*STEEL HOME*",BQ4:BQ368)</f>
        <v>0</v>
      </c>
      <c r="BQ384" s="124">
        <f t="shared" si="8"/>
        <v>266</v>
      </c>
      <c r="BS384" s="171" t="s">
        <v>33</v>
      </c>
      <c r="BT384" s="172"/>
      <c r="BU384" s="125">
        <f>SUMIF(BU4:BU368,"*STEEL HOME*",BV4:BV368)</f>
        <v>0</v>
      </c>
      <c r="BV384" s="126">
        <f>SUMIF(BU4:BU368,"*STEEL HOME*",BW4:BW368)</f>
        <v>0</v>
      </c>
      <c r="BW384" s="126">
        <f>SUMIF(BU4:BU368,"*STEEL HOME*",BX4:BX368)</f>
        <v>0</v>
      </c>
      <c r="BX384" s="124">
        <f t="shared" si="9"/>
        <v>0</v>
      </c>
      <c r="BZ384" s="171" t="s">
        <v>43</v>
      </c>
      <c r="CA384" s="172"/>
      <c r="CB384" s="125">
        <f>SUMIF(CB4:CB369,"*LARISSA BERLATO*",CC4:CC369)</f>
        <v>0</v>
      </c>
      <c r="CC384" s="126">
        <f>SUMIF(CB4:CB369,"*LARISSA BERLATO*",CD4:CD369)</f>
        <v>0</v>
      </c>
      <c r="CD384" s="126">
        <f>SUMIF(CB4:CB369,"*LARISSA BERLATO*",CE4:CE369)</f>
        <v>0</v>
      </c>
      <c r="CE384" s="124">
        <f t="shared" si="17"/>
        <v>0</v>
      </c>
      <c r="CG384" s="171" t="s">
        <v>33</v>
      </c>
      <c r="CH384" s="172"/>
      <c r="CI384" s="125">
        <f>SUMIF(CI4:CI368,"*STEEL HOME*",CJ4:CJ368)</f>
        <v>0</v>
      </c>
      <c r="CJ384" s="126">
        <f>SUMIF(CI4:CI368,"*STEEL HOME*",CK4:CK368)</f>
        <v>0</v>
      </c>
      <c r="CK384" s="126">
        <f>SUMIF(CI4:CI368,"*STEEL HOME*",CL4:CL368)</f>
        <v>0</v>
      </c>
      <c r="CL384" s="124">
        <f t="shared" si="10"/>
        <v>0</v>
      </c>
      <c r="CN384" s="171" t="s">
        <v>33</v>
      </c>
      <c r="CO384" s="172"/>
      <c r="CP384" s="125">
        <f>SUMIF(CP4:CP368,"*STEEL HOME*",CQ4:CQ368)</f>
        <v>0</v>
      </c>
      <c r="CQ384" s="126">
        <f>SUMIF(CP4:CP368,"*STEEL HOME*",CR4:CR368)</f>
        <v>0</v>
      </c>
      <c r="CR384" s="126">
        <f>SUMIF(CP4:CP368,"*STEEL HOME*",CS4:CS368)</f>
        <v>0</v>
      </c>
      <c r="CS384" s="124">
        <f t="shared" si="11"/>
        <v>0</v>
      </c>
      <c r="CU384" s="171" t="s">
        <v>33</v>
      </c>
      <c r="CV384" s="172"/>
      <c r="CW384" s="125">
        <f>SUMIF(CW4:CW368,"*STEEL HOME*",CX4:CX368)</f>
        <v>0</v>
      </c>
      <c r="CX384" s="126">
        <f>SUMIF(CW4:CW368,"*STEEL HOME*",CY4:CY368)</f>
        <v>0</v>
      </c>
      <c r="CY384" s="126">
        <f>SUMIF(CW4:CW368,"*STEEL HOME*",CZ4:CZ368)</f>
        <v>0</v>
      </c>
      <c r="CZ384" s="124">
        <f t="shared" si="12"/>
        <v>0</v>
      </c>
      <c r="DB384" s="171" t="s">
        <v>38</v>
      </c>
      <c r="DC384" s="172"/>
      <c r="DD384" s="125">
        <f>SUMIF(DD4:DD370,"*GESPI - VILA NAIR*",DE4:DE370)</f>
        <v>0</v>
      </c>
      <c r="DE384" s="126">
        <f>SUMIF(DD4:DD370,"*GESPI - VILA NAIR*",DF4:DF370)</f>
        <v>0</v>
      </c>
      <c r="DF384" s="126">
        <f>SUMIF(DD4:DD370,"*GESPI - VILA NAIR*",DG4:DG370)</f>
        <v>0</v>
      </c>
      <c r="DG384" s="124">
        <f t="shared" si="18"/>
        <v>0</v>
      </c>
      <c r="DI384" s="171" t="s">
        <v>33</v>
      </c>
      <c r="DJ384" s="172"/>
      <c r="DK384" s="125">
        <f>SUMIF(DK4:DK368,"*STEEL HOME*",DL4:DL368)</f>
        <v>0</v>
      </c>
      <c r="DL384" s="126">
        <f>SUMIF(DK4:DK368,"*STEEL HOME*",DM4:DM368)</f>
        <v>0</v>
      </c>
      <c r="DM384" s="126">
        <f>SUMIF(DK4:DK368,"*STEEL HOME*",DN4:DN368)</f>
        <v>0</v>
      </c>
      <c r="DN384" s="124">
        <f t="shared" si="13"/>
        <v>0</v>
      </c>
      <c r="DP384" s="171" t="s">
        <v>38</v>
      </c>
      <c r="DQ384" s="172"/>
      <c r="DR384" s="125">
        <f>SUMIF(DR4:DR370,"*GESPI - VILA NAIR*",DS4:DS370)</f>
        <v>0</v>
      </c>
      <c r="DS384" s="126">
        <f>SUMIF(DR4:DR370,"*GESPI - VILA NAIR*",DT4:DT370)</f>
        <v>0</v>
      </c>
      <c r="DT384" s="126">
        <f>SUMIF(DR4:DR370,"*GESPI - VILA NAIR*",DU4:DU370)</f>
        <v>0</v>
      </c>
      <c r="DU384" s="124">
        <f t="shared" si="19"/>
        <v>0</v>
      </c>
      <c r="DW384" s="171" t="s">
        <v>33</v>
      </c>
      <c r="DX384" s="172"/>
      <c r="DY384" s="125">
        <f>SUMIF(DY4:DY368,"*STEEL HOME*",DZ4:DZ368)</f>
        <v>0</v>
      </c>
      <c r="DZ384" s="126">
        <f>SUMIF(DY4:DY368,"*STEEL HOME*",EA4:EA368)</f>
        <v>0</v>
      </c>
      <c r="EA384" s="126">
        <f>SUMIF(DY4:DY368,"*STEEL HOME*",EB4:EB368)</f>
        <v>0</v>
      </c>
      <c r="EB384" s="124">
        <f t="shared" si="14"/>
        <v>0</v>
      </c>
    </row>
    <row r="385" spans="1:132" x14ac:dyDescent="0.25">
      <c r="A385" s="171" t="s">
        <v>34</v>
      </c>
      <c r="B385" s="172"/>
      <c r="C385" s="125">
        <f>SUMIF(C4:C368,"*VEREDA*",D4:D368)</f>
        <v>180</v>
      </c>
      <c r="D385" s="126">
        <f>SUMIF(C4:C368,"*VEREDA*",E4:E368)</f>
        <v>15</v>
      </c>
      <c r="E385" s="126">
        <f>SUMIF(C4:C368,"*VEREDA*",F4:F368)</f>
        <v>19</v>
      </c>
      <c r="F385" s="124">
        <f t="shared" si="1"/>
        <v>214</v>
      </c>
      <c r="G385" s="91"/>
      <c r="H385" s="171" t="s">
        <v>34</v>
      </c>
      <c r="I385" s="172"/>
      <c r="J385" s="125">
        <f>SUMIF(J4:J368,"*VEREDA*",K4:K368)</f>
        <v>0</v>
      </c>
      <c r="K385" s="126">
        <f>SUMIF(J4:J368,"*VEREDA*",L4:L368)</f>
        <v>0</v>
      </c>
      <c r="L385" s="126">
        <f>SUMIF(J4:J368,"*VEREDA*",M4:M368)</f>
        <v>0</v>
      </c>
      <c r="M385" s="124">
        <f t="shared" si="2"/>
        <v>0</v>
      </c>
      <c r="O385" s="171" t="s">
        <v>34</v>
      </c>
      <c r="P385" s="172"/>
      <c r="Q385" s="125">
        <f>SUMIF(Q4:Q368,"*VEREDA*",R4:R368)</f>
        <v>0</v>
      </c>
      <c r="R385" s="126">
        <f>SUMIF(Q4:Q368,"*VEREDA*",S4:S368)</f>
        <v>0</v>
      </c>
      <c r="S385" s="126">
        <f>SUMIF(Q4:Q368,"*VEREDA*",T4:T368)</f>
        <v>0</v>
      </c>
      <c r="T385" s="124">
        <f t="shared" si="3"/>
        <v>0</v>
      </c>
      <c r="U385" s="91"/>
      <c r="V385" s="171" t="s">
        <v>33</v>
      </c>
      <c r="W385" s="172"/>
      <c r="X385" s="125">
        <f>SUMIF(X4:X369,"*STEEL HOME*",Y4:Y369)</f>
        <v>0</v>
      </c>
      <c r="Y385" s="126">
        <f>SUMIF(X4:X369,"*STEEL HOME*",Z4:Z369)</f>
        <v>0</v>
      </c>
      <c r="Z385" s="126">
        <f>SUMIF(X4:X369,"*STEEL HOME*",AA4:AA369)</f>
        <v>0</v>
      </c>
      <c r="AA385" s="124">
        <f t="shared" si="15"/>
        <v>0</v>
      </c>
      <c r="AB385" s="91"/>
      <c r="AC385" s="171" t="s">
        <v>34</v>
      </c>
      <c r="AD385" s="172"/>
      <c r="AE385" s="125">
        <f>SUMIF(AE4:AE368,"*VEREDA*",AF4:AF368)</f>
        <v>0</v>
      </c>
      <c r="AF385" s="126">
        <f>SUMIF(AE4:AE368,"*VEREDA*",AG4:AG368)</f>
        <v>0</v>
      </c>
      <c r="AG385" s="126">
        <f>SUMIF(AE4:AE368,"*VEREDA*",AH4:AH368)</f>
        <v>0</v>
      </c>
      <c r="AH385" s="124">
        <f t="shared" si="4"/>
        <v>0</v>
      </c>
      <c r="AI385" s="91"/>
      <c r="AJ385" s="171" t="s">
        <v>34</v>
      </c>
      <c r="AK385" s="172"/>
      <c r="AL385" s="125">
        <f>SUMIF(AL4:AL368,"*VEREDA*",AM4:AM368)</f>
        <v>0</v>
      </c>
      <c r="AM385" s="126">
        <f>SUMIF(AL4:AL368,"*VEREDA*",AN4:AN368)</f>
        <v>0</v>
      </c>
      <c r="AN385" s="135">
        <f>SUMIF(AL4:AL368,"*VEREDA*",AO4:AO368)</f>
        <v>0</v>
      </c>
      <c r="AO385" s="124">
        <f t="shared" si="5"/>
        <v>0</v>
      </c>
      <c r="AQ385" s="171" t="s">
        <v>34</v>
      </c>
      <c r="AR385" s="172"/>
      <c r="AS385" s="125">
        <f>SUMIF(AS4:AS368,"*VEREDA*",AT4:AT368)</f>
        <v>0</v>
      </c>
      <c r="AT385" s="126">
        <f>SUMIF(AS4:AS368,"*VEREDA*",AU4:AU368)</f>
        <v>0</v>
      </c>
      <c r="AU385" s="126">
        <f>SUMIF(AS4:AS368,"*VEREDA*",AV4:AV368)</f>
        <v>0</v>
      </c>
      <c r="AV385" s="124">
        <f t="shared" si="6"/>
        <v>0</v>
      </c>
      <c r="AX385" s="171" t="s">
        <v>33</v>
      </c>
      <c r="AY385" s="172"/>
      <c r="AZ385" s="125">
        <f>SUMIF(AZ4:AZ369,"*STEEL HOME*",BA4:BA369)</f>
        <v>0</v>
      </c>
      <c r="BA385" s="126">
        <f>SUMIF(AZ4:AZ369,"*STEEL HOME*",BB4:BB369)</f>
        <v>0</v>
      </c>
      <c r="BB385" s="126">
        <f>SUMIF(AZ4:AZ369,"*STEEL HOME*",BC4:BC369)</f>
        <v>0</v>
      </c>
      <c r="BC385" s="124">
        <f t="shared" si="16"/>
        <v>0</v>
      </c>
      <c r="BE385" s="171" t="s">
        <v>34</v>
      </c>
      <c r="BF385" s="172"/>
      <c r="BG385" s="27">
        <f>SUMIF(BG4:BG368,"*VEREDA*",BH4:BH368)</f>
        <v>0</v>
      </c>
      <c r="BH385" s="28">
        <f>SUMIF(BG4:BG368,"*VEREDA*",BI4:BI368)</f>
        <v>0</v>
      </c>
      <c r="BI385" s="28">
        <f>SUMIF(BG4:BG368,"*VEREDA*",BJ4:BJ368)</f>
        <v>0</v>
      </c>
      <c r="BJ385" s="26">
        <f t="shared" si="7"/>
        <v>0</v>
      </c>
      <c r="BL385" s="171" t="s">
        <v>34</v>
      </c>
      <c r="BM385" s="172"/>
      <c r="BN385" s="125">
        <f>SUMIF(BN4:BN368,"*VEREDA*",BO4:BO368)</f>
        <v>120</v>
      </c>
      <c r="BO385" s="126">
        <f>SUMIF(BN4:BN368,"*VEREDA*",BP4:BP368)</f>
        <v>13</v>
      </c>
      <c r="BP385" s="126">
        <f>SUMIF(BN4:BN368,"*VEREDA*",BQ4:BQ368)</f>
        <v>0</v>
      </c>
      <c r="BQ385" s="124">
        <f t="shared" si="8"/>
        <v>133</v>
      </c>
      <c r="BS385" s="171" t="s">
        <v>34</v>
      </c>
      <c r="BT385" s="172"/>
      <c r="BU385" s="125">
        <f>SUMIF(BU4:BU368,"*VEREDA*",BV4:BV368)</f>
        <v>0</v>
      </c>
      <c r="BV385" s="126">
        <f>SUMIF(BU4:BU368,"*VEREDA*",BW4:BW368)</f>
        <v>0</v>
      </c>
      <c r="BW385" s="126">
        <f>SUMIF(BU4:BU368,"*VEREDA*",BX4:BX368)</f>
        <v>0</v>
      </c>
      <c r="BX385" s="124">
        <f t="shared" si="9"/>
        <v>0</v>
      </c>
      <c r="BZ385" s="171" t="s">
        <v>33</v>
      </c>
      <c r="CA385" s="172"/>
      <c r="CB385" s="125">
        <f>SUMIF(CB4:CB369,"*STEEL HOME*",CC4:CC369)</f>
        <v>0</v>
      </c>
      <c r="CC385" s="126">
        <f>SUMIF(CB4:CB369,"*STEEL HOME*",CD4:CD369)</f>
        <v>0</v>
      </c>
      <c r="CD385" s="126">
        <f>SUMIF(CB4:CB369,"*STEEL HOME*",CE4:CE369)</f>
        <v>0</v>
      </c>
      <c r="CE385" s="124">
        <f t="shared" si="17"/>
        <v>0</v>
      </c>
      <c r="CG385" s="171" t="s">
        <v>34</v>
      </c>
      <c r="CH385" s="172"/>
      <c r="CI385" s="125">
        <f>SUMIF(CI4:CI368,"*VEREDA*",CJ4:CJ368)</f>
        <v>0</v>
      </c>
      <c r="CJ385" s="126">
        <f>SUMIF(CI4:CI368,"*VEREDA*",CK4:CK368)</f>
        <v>0</v>
      </c>
      <c r="CK385" s="126">
        <f>SUMIF(CI4:CI368,"*VEREDA*",CL4:CL368)</f>
        <v>0</v>
      </c>
      <c r="CL385" s="124">
        <f t="shared" si="10"/>
        <v>0</v>
      </c>
      <c r="CN385" s="171" t="s">
        <v>34</v>
      </c>
      <c r="CO385" s="172"/>
      <c r="CP385" s="125">
        <f>SUMIF(CP4:CP368,"*VEREDA*",CQ4:CQ368)</f>
        <v>0</v>
      </c>
      <c r="CQ385" s="126">
        <f>SUMIF(CP4:CP368,"*VEREDA*",CR4:CR368)</f>
        <v>0</v>
      </c>
      <c r="CR385" s="126">
        <f>SUMIF(CP4:CP368,"*VEREDA*",CS4:CS368)</f>
        <v>0</v>
      </c>
      <c r="CS385" s="124">
        <f t="shared" si="11"/>
        <v>0</v>
      </c>
      <c r="CU385" s="171" t="s">
        <v>34</v>
      </c>
      <c r="CV385" s="172"/>
      <c r="CW385" s="125">
        <f>SUMIF(CW4:CW368,"*VEREDA*",CX4:CX368)</f>
        <v>0</v>
      </c>
      <c r="CX385" s="126">
        <f>SUMIF(CW4:CW368,"*VEREDA*",CY4:CY368)</f>
        <v>0</v>
      </c>
      <c r="CY385" s="126">
        <f>SUMIF(CW4:CW368,"*VEREDA*",CZ4:CZ368)</f>
        <v>0</v>
      </c>
      <c r="CZ385" s="124">
        <f t="shared" si="12"/>
        <v>0</v>
      </c>
      <c r="DB385" s="171" t="s">
        <v>43</v>
      </c>
      <c r="DC385" s="172"/>
      <c r="DD385" s="125">
        <f>SUMIF(DD4:DD370,"*LARISSA BERLATO*",DE4:DE370)</f>
        <v>0</v>
      </c>
      <c r="DE385" s="126">
        <f>SUMIF(DD4:DD370,"*LARISSA BERLATO*",DF4:DF370)</f>
        <v>0</v>
      </c>
      <c r="DF385" s="126">
        <f>SUMIF(DD4:DD370,"*LARISSA BERLATO*",DG4:DG370)</f>
        <v>0</v>
      </c>
      <c r="DG385" s="124">
        <f t="shared" si="18"/>
        <v>0</v>
      </c>
      <c r="DI385" s="171" t="s">
        <v>34</v>
      </c>
      <c r="DJ385" s="172"/>
      <c r="DK385" s="125">
        <f>SUMIF(DK4:DK368,"*VEREDA*",DL4:DL368)</f>
        <v>0</v>
      </c>
      <c r="DL385" s="126">
        <f>SUMIF(DK4:DK368,"*VEREDA*",DM4:DM368)</f>
        <v>0</v>
      </c>
      <c r="DM385" s="126">
        <f>SUMIF(DK4:DK368,"*VEREDA*",DN4:DN368)</f>
        <v>0</v>
      </c>
      <c r="DN385" s="124">
        <f t="shared" si="13"/>
        <v>0</v>
      </c>
      <c r="DP385" s="171" t="s">
        <v>43</v>
      </c>
      <c r="DQ385" s="172"/>
      <c r="DR385" s="125">
        <f>SUMIF(DR4:DR370,"*LARISSA BERLATO*",DS4:DS370)</f>
        <v>0</v>
      </c>
      <c r="DS385" s="126">
        <f>SUMIF(DR4:DR370,"*LARISSA BERLATO*",DT4:DT370)</f>
        <v>0</v>
      </c>
      <c r="DT385" s="126">
        <f>SUMIF(DR4:DR370,"*LARISSA BERLATO*",DU4:DU370)</f>
        <v>0</v>
      </c>
      <c r="DU385" s="124">
        <f t="shared" si="19"/>
        <v>0</v>
      </c>
      <c r="DW385" s="171" t="s">
        <v>34</v>
      </c>
      <c r="DX385" s="172"/>
      <c r="DY385" s="125">
        <f>SUMIF(DY4:DY368,"*VEREDA*",DZ4:DZ368)</f>
        <v>0</v>
      </c>
      <c r="DZ385" s="126">
        <f>SUMIF(DY4:DY368,"*VEREDA*",EA4:EA368)</f>
        <v>0</v>
      </c>
      <c r="EA385" s="126">
        <f>SUMIF(DY4:DY368,"*VEREDA*",EB4:EB368)</f>
        <v>0</v>
      </c>
      <c r="EB385" s="124">
        <f t="shared" si="14"/>
        <v>0</v>
      </c>
    </row>
    <row r="386" spans="1:132" ht="15.75" thickBot="1" x14ac:dyDescent="0.3">
      <c r="A386" s="74"/>
      <c r="B386" s="74"/>
      <c r="C386" s="127"/>
      <c r="D386" s="128"/>
      <c r="E386" s="128"/>
      <c r="F386" s="128"/>
      <c r="V386" s="171" t="s">
        <v>34</v>
      </c>
      <c r="W386" s="172"/>
      <c r="X386" s="125">
        <f>SUMIF(X4:X369,"*VEREDA*",Y4:Y369)</f>
        <v>0</v>
      </c>
      <c r="Y386" s="126">
        <f>SUMIF(X4:X369,"*VEREDA*",Z4:Z369)</f>
        <v>0</v>
      </c>
      <c r="Z386" s="126">
        <f>SUMIF(X4:X369,"*VEREDA*",AA4:AA369)</f>
        <v>0</v>
      </c>
      <c r="AA386" s="124">
        <f t="shared" si="15"/>
        <v>0</v>
      </c>
      <c r="AX386" s="171" t="s">
        <v>34</v>
      </c>
      <c r="AY386" s="172"/>
      <c r="AZ386" s="125">
        <f>SUMIF(AZ4:AZ369,"*VEREDA*",BA4:BA369)</f>
        <v>0</v>
      </c>
      <c r="BA386" s="126">
        <f>SUMIF(AZ4:AZ369,"*VEREDA*",BB4:BB369)</f>
        <v>0</v>
      </c>
      <c r="BB386" s="126">
        <f>SUMIF(AZ4:AZ369,"*VEREDA*",BC4:BC369)</f>
        <v>0</v>
      </c>
      <c r="BC386" s="124">
        <f t="shared" si="16"/>
        <v>0</v>
      </c>
      <c r="BZ386" s="171" t="s">
        <v>34</v>
      </c>
      <c r="CA386" s="172"/>
      <c r="CB386" s="125">
        <f>SUMIF(CB4:CB369,"*VEREDA*",CC4:CC369)</f>
        <v>0</v>
      </c>
      <c r="CC386" s="126">
        <f>SUMIF(CB4:CB369,"*VEREDA*",CD4:CD369)</f>
        <v>0</v>
      </c>
      <c r="CD386" s="126">
        <f>SUMIF(CB4:CB369,"*VEREDA*",CE4:CE369)</f>
        <v>0</v>
      </c>
      <c r="CE386" s="124">
        <f t="shared" si="17"/>
        <v>0</v>
      </c>
      <c r="DB386" s="171" t="s">
        <v>33</v>
      </c>
      <c r="DC386" s="172"/>
      <c r="DD386" s="125">
        <f>SUMIF(DD4:DD370,"*STEEL HOME*",DE4:DE370)</f>
        <v>0</v>
      </c>
      <c r="DE386" s="126">
        <f>SUMIF(DD4:DD370,"*STEEL HOME*",DF4:DF370)</f>
        <v>0</v>
      </c>
      <c r="DF386" s="126">
        <f>SUMIF(DD4:DD370,"*STEEL HOME*",DG4:DG370)</f>
        <v>0</v>
      </c>
      <c r="DG386" s="124">
        <f t="shared" si="18"/>
        <v>0</v>
      </c>
      <c r="DP386" s="171" t="s">
        <v>33</v>
      </c>
      <c r="DQ386" s="172"/>
      <c r="DR386" s="125">
        <f>SUMIF(DR4:DR370,"*STEEL HOME*",DS4:DS370)</f>
        <v>0</v>
      </c>
      <c r="DS386" s="126">
        <f>SUMIF(DR4:DR370,"*STEEL HOME*",DT4:DT370)</f>
        <v>0</v>
      </c>
      <c r="DT386" s="126">
        <f>SUMIF(DR4:DR370,"*STEEL HOME*",DU4:DU370)</f>
        <v>0</v>
      </c>
      <c r="DU386" s="124">
        <f t="shared" si="19"/>
        <v>0</v>
      </c>
    </row>
    <row r="387" spans="1:132" s="74" customFormat="1" ht="15.75" thickBot="1" x14ac:dyDescent="0.3">
      <c r="A387" s="173" t="s">
        <v>42</v>
      </c>
      <c r="B387" s="174"/>
      <c r="C387" s="174"/>
      <c r="D387" s="174"/>
      <c r="E387" s="174"/>
      <c r="F387" s="175"/>
      <c r="H387" s="173" t="s">
        <v>42</v>
      </c>
      <c r="I387" s="174"/>
      <c r="J387" s="174"/>
      <c r="K387" s="174"/>
      <c r="L387" s="174"/>
      <c r="M387" s="175"/>
      <c r="O387" s="203" t="s">
        <v>42</v>
      </c>
      <c r="P387" s="204"/>
      <c r="Q387" s="204"/>
      <c r="R387" s="204"/>
      <c r="S387" s="204"/>
      <c r="T387" s="205"/>
      <c r="V387" s="1"/>
      <c r="W387" s="1"/>
      <c r="X387" s="112"/>
      <c r="Y387" s="113"/>
      <c r="Z387" s="113"/>
      <c r="AA387" s="113"/>
      <c r="AC387" s="173" t="s">
        <v>42</v>
      </c>
      <c r="AD387" s="174"/>
      <c r="AE387" s="174"/>
      <c r="AF387" s="174"/>
      <c r="AG387" s="174"/>
      <c r="AH387" s="175"/>
      <c r="AJ387" s="173" t="s">
        <v>42</v>
      </c>
      <c r="AK387" s="174"/>
      <c r="AL387" s="174"/>
      <c r="AM387" s="174"/>
      <c r="AN387" s="174"/>
      <c r="AO387" s="175"/>
      <c r="AQ387" s="173" t="s">
        <v>42</v>
      </c>
      <c r="AR387" s="174"/>
      <c r="AS387" s="174"/>
      <c r="AT387" s="174"/>
      <c r="AU387" s="174"/>
      <c r="AV387" s="175"/>
      <c r="AX387" s="1"/>
      <c r="AY387" s="1"/>
      <c r="AZ387" s="112"/>
      <c r="BA387" s="113"/>
      <c r="BB387" s="113"/>
      <c r="BC387" s="113"/>
      <c r="BE387" s="173" t="s">
        <v>42</v>
      </c>
      <c r="BF387" s="174"/>
      <c r="BG387" s="174"/>
      <c r="BH387" s="174"/>
      <c r="BI387" s="174"/>
      <c r="BJ387" s="175"/>
      <c r="BL387" s="173" t="s">
        <v>42</v>
      </c>
      <c r="BM387" s="174"/>
      <c r="BN387" s="174"/>
      <c r="BO387" s="174"/>
      <c r="BP387" s="174"/>
      <c r="BQ387" s="175"/>
      <c r="BS387" s="173" t="s">
        <v>42</v>
      </c>
      <c r="BT387" s="174"/>
      <c r="BU387" s="174"/>
      <c r="BV387" s="174"/>
      <c r="BW387" s="174"/>
      <c r="BX387" s="175"/>
      <c r="BZ387" s="1"/>
      <c r="CA387" s="1"/>
      <c r="CB387" s="112"/>
      <c r="CC387" s="113"/>
      <c r="CD387" s="113"/>
      <c r="CE387" s="113"/>
      <c r="CG387" s="173" t="s">
        <v>42</v>
      </c>
      <c r="CH387" s="174"/>
      <c r="CI387" s="174"/>
      <c r="CJ387" s="174"/>
      <c r="CK387" s="174"/>
      <c r="CL387" s="175"/>
      <c r="CN387" s="173" t="s">
        <v>42</v>
      </c>
      <c r="CO387" s="174"/>
      <c r="CP387" s="174"/>
      <c r="CQ387" s="174"/>
      <c r="CR387" s="174"/>
      <c r="CS387" s="175"/>
      <c r="CU387" s="173" t="s">
        <v>42</v>
      </c>
      <c r="CV387" s="174"/>
      <c r="CW387" s="174"/>
      <c r="CX387" s="174"/>
      <c r="CY387" s="174"/>
      <c r="CZ387" s="175"/>
      <c r="DB387" s="171" t="s">
        <v>34</v>
      </c>
      <c r="DC387" s="172"/>
      <c r="DD387" s="125">
        <f>SUMIF(DD4:DD370,"*VEREDA*",DE4:DE370)</f>
        <v>0</v>
      </c>
      <c r="DE387" s="126">
        <f>SUMIF(DD4:DD370,"*VEREDA*",DF4:DF370)</f>
        <v>0</v>
      </c>
      <c r="DF387" s="126">
        <f>SUMIF(DD4:DD370,"*VEREDA*",DG4:DG370)</f>
        <v>0</v>
      </c>
      <c r="DG387" s="124">
        <f t="shared" si="18"/>
        <v>0</v>
      </c>
      <c r="DI387" s="173" t="s">
        <v>42</v>
      </c>
      <c r="DJ387" s="174"/>
      <c r="DK387" s="174"/>
      <c r="DL387" s="174"/>
      <c r="DM387" s="174"/>
      <c r="DN387" s="175"/>
      <c r="DP387" s="171" t="s">
        <v>34</v>
      </c>
      <c r="DQ387" s="172"/>
      <c r="DR387" s="125">
        <f>SUMIF(DR4:DR370,"*VEREDA*",DS4:DS370)</f>
        <v>0</v>
      </c>
      <c r="DS387" s="126">
        <f>SUMIF(DR4:DR370,"*VEREDA*",DT4:DT370)</f>
        <v>0</v>
      </c>
      <c r="DT387" s="126">
        <f>SUMIF(DR4:DR370,"*VEREDA*",DU4:DU370)</f>
        <v>0</v>
      </c>
      <c r="DU387" s="124">
        <f t="shared" si="19"/>
        <v>0</v>
      </c>
      <c r="DW387" s="173" t="s">
        <v>42</v>
      </c>
      <c r="DX387" s="174"/>
      <c r="DY387" s="174"/>
      <c r="DZ387" s="174"/>
      <c r="EA387" s="174"/>
      <c r="EB387" s="175"/>
    </row>
    <row r="388" spans="1:132" s="74" customFormat="1" ht="15.75" thickBot="1" x14ac:dyDescent="0.3">
      <c r="A388" s="169"/>
      <c r="B388" s="169"/>
      <c r="C388" s="169"/>
      <c r="D388" s="169"/>
      <c r="E388" s="169"/>
      <c r="F388" s="169"/>
      <c r="H388" s="169"/>
      <c r="I388" s="169"/>
      <c r="J388" s="207"/>
      <c r="K388" s="207"/>
      <c r="L388" s="207"/>
      <c r="M388" s="207"/>
      <c r="O388" s="169"/>
      <c r="P388" s="169"/>
      <c r="Q388" s="169"/>
      <c r="R388" s="169"/>
      <c r="S388" s="169"/>
      <c r="T388" s="169"/>
      <c r="V388" s="173" t="s">
        <v>42</v>
      </c>
      <c r="W388" s="174"/>
      <c r="X388" s="174"/>
      <c r="Y388" s="174"/>
      <c r="Z388" s="174"/>
      <c r="AA388" s="175"/>
      <c r="AC388" s="169"/>
      <c r="AD388" s="169"/>
      <c r="AE388" s="169"/>
      <c r="AF388" s="169"/>
      <c r="AG388" s="169"/>
      <c r="AH388" s="169"/>
      <c r="AJ388" s="169"/>
      <c r="AK388" s="169"/>
      <c r="AL388" s="169"/>
      <c r="AM388" s="169"/>
      <c r="AN388" s="169"/>
      <c r="AO388" s="169"/>
      <c r="AQ388" s="169"/>
      <c r="AR388" s="169"/>
      <c r="AS388" s="169"/>
      <c r="AT388" s="169"/>
      <c r="AU388" s="169"/>
      <c r="AV388" s="169"/>
      <c r="AX388" s="173" t="s">
        <v>42</v>
      </c>
      <c r="AY388" s="174"/>
      <c r="AZ388" s="174"/>
      <c r="BA388" s="174"/>
      <c r="BB388" s="174"/>
      <c r="BC388" s="175"/>
      <c r="BE388" s="169"/>
      <c r="BF388" s="169"/>
      <c r="BG388" s="169"/>
      <c r="BH388" s="169"/>
      <c r="BI388" s="169"/>
      <c r="BJ388" s="169"/>
      <c r="BL388" s="169"/>
      <c r="BM388" s="169"/>
      <c r="BN388" s="169"/>
      <c r="BO388" s="169"/>
      <c r="BP388" s="169"/>
      <c r="BQ388" s="169"/>
      <c r="BS388" s="169"/>
      <c r="BT388" s="169"/>
      <c r="BU388" s="169"/>
      <c r="BV388" s="169"/>
      <c r="BW388" s="169"/>
      <c r="BX388" s="169"/>
      <c r="BZ388" s="173" t="s">
        <v>42</v>
      </c>
      <c r="CA388" s="174"/>
      <c r="CB388" s="174"/>
      <c r="CC388" s="174"/>
      <c r="CD388" s="174"/>
      <c r="CE388" s="175"/>
      <c r="CG388" s="169"/>
      <c r="CH388" s="169"/>
      <c r="CI388" s="169"/>
      <c r="CJ388" s="169"/>
      <c r="CK388" s="169"/>
      <c r="CL388" s="169"/>
      <c r="CN388" s="169"/>
      <c r="CO388" s="169"/>
      <c r="CP388" s="169"/>
      <c r="CQ388" s="169"/>
      <c r="CR388" s="169"/>
      <c r="CS388" s="169"/>
      <c r="CU388" s="169"/>
      <c r="CV388" s="169"/>
      <c r="CW388" s="169"/>
      <c r="CX388" s="169"/>
      <c r="CY388" s="169"/>
      <c r="CZ388" s="169"/>
      <c r="DB388" s="1"/>
      <c r="DC388" s="1"/>
      <c r="DD388" s="112"/>
      <c r="DE388" s="113"/>
      <c r="DF388" s="113"/>
      <c r="DG388" s="113"/>
      <c r="DI388" s="169"/>
      <c r="DJ388" s="169"/>
      <c r="DK388" s="169"/>
      <c r="DL388" s="169"/>
      <c r="DM388" s="169"/>
      <c r="DN388" s="169"/>
      <c r="DP388" s="1"/>
      <c r="DQ388" s="1"/>
      <c r="DR388" s="112"/>
      <c r="DS388" s="113"/>
      <c r="DT388" s="113"/>
      <c r="DU388" s="113"/>
      <c r="DW388" s="169"/>
      <c r="DX388" s="169"/>
      <c r="DY388" s="169"/>
      <c r="DZ388" s="169"/>
      <c r="EA388" s="169"/>
      <c r="EB388" s="169"/>
    </row>
    <row r="389" spans="1:132" s="74" customFormat="1" ht="15.75" thickBot="1" x14ac:dyDescent="0.3">
      <c r="A389" s="170"/>
      <c r="B389" s="170"/>
      <c r="C389" s="170"/>
      <c r="D389" s="170"/>
      <c r="E389" s="170"/>
      <c r="F389" s="170"/>
      <c r="H389" s="170"/>
      <c r="I389" s="170"/>
      <c r="J389" s="206"/>
      <c r="K389" s="206"/>
      <c r="L389" s="206"/>
      <c r="M389" s="206"/>
      <c r="O389" s="170"/>
      <c r="P389" s="170"/>
      <c r="Q389" s="170"/>
      <c r="R389" s="170"/>
      <c r="S389" s="170"/>
      <c r="T389" s="170"/>
      <c r="V389" s="210" t="s">
        <v>53</v>
      </c>
      <c r="W389" s="169"/>
      <c r="X389" s="169"/>
      <c r="Y389" s="169"/>
      <c r="Z389" s="169"/>
      <c r="AA389" s="169"/>
      <c r="AC389" s="170"/>
      <c r="AD389" s="170"/>
      <c r="AE389" s="170"/>
      <c r="AF389" s="170"/>
      <c r="AG389" s="170"/>
      <c r="AH389" s="170"/>
      <c r="AJ389" s="170"/>
      <c r="AK389" s="170"/>
      <c r="AL389" s="170"/>
      <c r="AM389" s="170"/>
      <c r="AN389" s="170"/>
      <c r="AO389" s="170"/>
      <c r="AQ389" s="170"/>
      <c r="AR389" s="170"/>
      <c r="AS389" s="170"/>
      <c r="AT389" s="170"/>
      <c r="AU389" s="170"/>
      <c r="AV389" s="170"/>
      <c r="AX389" s="169"/>
      <c r="AY389" s="169"/>
      <c r="AZ389" s="169"/>
      <c r="BA389" s="169"/>
      <c r="BB389" s="169"/>
      <c r="BC389" s="169"/>
      <c r="BE389" s="170"/>
      <c r="BF389" s="170"/>
      <c r="BG389" s="170"/>
      <c r="BH389" s="170"/>
      <c r="BI389" s="170"/>
      <c r="BJ389" s="170"/>
      <c r="BL389" s="170"/>
      <c r="BM389" s="170"/>
      <c r="BN389" s="170"/>
      <c r="BO389" s="170"/>
      <c r="BP389" s="170"/>
      <c r="BQ389" s="170"/>
      <c r="BS389" s="170"/>
      <c r="BT389" s="170"/>
      <c r="BU389" s="170"/>
      <c r="BV389" s="170"/>
      <c r="BW389" s="170"/>
      <c r="BX389" s="170"/>
      <c r="BZ389" s="169"/>
      <c r="CA389" s="169"/>
      <c r="CB389" s="169"/>
      <c r="CC389" s="169"/>
      <c r="CD389" s="169"/>
      <c r="CE389" s="169"/>
      <c r="CG389" s="170"/>
      <c r="CH389" s="170"/>
      <c r="CI389" s="170"/>
      <c r="CJ389" s="170"/>
      <c r="CK389" s="170"/>
      <c r="CL389" s="170"/>
      <c r="CN389" s="170"/>
      <c r="CO389" s="170"/>
      <c r="CP389" s="170"/>
      <c r="CQ389" s="170"/>
      <c r="CR389" s="170"/>
      <c r="CS389" s="170"/>
      <c r="CU389" s="170"/>
      <c r="CV389" s="170"/>
      <c r="CW389" s="170"/>
      <c r="CX389" s="170"/>
      <c r="CY389" s="170"/>
      <c r="CZ389" s="170"/>
      <c r="DB389" s="173" t="s">
        <v>42</v>
      </c>
      <c r="DC389" s="174"/>
      <c r="DD389" s="174"/>
      <c r="DE389" s="174"/>
      <c r="DF389" s="174"/>
      <c r="DG389" s="175"/>
      <c r="DI389" s="170"/>
      <c r="DJ389" s="170"/>
      <c r="DK389" s="170"/>
      <c r="DL389" s="170"/>
      <c r="DM389" s="170"/>
      <c r="DN389" s="170"/>
      <c r="DP389" s="173" t="s">
        <v>42</v>
      </c>
      <c r="DQ389" s="174"/>
      <c r="DR389" s="174"/>
      <c r="DS389" s="174"/>
      <c r="DT389" s="174"/>
      <c r="DU389" s="175"/>
      <c r="DW389" s="170"/>
      <c r="DX389" s="170"/>
      <c r="DY389" s="170"/>
      <c r="DZ389" s="170"/>
      <c r="EA389" s="170"/>
      <c r="EB389" s="170"/>
    </row>
    <row r="390" spans="1:132" s="74" customFormat="1" x14ac:dyDescent="0.25">
      <c r="A390" s="170"/>
      <c r="B390" s="170"/>
      <c r="C390" s="170"/>
      <c r="D390" s="170"/>
      <c r="E390" s="170"/>
      <c r="F390" s="170"/>
      <c r="H390" s="170"/>
      <c r="I390" s="170"/>
      <c r="J390" s="206"/>
      <c r="K390" s="206"/>
      <c r="L390" s="206"/>
      <c r="M390" s="206"/>
      <c r="O390" s="170"/>
      <c r="P390" s="170"/>
      <c r="Q390" s="170"/>
      <c r="R390" s="170"/>
      <c r="S390" s="170"/>
      <c r="T390" s="170"/>
      <c r="V390" s="170"/>
      <c r="W390" s="170"/>
      <c r="X390" s="170"/>
      <c r="Y390" s="170"/>
      <c r="Z390" s="170"/>
      <c r="AA390" s="170"/>
      <c r="AC390" s="170"/>
      <c r="AD390" s="170"/>
      <c r="AE390" s="170"/>
      <c r="AF390" s="170"/>
      <c r="AG390" s="170"/>
      <c r="AH390" s="170"/>
      <c r="AJ390" s="170"/>
      <c r="AK390" s="170"/>
      <c r="AL390" s="170"/>
      <c r="AM390" s="170"/>
      <c r="AN390" s="170"/>
      <c r="AO390" s="170"/>
      <c r="AQ390" s="170"/>
      <c r="AR390" s="170"/>
      <c r="AS390" s="170"/>
      <c r="AT390" s="170"/>
      <c r="AU390" s="170"/>
      <c r="AV390" s="170"/>
      <c r="AX390" s="170"/>
      <c r="AY390" s="170"/>
      <c r="AZ390" s="170"/>
      <c r="BA390" s="170"/>
      <c r="BB390" s="170"/>
      <c r="BC390" s="170"/>
      <c r="BE390" s="170"/>
      <c r="BF390" s="170"/>
      <c r="BG390" s="170"/>
      <c r="BH390" s="170"/>
      <c r="BI390" s="170"/>
      <c r="BJ390" s="170"/>
      <c r="BL390" s="170"/>
      <c r="BM390" s="170"/>
      <c r="BN390" s="170"/>
      <c r="BO390" s="170"/>
      <c r="BP390" s="170"/>
      <c r="BQ390" s="170"/>
      <c r="BS390" s="170"/>
      <c r="BT390" s="170"/>
      <c r="BU390" s="170"/>
      <c r="BV390" s="170"/>
      <c r="BW390" s="170"/>
      <c r="BX390" s="170"/>
      <c r="BZ390" s="170"/>
      <c r="CA390" s="170"/>
      <c r="CB390" s="170"/>
      <c r="CC390" s="170"/>
      <c r="CD390" s="170"/>
      <c r="CE390" s="170"/>
      <c r="CG390" s="170"/>
      <c r="CH390" s="170"/>
      <c r="CI390" s="170"/>
      <c r="CJ390" s="170"/>
      <c r="CK390" s="170"/>
      <c r="CL390" s="170"/>
      <c r="CN390" s="170"/>
      <c r="CO390" s="170"/>
      <c r="CP390" s="170"/>
      <c r="CQ390" s="170"/>
      <c r="CR390" s="170"/>
      <c r="CS390" s="170"/>
      <c r="CU390" s="170"/>
      <c r="CV390" s="170"/>
      <c r="CW390" s="170"/>
      <c r="CX390" s="170"/>
      <c r="CY390" s="170"/>
      <c r="CZ390" s="170"/>
      <c r="DB390" s="169"/>
      <c r="DC390" s="169"/>
      <c r="DD390" s="169"/>
      <c r="DE390" s="169"/>
      <c r="DF390" s="169"/>
      <c r="DG390" s="169"/>
      <c r="DI390" s="170"/>
      <c r="DJ390" s="170"/>
      <c r="DK390" s="170"/>
      <c r="DL390" s="170"/>
      <c r="DM390" s="170"/>
      <c r="DN390" s="170"/>
      <c r="DP390" s="169"/>
      <c r="DQ390" s="169"/>
      <c r="DR390" s="169"/>
      <c r="DS390" s="169"/>
      <c r="DT390" s="169"/>
      <c r="DU390" s="169"/>
      <c r="DW390" s="170"/>
      <c r="DX390" s="170"/>
      <c r="DY390" s="170"/>
      <c r="DZ390" s="170"/>
      <c r="EA390" s="170"/>
      <c r="EB390" s="170"/>
    </row>
    <row r="391" spans="1:132" s="74" customFormat="1" x14ac:dyDescent="0.25">
      <c r="A391" s="170"/>
      <c r="B391" s="170"/>
      <c r="C391" s="170"/>
      <c r="D391" s="170"/>
      <c r="E391" s="170"/>
      <c r="F391" s="170"/>
      <c r="H391" s="170"/>
      <c r="I391" s="170"/>
      <c r="J391" s="206"/>
      <c r="K391" s="206"/>
      <c r="L391" s="206"/>
      <c r="M391" s="206"/>
      <c r="O391" s="170"/>
      <c r="P391" s="170"/>
      <c r="Q391" s="170"/>
      <c r="R391" s="170"/>
      <c r="S391" s="170"/>
      <c r="T391" s="170"/>
      <c r="V391" s="170"/>
      <c r="W391" s="170"/>
      <c r="X391" s="170"/>
      <c r="Y391" s="170"/>
      <c r="Z391" s="170"/>
      <c r="AA391" s="170"/>
      <c r="AC391" s="170"/>
      <c r="AD391" s="170"/>
      <c r="AE391" s="170"/>
      <c r="AF391" s="170"/>
      <c r="AG391" s="170"/>
      <c r="AH391" s="170"/>
      <c r="AJ391" s="170"/>
      <c r="AK391" s="170"/>
      <c r="AL391" s="170"/>
      <c r="AM391" s="170"/>
      <c r="AN391" s="170"/>
      <c r="AO391" s="170"/>
      <c r="AQ391" s="170"/>
      <c r="AR391" s="170"/>
      <c r="AS391" s="170"/>
      <c r="AT391" s="170"/>
      <c r="AU391" s="170"/>
      <c r="AV391" s="170"/>
      <c r="AX391" s="170"/>
      <c r="AY391" s="170"/>
      <c r="AZ391" s="170"/>
      <c r="BA391" s="170"/>
      <c r="BB391" s="170"/>
      <c r="BC391" s="170"/>
      <c r="BE391" s="170"/>
      <c r="BF391" s="170"/>
      <c r="BG391" s="170"/>
      <c r="BH391" s="170"/>
      <c r="BI391" s="170"/>
      <c r="BJ391" s="170"/>
      <c r="BL391" s="170"/>
      <c r="BM391" s="170"/>
      <c r="BN391" s="170"/>
      <c r="BO391" s="170"/>
      <c r="BP391" s="170"/>
      <c r="BQ391" s="170"/>
      <c r="BS391" s="170"/>
      <c r="BT391" s="170"/>
      <c r="BU391" s="170"/>
      <c r="BV391" s="170"/>
      <c r="BW391" s="170"/>
      <c r="BX391" s="170"/>
      <c r="BZ391" s="170"/>
      <c r="CA391" s="170"/>
      <c r="CB391" s="170"/>
      <c r="CC391" s="170"/>
      <c r="CD391" s="170"/>
      <c r="CE391" s="170"/>
      <c r="CG391" s="170"/>
      <c r="CH391" s="170"/>
      <c r="CI391" s="170"/>
      <c r="CJ391" s="170"/>
      <c r="CK391" s="170"/>
      <c r="CL391" s="170"/>
      <c r="CN391" s="170"/>
      <c r="CO391" s="170"/>
      <c r="CP391" s="170"/>
      <c r="CQ391" s="170"/>
      <c r="CR391" s="170"/>
      <c r="CS391" s="170"/>
      <c r="CU391" s="170"/>
      <c r="CV391" s="170"/>
      <c r="CW391" s="170"/>
      <c r="CX391" s="170"/>
      <c r="CY391" s="170"/>
      <c r="CZ391" s="170"/>
      <c r="DB391" s="170"/>
      <c r="DC391" s="170"/>
      <c r="DD391" s="170"/>
      <c r="DE391" s="170"/>
      <c r="DF391" s="170"/>
      <c r="DG391" s="170"/>
      <c r="DI391" s="170"/>
      <c r="DJ391" s="170"/>
      <c r="DK391" s="170"/>
      <c r="DL391" s="170"/>
      <c r="DM391" s="170"/>
      <c r="DN391" s="170"/>
      <c r="DP391" s="170"/>
      <c r="DQ391" s="170"/>
      <c r="DR391" s="170"/>
      <c r="DS391" s="170"/>
      <c r="DT391" s="170"/>
      <c r="DU391" s="170"/>
      <c r="DW391" s="170"/>
      <c r="DX391" s="170"/>
      <c r="DY391" s="170"/>
      <c r="DZ391" s="170"/>
      <c r="EA391" s="170"/>
      <c r="EB391" s="170"/>
    </row>
    <row r="392" spans="1:132" s="74" customFormat="1" x14ac:dyDescent="0.25">
      <c r="A392" s="170"/>
      <c r="B392" s="170"/>
      <c r="C392" s="170"/>
      <c r="D392" s="170"/>
      <c r="E392" s="170"/>
      <c r="F392" s="170"/>
      <c r="H392" s="170"/>
      <c r="I392" s="170"/>
      <c r="J392" s="206"/>
      <c r="K392" s="206"/>
      <c r="L392" s="206"/>
      <c r="M392" s="206"/>
      <c r="O392" s="170"/>
      <c r="P392" s="170"/>
      <c r="Q392" s="170"/>
      <c r="R392" s="170"/>
      <c r="S392" s="170"/>
      <c r="T392" s="170"/>
      <c r="V392" s="170"/>
      <c r="W392" s="170"/>
      <c r="X392" s="170"/>
      <c r="Y392" s="170"/>
      <c r="Z392" s="170"/>
      <c r="AA392" s="170"/>
      <c r="AC392" s="170"/>
      <c r="AD392" s="170"/>
      <c r="AE392" s="170"/>
      <c r="AF392" s="170"/>
      <c r="AG392" s="170"/>
      <c r="AH392" s="170"/>
      <c r="AJ392" s="170"/>
      <c r="AK392" s="170"/>
      <c r="AL392" s="170"/>
      <c r="AM392" s="170"/>
      <c r="AN392" s="170"/>
      <c r="AO392" s="170"/>
      <c r="AQ392" s="170"/>
      <c r="AR392" s="170"/>
      <c r="AS392" s="170"/>
      <c r="AT392" s="170"/>
      <c r="AU392" s="170"/>
      <c r="AV392" s="170"/>
      <c r="AX392" s="170"/>
      <c r="AY392" s="170"/>
      <c r="AZ392" s="170"/>
      <c r="BA392" s="170"/>
      <c r="BB392" s="170"/>
      <c r="BC392" s="170"/>
      <c r="BE392" s="170"/>
      <c r="BF392" s="170"/>
      <c r="BG392" s="170"/>
      <c r="BH392" s="170"/>
      <c r="BI392" s="170"/>
      <c r="BJ392" s="170"/>
      <c r="BL392" s="170"/>
      <c r="BM392" s="170"/>
      <c r="BN392" s="170"/>
      <c r="BO392" s="170"/>
      <c r="BP392" s="170"/>
      <c r="BQ392" s="170"/>
      <c r="BS392" s="170"/>
      <c r="BT392" s="170"/>
      <c r="BU392" s="170"/>
      <c r="BV392" s="170"/>
      <c r="BW392" s="170"/>
      <c r="BX392" s="170"/>
      <c r="BZ392" s="170"/>
      <c r="CA392" s="170"/>
      <c r="CB392" s="170"/>
      <c r="CC392" s="170"/>
      <c r="CD392" s="170"/>
      <c r="CE392" s="170"/>
      <c r="CG392" s="170"/>
      <c r="CH392" s="170"/>
      <c r="CI392" s="170"/>
      <c r="CJ392" s="170"/>
      <c r="CK392" s="170"/>
      <c r="CL392" s="170"/>
      <c r="CN392" s="170"/>
      <c r="CO392" s="170"/>
      <c r="CP392" s="170"/>
      <c r="CQ392" s="170"/>
      <c r="CR392" s="170"/>
      <c r="CS392" s="170"/>
      <c r="CU392" s="170"/>
      <c r="CV392" s="170"/>
      <c r="CW392" s="170"/>
      <c r="CX392" s="170"/>
      <c r="CY392" s="170"/>
      <c r="CZ392" s="170"/>
      <c r="DB392" s="170"/>
      <c r="DC392" s="170"/>
      <c r="DD392" s="170"/>
      <c r="DE392" s="170"/>
      <c r="DF392" s="170"/>
      <c r="DG392" s="170"/>
      <c r="DI392" s="170"/>
      <c r="DJ392" s="170"/>
      <c r="DK392" s="170"/>
      <c r="DL392" s="170"/>
      <c r="DM392" s="170"/>
      <c r="DN392" s="170"/>
      <c r="DP392" s="170"/>
      <c r="DQ392" s="170"/>
      <c r="DR392" s="170"/>
      <c r="DS392" s="170"/>
      <c r="DT392" s="170"/>
      <c r="DU392" s="170"/>
      <c r="DW392" s="170"/>
      <c r="DX392" s="170"/>
      <c r="DY392" s="170"/>
      <c r="DZ392" s="170"/>
      <c r="EA392" s="170"/>
      <c r="EB392" s="170"/>
    </row>
    <row r="393" spans="1:132" s="74" customFormat="1" x14ac:dyDescent="0.25">
      <c r="A393" s="170"/>
      <c r="B393" s="170"/>
      <c r="C393" s="170"/>
      <c r="D393" s="170"/>
      <c r="E393" s="170"/>
      <c r="F393" s="170"/>
      <c r="H393" s="170"/>
      <c r="I393" s="170"/>
      <c r="J393" s="206"/>
      <c r="K393" s="206"/>
      <c r="L393" s="206"/>
      <c r="M393" s="206"/>
      <c r="O393" s="170"/>
      <c r="P393" s="170"/>
      <c r="Q393" s="170"/>
      <c r="R393" s="170"/>
      <c r="S393" s="170"/>
      <c r="T393" s="170"/>
      <c r="V393" s="170"/>
      <c r="W393" s="170"/>
      <c r="X393" s="170"/>
      <c r="Y393" s="170"/>
      <c r="Z393" s="170"/>
      <c r="AA393" s="170"/>
      <c r="AC393" s="170"/>
      <c r="AD393" s="170"/>
      <c r="AE393" s="170"/>
      <c r="AF393" s="170"/>
      <c r="AG393" s="170"/>
      <c r="AH393" s="170"/>
      <c r="AJ393" s="170"/>
      <c r="AK393" s="170"/>
      <c r="AL393" s="170"/>
      <c r="AM393" s="170"/>
      <c r="AN393" s="170"/>
      <c r="AO393" s="170"/>
      <c r="AQ393" s="170"/>
      <c r="AR393" s="170"/>
      <c r="AS393" s="170"/>
      <c r="AT393" s="170"/>
      <c r="AU393" s="170"/>
      <c r="AV393" s="170"/>
      <c r="AX393" s="170"/>
      <c r="AY393" s="170"/>
      <c r="AZ393" s="170"/>
      <c r="BA393" s="170"/>
      <c r="BB393" s="170"/>
      <c r="BC393" s="170"/>
      <c r="BE393" s="170"/>
      <c r="BF393" s="170"/>
      <c r="BG393" s="170"/>
      <c r="BH393" s="170"/>
      <c r="BI393" s="170"/>
      <c r="BJ393" s="170"/>
      <c r="BL393" s="170"/>
      <c r="BM393" s="170"/>
      <c r="BN393" s="170"/>
      <c r="BO393" s="170"/>
      <c r="BP393" s="170"/>
      <c r="BQ393" s="170"/>
      <c r="BS393" s="170"/>
      <c r="BT393" s="170"/>
      <c r="BU393" s="170"/>
      <c r="BV393" s="170"/>
      <c r="BW393" s="170"/>
      <c r="BX393" s="170"/>
      <c r="BZ393" s="170"/>
      <c r="CA393" s="170"/>
      <c r="CB393" s="170"/>
      <c r="CC393" s="170"/>
      <c r="CD393" s="170"/>
      <c r="CE393" s="170"/>
      <c r="CG393" s="170"/>
      <c r="CH393" s="170"/>
      <c r="CI393" s="170"/>
      <c r="CJ393" s="170"/>
      <c r="CK393" s="170"/>
      <c r="CL393" s="170"/>
      <c r="CN393" s="170"/>
      <c r="CO393" s="170"/>
      <c r="CP393" s="170"/>
      <c r="CQ393" s="170"/>
      <c r="CR393" s="170"/>
      <c r="CS393" s="170"/>
      <c r="CU393" s="170"/>
      <c r="CV393" s="170"/>
      <c r="CW393" s="170"/>
      <c r="CX393" s="170"/>
      <c r="CY393" s="170"/>
      <c r="CZ393" s="170"/>
      <c r="DB393" s="170"/>
      <c r="DC393" s="170"/>
      <c r="DD393" s="170"/>
      <c r="DE393" s="170"/>
      <c r="DF393" s="170"/>
      <c r="DG393" s="170"/>
      <c r="DI393" s="170"/>
      <c r="DJ393" s="170"/>
      <c r="DK393" s="170"/>
      <c r="DL393" s="170"/>
      <c r="DM393" s="170"/>
      <c r="DN393" s="170"/>
      <c r="DP393" s="170"/>
      <c r="DQ393" s="170"/>
      <c r="DR393" s="170"/>
      <c r="DS393" s="170"/>
      <c r="DT393" s="170"/>
      <c r="DU393" s="170"/>
      <c r="DW393" s="170"/>
      <c r="DX393" s="170"/>
      <c r="DY393" s="170"/>
      <c r="DZ393" s="170"/>
      <c r="EA393" s="170"/>
      <c r="EB393" s="170"/>
    </row>
    <row r="394" spans="1:132" s="74" customFormat="1" x14ac:dyDescent="0.25">
      <c r="A394" s="170"/>
      <c r="B394" s="170"/>
      <c r="C394" s="170"/>
      <c r="D394" s="170"/>
      <c r="E394" s="170"/>
      <c r="F394" s="170"/>
      <c r="H394" s="170"/>
      <c r="I394" s="170"/>
      <c r="J394" s="206"/>
      <c r="K394" s="206"/>
      <c r="L394" s="206"/>
      <c r="M394" s="206"/>
      <c r="O394" s="170"/>
      <c r="P394" s="170"/>
      <c r="Q394" s="170"/>
      <c r="R394" s="170"/>
      <c r="S394" s="170"/>
      <c r="T394" s="170"/>
      <c r="V394" s="170"/>
      <c r="W394" s="170"/>
      <c r="X394" s="170"/>
      <c r="Y394" s="170"/>
      <c r="Z394" s="170"/>
      <c r="AA394" s="170"/>
      <c r="AC394" s="170"/>
      <c r="AD394" s="170"/>
      <c r="AE394" s="170"/>
      <c r="AF394" s="170"/>
      <c r="AG394" s="170"/>
      <c r="AH394" s="170"/>
      <c r="AJ394" s="170"/>
      <c r="AK394" s="170"/>
      <c r="AL394" s="170"/>
      <c r="AM394" s="170"/>
      <c r="AN394" s="170"/>
      <c r="AO394" s="170"/>
      <c r="AQ394" s="170"/>
      <c r="AR394" s="170"/>
      <c r="AS394" s="170"/>
      <c r="AT394" s="170"/>
      <c r="AU394" s="170"/>
      <c r="AV394" s="170"/>
      <c r="AX394" s="170"/>
      <c r="AY394" s="170"/>
      <c r="AZ394" s="170"/>
      <c r="BA394" s="170"/>
      <c r="BB394" s="170"/>
      <c r="BC394" s="170"/>
      <c r="BE394" s="170"/>
      <c r="BF394" s="170"/>
      <c r="BG394" s="170"/>
      <c r="BH394" s="170"/>
      <c r="BI394" s="170"/>
      <c r="BJ394" s="170"/>
      <c r="BL394" s="170"/>
      <c r="BM394" s="170"/>
      <c r="BN394" s="170"/>
      <c r="BO394" s="170"/>
      <c r="BP394" s="170"/>
      <c r="BQ394" s="170"/>
      <c r="BS394" s="170"/>
      <c r="BT394" s="170"/>
      <c r="BU394" s="170"/>
      <c r="BV394" s="170"/>
      <c r="BW394" s="170"/>
      <c r="BX394" s="170"/>
      <c r="BZ394" s="170"/>
      <c r="CA394" s="170"/>
      <c r="CB394" s="170"/>
      <c r="CC394" s="170"/>
      <c r="CD394" s="170"/>
      <c r="CE394" s="170"/>
      <c r="CG394" s="170"/>
      <c r="CH394" s="170"/>
      <c r="CI394" s="170"/>
      <c r="CJ394" s="170"/>
      <c r="CK394" s="170"/>
      <c r="CL394" s="170"/>
      <c r="CN394" s="170"/>
      <c r="CO394" s="170"/>
      <c r="CP394" s="170"/>
      <c r="CQ394" s="170"/>
      <c r="CR394" s="170"/>
      <c r="CS394" s="170"/>
      <c r="CU394" s="170"/>
      <c r="CV394" s="170"/>
      <c r="CW394" s="170"/>
      <c r="CX394" s="170"/>
      <c r="CY394" s="170"/>
      <c r="CZ394" s="170"/>
      <c r="DB394" s="170"/>
      <c r="DC394" s="170"/>
      <c r="DD394" s="170"/>
      <c r="DE394" s="170"/>
      <c r="DF394" s="170"/>
      <c r="DG394" s="170"/>
      <c r="DI394" s="170"/>
      <c r="DJ394" s="170"/>
      <c r="DK394" s="170"/>
      <c r="DL394" s="170"/>
      <c r="DM394" s="170"/>
      <c r="DN394" s="170"/>
      <c r="DP394" s="170"/>
      <c r="DQ394" s="170"/>
      <c r="DR394" s="170"/>
      <c r="DS394" s="170"/>
      <c r="DT394" s="170"/>
      <c r="DU394" s="170"/>
      <c r="DW394" s="170"/>
      <c r="DX394" s="170"/>
      <c r="DY394" s="170"/>
      <c r="DZ394" s="170"/>
      <c r="EA394" s="170"/>
      <c r="EB394" s="170"/>
    </row>
    <row r="395" spans="1:132" s="74" customFormat="1" x14ac:dyDescent="0.25">
      <c r="A395" s="209"/>
      <c r="B395" s="209"/>
      <c r="C395" s="209"/>
      <c r="D395" s="209"/>
      <c r="E395" s="209"/>
      <c r="F395" s="209"/>
      <c r="H395" s="170"/>
      <c r="I395" s="170"/>
      <c r="J395" s="206"/>
      <c r="K395" s="206"/>
      <c r="L395" s="206"/>
      <c r="M395" s="206"/>
      <c r="O395" s="170"/>
      <c r="P395" s="170"/>
      <c r="Q395" s="170"/>
      <c r="R395" s="170"/>
      <c r="S395" s="170"/>
      <c r="T395" s="170"/>
      <c r="V395" s="170"/>
      <c r="W395" s="170"/>
      <c r="X395" s="170"/>
      <c r="Y395" s="170"/>
      <c r="Z395" s="170"/>
      <c r="AA395" s="170"/>
      <c r="AC395" s="170"/>
      <c r="AD395" s="170"/>
      <c r="AE395" s="170"/>
      <c r="AF395" s="170"/>
      <c r="AG395" s="170"/>
      <c r="AH395" s="170"/>
      <c r="AJ395" s="170"/>
      <c r="AK395" s="170"/>
      <c r="AL395" s="170"/>
      <c r="AM395" s="170"/>
      <c r="AN395" s="170"/>
      <c r="AO395" s="170"/>
      <c r="AQ395" s="170"/>
      <c r="AR395" s="170"/>
      <c r="AS395" s="170"/>
      <c r="AT395" s="170"/>
      <c r="AU395" s="170"/>
      <c r="AV395" s="170"/>
      <c r="AX395" s="170"/>
      <c r="AY395" s="170"/>
      <c r="AZ395" s="170"/>
      <c r="BA395" s="170"/>
      <c r="BB395" s="170"/>
      <c r="BC395" s="170"/>
      <c r="BE395" s="170"/>
      <c r="BF395" s="170"/>
      <c r="BG395" s="170"/>
      <c r="BH395" s="170"/>
      <c r="BI395" s="170"/>
      <c r="BJ395" s="170"/>
      <c r="BL395" s="170"/>
      <c r="BM395" s="170"/>
      <c r="BN395" s="170"/>
      <c r="BO395" s="170"/>
      <c r="BP395" s="170"/>
      <c r="BQ395" s="170"/>
      <c r="BS395" s="170"/>
      <c r="BT395" s="170"/>
      <c r="BU395" s="170"/>
      <c r="BV395" s="170"/>
      <c r="BW395" s="170"/>
      <c r="BX395" s="170"/>
      <c r="BZ395" s="170"/>
      <c r="CA395" s="170"/>
      <c r="CB395" s="170"/>
      <c r="CC395" s="170"/>
      <c r="CD395" s="170"/>
      <c r="CE395" s="170"/>
      <c r="CG395" s="170"/>
      <c r="CH395" s="170"/>
      <c r="CI395" s="170"/>
      <c r="CJ395" s="170"/>
      <c r="CK395" s="170"/>
      <c r="CL395" s="170"/>
      <c r="CN395" s="170"/>
      <c r="CO395" s="170"/>
      <c r="CP395" s="170"/>
      <c r="CQ395" s="170"/>
      <c r="CR395" s="170"/>
      <c r="CS395" s="170"/>
      <c r="CU395" s="170"/>
      <c r="CV395" s="170"/>
      <c r="CW395" s="170"/>
      <c r="CX395" s="170"/>
      <c r="CY395" s="170"/>
      <c r="CZ395" s="170"/>
      <c r="DB395" s="170"/>
      <c r="DC395" s="170"/>
      <c r="DD395" s="170"/>
      <c r="DE395" s="170"/>
      <c r="DF395" s="170"/>
      <c r="DG395" s="170"/>
      <c r="DI395" s="170"/>
      <c r="DJ395" s="170"/>
      <c r="DK395" s="170"/>
      <c r="DL395" s="170"/>
      <c r="DM395" s="170"/>
      <c r="DN395" s="170"/>
      <c r="DP395" s="170"/>
      <c r="DQ395" s="170"/>
      <c r="DR395" s="170"/>
      <c r="DS395" s="170"/>
      <c r="DT395" s="170"/>
      <c r="DU395" s="170"/>
      <c r="DW395" s="170"/>
      <c r="DX395" s="170"/>
      <c r="DY395" s="170"/>
      <c r="DZ395" s="170"/>
      <c r="EA395" s="170"/>
      <c r="EB395" s="170"/>
    </row>
    <row r="396" spans="1:132" x14ac:dyDescent="0.25">
      <c r="A396" s="209"/>
      <c r="B396" s="209"/>
      <c r="C396" s="209"/>
      <c r="D396" s="209"/>
      <c r="E396" s="209"/>
      <c r="F396" s="209"/>
      <c r="H396" s="170"/>
      <c r="I396" s="170"/>
      <c r="J396" s="206"/>
      <c r="K396" s="206"/>
      <c r="L396" s="206"/>
      <c r="M396" s="206"/>
      <c r="O396" s="209"/>
      <c r="P396" s="209"/>
      <c r="Q396" s="209"/>
      <c r="R396" s="209"/>
      <c r="S396" s="209"/>
      <c r="T396" s="209"/>
      <c r="V396" s="170"/>
      <c r="W396" s="170"/>
      <c r="X396" s="170"/>
      <c r="Y396" s="170"/>
      <c r="Z396" s="170"/>
      <c r="AA396" s="170"/>
      <c r="AC396" s="170"/>
      <c r="AD396" s="170"/>
      <c r="AE396" s="170"/>
      <c r="AF396" s="170"/>
      <c r="AG396" s="170"/>
      <c r="AH396" s="170"/>
      <c r="AJ396" s="170"/>
      <c r="AK396" s="170"/>
      <c r="AL396" s="170"/>
      <c r="AM396" s="170"/>
      <c r="AN396" s="170"/>
      <c r="AO396" s="170"/>
      <c r="AQ396" s="170"/>
      <c r="AR396" s="170"/>
      <c r="AS396" s="170"/>
      <c r="AT396" s="170"/>
      <c r="AU396" s="170"/>
      <c r="AV396" s="170"/>
      <c r="AX396" s="170"/>
      <c r="AY396" s="170"/>
      <c r="AZ396" s="170"/>
      <c r="BA396" s="170"/>
      <c r="BB396" s="170"/>
      <c r="BC396" s="170"/>
      <c r="BE396" s="170"/>
      <c r="BF396" s="170"/>
      <c r="BG396" s="170"/>
      <c r="BH396" s="170"/>
      <c r="BI396" s="170"/>
      <c r="BJ396" s="170"/>
      <c r="BL396" s="170"/>
      <c r="BM396" s="170"/>
      <c r="BN396" s="170"/>
      <c r="BO396" s="170"/>
      <c r="BP396" s="170"/>
      <c r="BQ396" s="170"/>
      <c r="BS396" s="170"/>
      <c r="BT396" s="170"/>
      <c r="BU396" s="170"/>
      <c r="BV396" s="170"/>
      <c r="BW396" s="170"/>
      <c r="BX396" s="170"/>
      <c r="BZ396" s="170"/>
      <c r="CA396" s="170"/>
      <c r="CB396" s="170"/>
      <c r="CC396" s="170"/>
      <c r="CD396" s="170"/>
      <c r="CE396" s="170"/>
      <c r="CG396" s="170"/>
      <c r="CH396" s="170"/>
      <c r="CI396" s="170"/>
      <c r="CJ396" s="170"/>
      <c r="CK396" s="170"/>
      <c r="CL396" s="170"/>
      <c r="CN396" s="170"/>
      <c r="CO396" s="170"/>
      <c r="CP396" s="170"/>
      <c r="CQ396" s="170"/>
      <c r="CR396" s="170"/>
      <c r="CS396" s="170"/>
      <c r="CU396" s="170"/>
      <c r="CV396" s="170"/>
      <c r="CW396" s="170"/>
      <c r="CX396" s="170"/>
      <c r="CY396" s="170"/>
      <c r="CZ396" s="170"/>
      <c r="DB396" s="170"/>
      <c r="DC396" s="170"/>
      <c r="DD396" s="170"/>
      <c r="DE396" s="170"/>
      <c r="DF396" s="170"/>
      <c r="DG396" s="170"/>
      <c r="DI396" s="170"/>
      <c r="DJ396" s="170"/>
      <c r="DK396" s="170"/>
      <c r="DL396" s="170"/>
      <c r="DM396" s="170"/>
      <c r="DN396" s="170"/>
      <c r="DP396" s="170"/>
      <c r="DQ396" s="170"/>
      <c r="DR396" s="170"/>
      <c r="DS396" s="170"/>
      <c r="DT396" s="170"/>
      <c r="DU396" s="170"/>
      <c r="DW396" s="170"/>
      <c r="DX396" s="170"/>
      <c r="DY396" s="170"/>
      <c r="DZ396" s="170"/>
      <c r="EA396" s="170"/>
      <c r="EB396" s="170"/>
    </row>
    <row r="397" spans="1:132" x14ac:dyDescent="0.25">
      <c r="A397" s="168"/>
      <c r="B397" s="168"/>
      <c r="C397" s="168"/>
      <c r="D397" s="168"/>
      <c r="E397" s="168"/>
      <c r="F397" s="168"/>
      <c r="H397" s="168"/>
      <c r="I397" s="168"/>
      <c r="J397" s="208"/>
      <c r="K397" s="208"/>
      <c r="L397" s="208"/>
      <c r="M397" s="208"/>
      <c r="O397" s="168"/>
      <c r="P397" s="168"/>
      <c r="Q397" s="168"/>
      <c r="R397" s="168"/>
      <c r="S397" s="168"/>
      <c r="T397" s="168"/>
      <c r="V397" s="170"/>
      <c r="W397" s="170"/>
      <c r="X397" s="170"/>
      <c r="Y397" s="170"/>
      <c r="Z397" s="170"/>
      <c r="AA397" s="170"/>
      <c r="AC397" s="168"/>
      <c r="AD397" s="168"/>
      <c r="AE397" s="168"/>
      <c r="AF397" s="168"/>
      <c r="AG397" s="168"/>
      <c r="AH397" s="168"/>
      <c r="AJ397" s="168"/>
      <c r="AK397" s="168"/>
      <c r="AL397" s="168"/>
      <c r="AM397" s="168"/>
      <c r="AN397" s="168"/>
      <c r="AO397" s="168"/>
      <c r="AQ397" s="168"/>
      <c r="AR397" s="168"/>
      <c r="AS397" s="168"/>
      <c r="AT397" s="168"/>
      <c r="AU397" s="168"/>
      <c r="AV397" s="168"/>
      <c r="AX397" s="170"/>
      <c r="AY397" s="170"/>
      <c r="AZ397" s="170"/>
      <c r="BA397" s="170"/>
      <c r="BB397" s="170"/>
      <c r="BC397" s="170"/>
      <c r="BE397" s="168"/>
      <c r="BF397" s="168"/>
      <c r="BG397" s="168"/>
      <c r="BH397" s="168"/>
      <c r="BI397" s="168"/>
      <c r="BJ397" s="168"/>
      <c r="BL397" s="168"/>
      <c r="BM397" s="168"/>
      <c r="BN397" s="168"/>
      <c r="BO397" s="168"/>
      <c r="BP397" s="168"/>
      <c r="BQ397" s="168"/>
      <c r="BS397" s="168"/>
      <c r="BT397" s="168"/>
      <c r="BU397" s="168"/>
      <c r="BV397" s="168"/>
      <c r="BW397" s="168"/>
      <c r="BX397" s="168"/>
      <c r="BZ397" s="170"/>
      <c r="CA397" s="170"/>
      <c r="CB397" s="170"/>
      <c r="CC397" s="170"/>
      <c r="CD397" s="170"/>
      <c r="CE397" s="170"/>
      <c r="CG397" s="168"/>
      <c r="CH397" s="168"/>
      <c r="CI397" s="168"/>
      <c r="CJ397" s="168"/>
      <c r="CK397" s="168"/>
      <c r="CL397" s="168"/>
      <c r="CN397" s="168"/>
      <c r="CO397" s="168"/>
      <c r="CP397" s="168"/>
      <c r="CQ397" s="168"/>
      <c r="CR397" s="168"/>
      <c r="CS397" s="168"/>
      <c r="CU397" s="168"/>
      <c r="CV397" s="168"/>
      <c r="CW397" s="168"/>
      <c r="CX397" s="168"/>
      <c r="CY397" s="168"/>
      <c r="CZ397" s="168"/>
      <c r="DB397" s="170"/>
      <c r="DC397" s="170"/>
      <c r="DD397" s="170"/>
      <c r="DE397" s="170"/>
      <c r="DF397" s="170"/>
      <c r="DG397" s="170"/>
      <c r="DI397" s="168"/>
      <c r="DJ397" s="168"/>
      <c r="DK397" s="168"/>
      <c r="DL397" s="168"/>
      <c r="DM397" s="168"/>
      <c r="DN397" s="168"/>
      <c r="DP397" s="170"/>
      <c r="DQ397" s="170"/>
      <c r="DR397" s="170"/>
      <c r="DS397" s="170"/>
      <c r="DT397" s="170"/>
      <c r="DU397" s="170"/>
      <c r="DW397" s="168"/>
      <c r="DX397" s="168"/>
      <c r="DY397" s="168"/>
      <c r="DZ397" s="168"/>
      <c r="EA397" s="168"/>
      <c r="EB397" s="168"/>
    </row>
    <row r="398" spans="1:132" x14ac:dyDescent="0.25">
      <c r="V398" s="168"/>
      <c r="W398" s="168"/>
      <c r="X398" s="168"/>
      <c r="Y398" s="168"/>
      <c r="Z398" s="168"/>
      <c r="AA398" s="168"/>
      <c r="AX398" s="168"/>
      <c r="AY398" s="168"/>
      <c r="AZ398" s="168"/>
      <c r="BA398" s="168"/>
      <c r="BB398" s="168"/>
      <c r="BC398" s="168"/>
      <c r="BZ398" s="168"/>
      <c r="CA398" s="168"/>
      <c r="CB398" s="168"/>
      <c r="CC398" s="168"/>
      <c r="CD398" s="168"/>
      <c r="CE398" s="168"/>
      <c r="DB398" s="170"/>
      <c r="DC398" s="170"/>
      <c r="DD398" s="170"/>
      <c r="DE398" s="170"/>
      <c r="DF398" s="170"/>
      <c r="DG398" s="170"/>
      <c r="DP398" s="170"/>
      <c r="DQ398" s="170"/>
      <c r="DR398" s="170"/>
      <c r="DS398" s="170"/>
      <c r="DT398" s="170"/>
      <c r="DU398" s="170"/>
    </row>
    <row r="399" spans="1:132" x14ac:dyDescent="0.25">
      <c r="DB399" s="168"/>
      <c r="DC399" s="168"/>
      <c r="DD399" s="168"/>
      <c r="DE399" s="168"/>
      <c r="DF399" s="168"/>
      <c r="DG399" s="168"/>
      <c r="DP399" s="168"/>
      <c r="DQ399" s="168"/>
      <c r="DR399" s="168"/>
      <c r="DS399" s="168"/>
      <c r="DT399" s="168"/>
      <c r="DU399" s="168"/>
    </row>
  </sheetData>
  <mergeCells count="531">
    <mergeCell ref="DW1:DX1"/>
    <mergeCell ref="DY1:EB1"/>
    <mergeCell ref="DZ370:EB370"/>
    <mergeCell ref="DW372:EB372"/>
    <mergeCell ref="DW373:DX373"/>
    <mergeCell ref="DW374:DX374"/>
    <mergeCell ref="DW375:DX375"/>
    <mergeCell ref="DW376:DX376"/>
    <mergeCell ref="DW377:DX377"/>
    <mergeCell ref="DW378:DX378"/>
    <mergeCell ref="DW379:DX379"/>
    <mergeCell ref="DW380:DX380"/>
    <mergeCell ref="DW381:DX381"/>
    <mergeCell ref="DW382:DX382"/>
    <mergeCell ref="DW383:DX383"/>
    <mergeCell ref="DW384:DX384"/>
    <mergeCell ref="DW385:DX385"/>
    <mergeCell ref="DW387:EB387"/>
    <mergeCell ref="DW388:EB388"/>
    <mergeCell ref="DP399:DU399"/>
    <mergeCell ref="DP390:DU390"/>
    <mergeCell ref="DP391:DU391"/>
    <mergeCell ref="DP392:DU392"/>
    <mergeCell ref="DP393:DU393"/>
    <mergeCell ref="DP394:DU394"/>
    <mergeCell ref="DP395:DU395"/>
    <mergeCell ref="DP396:DU396"/>
    <mergeCell ref="DP397:DU397"/>
    <mergeCell ref="DP398:DU398"/>
    <mergeCell ref="DW389:EB389"/>
    <mergeCell ref="DW390:EB390"/>
    <mergeCell ref="DW391:EB391"/>
    <mergeCell ref="DW392:EB392"/>
    <mergeCell ref="DW393:EB393"/>
    <mergeCell ref="DW394:EB394"/>
    <mergeCell ref="DW395:EB395"/>
    <mergeCell ref="DW396:EB396"/>
    <mergeCell ref="DW397:EB397"/>
    <mergeCell ref="DP380:DQ380"/>
    <mergeCell ref="DP381:DQ381"/>
    <mergeCell ref="DP382:DQ382"/>
    <mergeCell ref="DP383:DQ383"/>
    <mergeCell ref="DP384:DQ384"/>
    <mergeCell ref="DP385:DQ385"/>
    <mergeCell ref="DP386:DQ386"/>
    <mergeCell ref="DP387:DQ387"/>
    <mergeCell ref="DP389:DU389"/>
    <mergeCell ref="DP1:DQ1"/>
    <mergeCell ref="DR1:DU1"/>
    <mergeCell ref="DS372:DU372"/>
    <mergeCell ref="DP374:DU374"/>
    <mergeCell ref="DP375:DQ375"/>
    <mergeCell ref="DP376:DQ376"/>
    <mergeCell ref="DP377:DQ377"/>
    <mergeCell ref="DP378:DQ378"/>
    <mergeCell ref="DP379:DQ379"/>
    <mergeCell ref="DI389:DN389"/>
    <mergeCell ref="DI390:DN390"/>
    <mergeCell ref="DI391:DN391"/>
    <mergeCell ref="DI392:DN392"/>
    <mergeCell ref="DI393:DN393"/>
    <mergeCell ref="DI394:DN394"/>
    <mergeCell ref="DI395:DN395"/>
    <mergeCell ref="DI396:DN396"/>
    <mergeCell ref="DI397:DN397"/>
    <mergeCell ref="DB395:DG395"/>
    <mergeCell ref="DB396:DG396"/>
    <mergeCell ref="DB397:DG397"/>
    <mergeCell ref="DB398:DG398"/>
    <mergeCell ref="DB399:DG399"/>
    <mergeCell ref="DI1:DJ1"/>
    <mergeCell ref="DK1:DN1"/>
    <mergeCell ref="DL370:DN370"/>
    <mergeCell ref="DI372:DN372"/>
    <mergeCell ref="DI373:DJ373"/>
    <mergeCell ref="DI374:DJ374"/>
    <mergeCell ref="DI375:DJ375"/>
    <mergeCell ref="DI376:DJ376"/>
    <mergeCell ref="DI377:DJ377"/>
    <mergeCell ref="DI378:DJ378"/>
    <mergeCell ref="DI379:DJ379"/>
    <mergeCell ref="DI380:DJ380"/>
    <mergeCell ref="DI381:DJ381"/>
    <mergeCell ref="DI382:DJ382"/>
    <mergeCell ref="DI383:DJ383"/>
    <mergeCell ref="DI384:DJ384"/>
    <mergeCell ref="DI385:DJ385"/>
    <mergeCell ref="DI387:DN387"/>
    <mergeCell ref="DI388:DN388"/>
    <mergeCell ref="CU397:CZ397"/>
    <mergeCell ref="DB1:DC1"/>
    <mergeCell ref="DD1:DG1"/>
    <mergeCell ref="DE372:DG372"/>
    <mergeCell ref="DB374:DG374"/>
    <mergeCell ref="DB375:DC375"/>
    <mergeCell ref="DB376:DC376"/>
    <mergeCell ref="DB377:DC377"/>
    <mergeCell ref="DB378:DC378"/>
    <mergeCell ref="DB379:DC379"/>
    <mergeCell ref="DB380:DC380"/>
    <mergeCell ref="DB381:DC381"/>
    <mergeCell ref="DB382:DC382"/>
    <mergeCell ref="DB383:DC383"/>
    <mergeCell ref="DB384:DC384"/>
    <mergeCell ref="DB385:DC385"/>
    <mergeCell ref="DB386:DC386"/>
    <mergeCell ref="DB387:DC387"/>
    <mergeCell ref="DB389:DG389"/>
    <mergeCell ref="DB390:DG390"/>
    <mergeCell ref="DB391:DG391"/>
    <mergeCell ref="DB392:DG392"/>
    <mergeCell ref="DB393:DG393"/>
    <mergeCell ref="DB394:DG394"/>
    <mergeCell ref="CU388:CZ388"/>
    <mergeCell ref="CU389:CZ389"/>
    <mergeCell ref="CU390:CZ390"/>
    <mergeCell ref="CU391:CZ391"/>
    <mergeCell ref="CU392:CZ392"/>
    <mergeCell ref="CU393:CZ393"/>
    <mergeCell ref="CU394:CZ394"/>
    <mergeCell ref="CU395:CZ395"/>
    <mergeCell ref="CU396:CZ396"/>
    <mergeCell ref="CU378:CV378"/>
    <mergeCell ref="CU379:CV379"/>
    <mergeCell ref="CU380:CV380"/>
    <mergeCell ref="CU381:CV381"/>
    <mergeCell ref="CU382:CV382"/>
    <mergeCell ref="CU383:CV383"/>
    <mergeCell ref="CU384:CV384"/>
    <mergeCell ref="CU385:CV385"/>
    <mergeCell ref="CU387:CZ387"/>
    <mergeCell ref="CU1:CV1"/>
    <mergeCell ref="CW1:CZ1"/>
    <mergeCell ref="CX370:CZ370"/>
    <mergeCell ref="CU372:CZ372"/>
    <mergeCell ref="CU373:CV373"/>
    <mergeCell ref="CU374:CV374"/>
    <mergeCell ref="CU375:CV375"/>
    <mergeCell ref="CU376:CV376"/>
    <mergeCell ref="CU377:CV377"/>
    <mergeCell ref="CG397:CL397"/>
    <mergeCell ref="CG388:CL388"/>
    <mergeCell ref="CG389:CL389"/>
    <mergeCell ref="CG390:CL390"/>
    <mergeCell ref="CG391:CL391"/>
    <mergeCell ref="CG392:CL392"/>
    <mergeCell ref="CG393:CL393"/>
    <mergeCell ref="CG394:CL394"/>
    <mergeCell ref="CG395:CL395"/>
    <mergeCell ref="CG396:CL396"/>
    <mergeCell ref="CG378:CH378"/>
    <mergeCell ref="CG379:CH379"/>
    <mergeCell ref="CG380:CH380"/>
    <mergeCell ref="CG381:CH381"/>
    <mergeCell ref="CG382:CH382"/>
    <mergeCell ref="CG383:CH383"/>
    <mergeCell ref="CG384:CH384"/>
    <mergeCell ref="CG385:CH385"/>
    <mergeCell ref="CG387:CL387"/>
    <mergeCell ref="CG1:CH1"/>
    <mergeCell ref="CI1:CL1"/>
    <mergeCell ref="CJ370:CL370"/>
    <mergeCell ref="CG372:CL372"/>
    <mergeCell ref="CG373:CH373"/>
    <mergeCell ref="CG374:CH374"/>
    <mergeCell ref="CG375:CH375"/>
    <mergeCell ref="CG376:CH376"/>
    <mergeCell ref="CG377:CH377"/>
    <mergeCell ref="BZ398:CE398"/>
    <mergeCell ref="BZ389:CE389"/>
    <mergeCell ref="BZ390:CE390"/>
    <mergeCell ref="BZ391:CE391"/>
    <mergeCell ref="BZ392:CE392"/>
    <mergeCell ref="BZ393:CE393"/>
    <mergeCell ref="BZ394:CE394"/>
    <mergeCell ref="BZ395:CE395"/>
    <mergeCell ref="BZ396:CE396"/>
    <mergeCell ref="BZ397:CE397"/>
    <mergeCell ref="BZ379:CA379"/>
    <mergeCell ref="BZ380:CA380"/>
    <mergeCell ref="BZ381:CA381"/>
    <mergeCell ref="BZ382:CA382"/>
    <mergeCell ref="BZ383:CA383"/>
    <mergeCell ref="BZ384:CA384"/>
    <mergeCell ref="BZ385:CA385"/>
    <mergeCell ref="BZ386:CA386"/>
    <mergeCell ref="BZ388:CE388"/>
    <mergeCell ref="BZ1:CA1"/>
    <mergeCell ref="CB1:CE1"/>
    <mergeCell ref="CC371:CE371"/>
    <mergeCell ref="BZ373:CE373"/>
    <mergeCell ref="BZ374:CA374"/>
    <mergeCell ref="BZ375:CA375"/>
    <mergeCell ref="BZ376:CA376"/>
    <mergeCell ref="BZ377:CA377"/>
    <mergeCell ref="BZ378:CA378"/>
    <mergeCell ref="BE378:BF378"/>
    <mergeCell ref="BE379:BF379"/>
    <mergeCell ref="BE380:BF380"/>
    <mergeCell ref="BE381:BF381"/>
    <mergeCell ref="BE382:BF382"/>
    <mergeCell ref="BE383:BF383"/>
    <mergeCell ref="BE384:BF384"/>
    <mergeCell ref="BE385:BF385"/>
    <mergeCell ref="BE387:BJ387"/>
    <mergeCell ref="BE1:BF1"/>
    <mergeCell ref="BG1:BJ1"/>
    <mergeCell ref="BH370:BJ370"/>
    <mergeCell ref="BE372:BJ372"/>
    <mergeCell ref="BE373:BF373"/>
    <mergeCell ref="BE374:BF374"/>
    <mergeCell ref="BE375:BF375"/>
    <mergeCell ref="BE376:BF376"/>
    <mergeCell ref="BE377:BF377"/>
    <mergeCell ref="AJ1:AK1"/>
    <mergeCell ref="AL1:AO1"/>
    <mergeCell ref="AM370:AO370"/>
    <mergeCell ref="AJ372:AO372"/>
    <mergeCell ref="BE389:BJ389"/>
    <mergeCell ref="BE390:BJ390"/>
    <mergeCell ref="BE391:BJ391"/>
    <mergeCell ref="BE392:BJ392"/>
    <mergeCell ref="AX398:BC398"/>
    <mergeCell ref="AX389:BC389"/>
    <mergeCell ref="AX390:BC390"/>
    <mergeCell ref="AX391:BC391"/>
    <mergeCell ref="AX392:BC392"/>
    <mergeCell ref="AX393:BC393"/>
    <mergeCell ref="AX394:BC394"/>
    <mergeCell ref="AX395:BC395"/>
    <mergeCell ref="AX396:BC396"/>
    <mergeCell ref="AX397:BC397"/>
    <mergeCell ref="BE393:BJ393"/>
    <mergeCell ref="BE394:BJ394"/>
    <mergeCell ref="BE395:BJ395"/>
    <mergeCell ref="BE396:BJ396"/>
    <mergeCell ref="BE397:BJ397"/>
    <mergeCell ref="BE388:BJ388"/>
    <mergeCell ref="AX379:AY379"/>
    <mergeCell ref="AX380:AY380"/>
    <mergeCell ref="AX381:AY381"/>
    <mergeCell ref="AX382:AY382"/>
    <mergeCell ref="AX383:AY383"/>
    <mergeCell ref="AX384:AY384"/>
    <mergeCell ref="AX385:AY385"/>
    <mergeCell ref="AX386:AY386"/>
    <mergeCell ref="AX388:BC388"/>
    <mergeCell ref="AX1:AY1"/>
    <mergeCell ref="AZ1:BC1"/>
    <mergeCell ref="BA371:BC371"/>
    <mergeCell ref="AX373:BC373"/>
    <mergeCell ref="AX374:AY374"/>
    <mergeCell ref="AX375:AY375"/>
    <mergeCell ref="AX376:AY376"/>
    <mergeCell ref="AX377:AY377"/>
    <mergeCell ref="AX378:AY378"/>
    <mergeCell ref="V398:AA398"/>
    <mergeCell ref="O397:T397"/>
    <mergeCell ref="AC388:AH388"/>
    <mergeCell ref="AC389:AH389"/>
    <mergeCell ref="AC390:AH390"/>
    <mergeCell ref="AC391:AH391"/>
    <mergeCell ref="AC392:AH392"/>
    <mergeCell ref="AC393:AH393"/>
    <mergeCell ref="AC394:AH394"/>
    <mergeCell ref="AC395:AH395"/>
    <mergeCell ref="AC396:AH396"/>
    <mergeCell ref="O389:T389"/>
    <mergeCell ref="O390:T390"/>
    <mergeCell ref="O391:T391"/>
    <mergeCell ref="O392:T392"/>
    <mergeCell ref="O393:T393"/>
    <mergeCell ref="O394:T394"/>
    <mergeCell ref="O395:T395"/>
    <mergeCell ref="O396:T396"/>
    <mergeCell ref="V389:AA389"/>
    <mergeCell ref="V390:AA390"/>
    <mergeCell ref="AC397:AH397"/>
    <mergeCell ref="V391:AA391"/>
    <mergeCell ref="V392:AA392"/>
    <mergeCell ref="A397:F397"/>
    <mergeCell ref="A389:F389"/>
    <mergeCell ref="A390:F390"/>
    <mergeCell ref="A391:F391"/>
    <mergeCell ref="A392:F392"/>
    <mergeCell ref="A393:F393"/>
    <mergeCell ref="H393:M393"/>
    <mergeCell ref="H394:M394"/>
    <mergeCell ref="H395:M395"/>
    <mergeCell ref="H396:M396"/>
    <mergeCell ref="H397:M397"/>
    <mergeCell ref="A394:F394"/>
    <mergeCell ref="A395:F395"/>
    <mergeCell ref="H392:M392"/>
    <mergeCell ref="A396:F396"/>
    <mergeCell ref="V393:AA393"/>
    <mergeCell ref="V394:AA394"/>
    <mergeCell ref="V395:AA395"/>
    <mergeCell ref="V396:AA396"/>
    <mergeCell ref="V397:AA397"/>
    <mergeCell ref="AC385:AD385"/>
    <mergeCell ref="V385:W385"/>
    <mergeCell ref="AJ384:AK384"/>
    <mergeCell ref="AJ385:AK385"/>
    <mergeCell ref="AJ392:AO392"/>
    <mergeCell ref="AJ393:AO393"/>
    <mergeCell ref="AJ394:AO394"/>
    <mergeCell ref="AJ395:AO395"/>
    <mergeCell ref="AJ396:AO396"/>
    <mergeCell ref="AJ397:AO397"/>
    <mergeCell ref="A387:F387"/>
    <mergeCell ref="A388:F388"/>
    <mergeCell ref="H389:M389"/>
    <mergeCell ref="H390:M390"/>
    <mergeCell ref="H391:M391"/>
    <mergeCell ref="H387:M387"/>
    <mergeCell ref="H388:M388"/>
    <mergeCell ref="A384:B384"/>
    <mergeCell ref="A385:B385"/>
    <mergeCell ref="O387:T387"/>
    <mergeCell ref="O388:T388"/>
    <mergeCell ref="AC384:AD384"/>
    <mergeCell ref="V388:AA388"/>
    <mergeCell ref="AJ390:AO390"/>
    <mergeCell ref="AJ391:AO391"/>
    <mergeCell ref="V384:W384"/>
    <mergeCell ref="AJ387:AO387"/>
    <mergeCell ref="AJ388:AO388"/>
    <mergeCell ref="AJ389:AO389"/>
    <mergeCell ref="AC387:AH387"/>
    <mergeCell ref="H378:I378"/>
    <mergeCell ref="H379:I379"/>
    <mergeCell ref="H381:I381"/>
    <mergeCell ref="V386:W386"/>
    <mergeCell ref="O385:P385"/>
    <mergeCell ref="H384:I384"/>
    <mergeCell ref="H385:I385"/>
    <mergeCell ref="O383:P383"/>
    <mergeCell ref="O384:P384"/>
    <mergeCell ref="O381:P381"/>
    <mergeCell ref="V381:W381"/>
    <mergeCell ref="A381:B381"/>
    <mergeCell ref="A382:B382"/>
    <mergeCell ref="A379:B379"/>
    <mergeCell ref="H382:I382"/>
    <mergeCell ref="H383:I383"/>
    <mergeCell ref="AC378:AD378"/>
    <mergeCell ref="AC379:AD379"/>
    <mergeCell ref="O382:P382"/>
    <mergeCell ref="H380:I380"/>
    <mergeCell ref="O380:P380"/>
    <mergeCell ref="A378:B378"/>
    <mergeCell ref="A380:B380"/>
    <mergeCell ref="AC380:AD380"/>
    <mergeCell ref="AC381:AD381"/>
    <mergeCell ref="AC382:AD382"/>
    <mergeCell ref="AC383:AD383"/>
    <mergeCell ref="V383:W383"/>
    <mergeCell ref="A383:B383"/>
    <mergeCell ref="V378:W378"/>
    <mergeCell ref="V379:W379"/>
    <mergeCell ref="V380:W380"/>
    <mergeCell ref="V382:W382"/>
    <mergeCell ref="O378:P378"/>
    <mergeCell ref="O379:P379"/>
    <mergeCell ref="AJ373:AK373"/>
    <mergeCell ref="AJ374:AK374"/>
    <mergeCell ref="AJ375:AK375"/>
    <mergeCell ref="AJ380:AK380"/>
    <mergeCell ref="AJ383:AK383"/>
    <mergeCell ref="AJ381:AK381"/>
    <mergeCell ref="AJ382:AK382"/>
    <mergeCell ref="AJ376:AK376"/>
    <mergeCell ref="AJ377:AK377"/>
    <mergeCell ref="AJ378:AK378"/>
    <mergeCell ref="AJ379:AK379"/>
    <mergeCell ref="AC1:AD1"/>
    <mergeCell ref="AE1:AH1"/>
    <mergeCell ref="AF370:AH370"/>
    <mergeCell ref="AC372:AH372"/>
    <mergeCell ref="AC373:AD373"/>
    <mergeCell ref="AC374:AD374"/>
    <mergeCell ref="AC375:AD375"/>
    <mergeCell ref="AC376:AD376"/>
    <mergeCell ref="AC377:AD377"/>
    <mergeCell ref="X1:AA1"/>
    <mergeCell ref="Y371:AA371"/>
    <mergeCell ref="V373:AA373"/>
    <mergeCell ref="V1:W1"/>
    <mergeCell ref="V374:W374"/>
    <mergeCell ref="V375:W375"/>
    <mergeCell ref="V376:W376"/>
    <mergeCell ref="V377:W377"/>
    <mergeCell ref="O1:P1"/>
    <mergeCell ref="Q1:T1"/>
    <mergeCell ref="R370:T370"/>
    <mergeCell ref="O372:T372"/>
    <mergeCell ref="O373:P373"/>
    <mergeCell ref="O374:P374"/>
    <mergeCell ref="O375:P375"/>
    <mergeCell ref="O376:P376"/>
    <mergeCell ref="O377:P377"/>
    <mergeCell ref="A1:B1"/>
    <mergeCell ref="C1:F1"/>
    <mergeCell ref="H376:I376"/>
    <mergeCell ref="H377:I377"/>
    <mergeCell ref="H1:I1"/>
    <mergeCell ref="J1:M1"/>
    <mergeCell ref="K370:M370"/>
    <mergeCell ref="H374:I374"/>
    <mergeCell ref="H375:I375"/>
    <mergeCell ref="A372:F372"/>
    <mergeCell ref="A377:B377"/>
    <mergeCell ref="A373:B373"/>
    <mergeCell ref="A374:B374"/>
    <mergeCell ref="A375:B375"/>
    <mergeCell ref="A376:B376"/>
    <mergeCell ref="D370:F370"/>
    <mergeCell ref="H373:I373"/>
    <mergeCell ref="H372:M372"/>
    <mergeCell ref="AQ382:AR382"/>
    <mergeCell ref="AQ383:AR383"/>
    <mergeCell ref="AQ384:AR384"/>
    <mergeCell ref="AQ385:AR385"/>
    <mergeCell ref="AQ387:AV387"/>
    <mergeCell ref="AQ388:AV388"/>
    <mergeCell ref="AQ380:AR380"/>
    <mergeCell ref="AQ1:AR1"/>
    <mergeCell ref="AS1:AV1"/>
    <mergeCell ref="AT370:AV370"/>
    <mergeCell ref="AQ372:AV372"/>
    <mergeCell ref="AQ373:AR373"/>
    <mergeCell ref="AQ374:AR374"/>
    <mergeCell ref="AQ375:AR375"/>
    <mergeCell ref="AQ376:AR376"/>
    <mergeCell ref="AQ377:AR377"/>
    <mergeCell ref="AQ378:AR378"/>
    <mergeCell ref="AQ379:AR379"/>
    <mergeCell ref="AQ381:AR381"/>
    <mergeCell ref="AQ394:AV394"/>
    <mergeCell ref="AQ395:AV395"/>
    <mergeCell ref="AQ396:AV396"/>
    <mergeCell ref="AQ397:AV397"/>
    <mergeCell ref="AQ389:AV389"/>
    <mergeCell ref="AQ390:AV390"/>
    <mergeCell ref="AQ391:AV391"/>
    <mergeCell ref="AQ392:AV392"/>
    <mergeCell ref="AQ393:AV393"/>
    <mergeCell ref="BL1:BM1"/>
    <mergeCell ref="BN1:BQ1"/>
    <mergeCell ref="BO370:BQ370"/>
    <mergeCell ref="BL372:BQ372"/>
    <mergeCell ref="BL373:BM373"/>
    <mergeCell ref="BL374:BM374"/>
    <mergeCell ref="BL375:BM375"/>
    <mergeCell ref="BL376:BM376"/>
    <mergeCell ref="BL377:BM377"/>
    <mergeCell ref="BL378:BM378"/>
    <mergeCell ref="BL379:BM379"/>
    <mergeCell ref="BL380:BM380"/>
    <mergeCell ref="BL381:BM381"/>
    <mergeCell ref="BL382:BM382"/>
    <mergeCell ref="BL383:BM383"/>
    <mergeCell ref="BL384:BM384"/>
    <mergeCell ref="BL385:BM385"/>
    <mergeCell ref="BL387:BQ387"/>
    <mergeCell ref="BL397:BQ397"/>
    <mergeCell ref="BL388:BQ388"/>
    <mergeCell ref="BL389:BQ389"/>
    <mergeCell ref="BL390:BQ390"/>
    <mergeCell ref="BL391:BQ391"/>
    <mergeCell ref="BL392:BQ392"/>
    <mergeCell ref="BL393:BQ393"/>
    <mergeCell ref="BL394:BQ394"/>
    <mergeCell ref="BL395:BQ395"/>
    <mergeCell ref="BL396:BQ396"/>
    <mergeCell ref="BS384:BT384"/>
    <mergeCell ref="BS385:BT385"/>
    <mergeCell ref="BS387:BX387"/>
    <mergeCell ref="BS1:BT1"/>
    <mergeCell ref="BU1:BX1"/>
    <mergeCell ref="BV370:BX370"/>
    <mergeCell ref="BS372:BX372"/>
    <mergeCell ref="BS373:BT373"/>
    <mergeCell ref="BS374:BT374"/>
    <mergeCell ref="BS375:BT375"/>
    <mergeCell ref="BS376:BT376"/>
    <mergeCell ref="BS377:BT377"/>
    <mergeCell ref="CN1:CO1"/>
    <mergeCell ref="CQ370:CS370"/>
    <mergeCell ref="CN372:CS372"/>
    <mergeCell ref="CN373:CO373"/>
    <mergeCell ref="CN374:CO374"/>
    <mergeCell ref="CN375:CO375"/>
    <mergeCell ref="CN376:CO376"/>
    <mergeCell ref="CN377:CO377"/>
    <mergeCell ref="BS397:BX397"/>
    <mergeCell ref="BS388:BX388"/>
    <mergeCell ref="BS389:BX389"/>
    <mergeCell ref="BS390:BX390"/>
    <mergeCell ref="BS391:BX391"/>
    <mergeCell ref="BS392:BX392"/>
    <mergeCell ref="BS393:BX393"/>
    <mergeCell ref="BS394:BX394"/>
    <mergeCell ref="BS395:BX395"/>
    <mergeCell ref="BS396:BX396"/>
    <mergeCell ref="BS378:BT378"/>
    <mergeCell ref="BS379:BT379"/>
    <mergeCell ref="BS380:BT380"/>
    <mergeCell ref="BS381:BT381"/>
    <mergeCell ref="BS382:BT382"/>
    <mergeCell ref="BS383:BT383"/>
    <mergeCell ref="CN378:CO378"/>
    <mergeCell ref="CN379:CO379"/>
    <mergeCell ref="CN380:CO380"/>
    <mergeCell ref="CN381:CO381"/>
    <mergeCell ref="CN382:CO382"/>
    <mergeCell ref="CN383:CO383"/>
    <mergeCell ref="CN384:CO384"/>
    <mergeCell ref="CN385:CO385"/>
    <mergeCell ref="CN387:CS387"/>
    <mergeCell ref="CN397:CS397"/>
    <mergeCell ref="CN388:CS388"/>
    <mergeCell ref="CN389:CS389"/>
    <mergeCell ref="CN390:CS390"/>
    <mergeCell ref="CN391:CS391"/>
    <mergeCell ref="CN392:CS392"/>
    <mergeCell ref="CN393:CS393"/>
    <mergeCell ref="CN394:CS394"/>
    <mergeCell ref="CN395:CS395"/>
    <mergeCell ref="CN396:CS396"/>
  </mergeCells>
  <phoneticPr fontId="2" type="noConversion"/>
  <conditionalFormatting sqref="A90:AW1048576 AX44:CF1048576 A1:CF4 DB78:DG1048576 A78:AN82 A5:CA5 CF5 A6:CF9 CF10:CF16 A10:CA22 CE12 CE17:CF22 A23:CF33 BC37:BM37 AB37:AD39 CD37:CF39 AP37:AR40 BB38:BM39 AI39:AK39 A40:D40 N40:Y40 AB40:AF40 AI40:AM40 AW40:BO40 BR40:CF40 A41:I41 N41:CF41 A42:CF42 N43:AK43 AP43:CF43 A43:I48 V44:AW44 N44:AA48 AU45:AW45 AP45:AR46 AB45:AK47 AW46 AP47:AW47 AB48:AW49 DB48:DG70 A49:AA49 AB50:AR50 N50:AA52 A50:I54 AW50:AW54 AB51:AU51 AB52:AK52 AP52:AR52 AP53:AT53 N53:AK54 AP54:AR54 AT54 A55:AW56 A57:AN61 AP57:AT61 AV57:AW61 Y60:Y62 A62:AW63 A64:AF64 AH64:AK64 AG64:AH68 AN64:AN68 AP64:AW68 A65:AK67 A68:AN68 A69:AW70 DB71:DD71 A71:AN75 AP71:AW75 DT71:DU76 Y74:Y76 DB75:DD77 A76:AW77 AP78:AW82 A83:AW84 A85:AN89 AP85:AW89">
    <cfRule type="containsText" dxfId="2019" priority="2653" operator="containsText" text="SÁBADO">
      <formula>NOT(ISERROR(SEARCH("SÁBADO",A1)))</formula>
    </cfRule>
  </conditionalFormatting>
  <conditionalFormatting sqref="A90:AW1048576 AX44:CF1048576 A1:CF4 DB78:DG1048576 A5:CA5 CF5 A6:CF9 CF10:CF16 A10:CA22 CE12 CE17:CF22 A23:CF33 BC37:BM37 AB37:AD39 CD37:CF39 AP37:AR40 BB38:BM39 AI39:AK39 A40:D40 N40:Y40 AB40:AF40 AI40:AM40 AW40:BO40 BR40:CF40 A41:I41 N41:CF41 A42:CF42 N43:AK43 AP43:CF43 A43:I48 V44:AW44 N44:AA48 AU45:AW45 AP45:AR46 AB45:AK47 AW46 AP47:AW47 AB48:AW49 DB48:DG70 A49:AA49 AB50:AR50 N50:AA52 A50:I54 AW50:AW54 AB51:AU51 AB52:AK52 AP52:AR52 AP53:AT53 N53:AK54 AP54:AR54 AT54 A55:AW56 A57:AN61 AP57:AT61 AV57:AW61 Y60:Y62 A62:AW63 A64:AF64 AH64:AK64 AG64:AH68 AN64:AN68 AP64:AW68 A65:AK67 A68:AN68 A69:AW70 DB71:DD71 DF71:DG71 A71:AN75 AP71:AW75 DT71:DU76 Y74:Y76 DF74:DG77 DB75:DD77 A76:AW77 A78:AN82 AP78:AW82 A83:AW84 A85:AN89 AP85:AW89">
    <cfRule type="containsText" dxfId="2018" priority="2652" operator="containsText" text="DOMINGO">
      <formula>NOT(ISERROR(SEARCH("DOMINGO",A1)))</formula>
    </cfRule>
  </conditionalFormatting>
  <conditionalFormatting sqref="A1:CF4 A5:CA5 CF5 A6:CF9 CF10:CF16 A10:CA22 CE12 CE17:CF22 A23:CF33 BC37:BM37 AB37:AD39 CD37:CF39 AP37:AR40 BB38:BM39 AI39:AK39 A40:D40 N40:Y40 AB40:AF40 AI40:AM40 AW40:BO40 BR40:CF40 A41:I41 N41:CF41 A42:CF42 N43:AK43 AP43:CF43 A43:I48 V44:AW44 N44:AA48 AX44:CF1048576 AU45:AW45 AP45:AR46 AB45:AK47 AW46 AP47:AW47 AB48:AW49 DB48:DG70 A49:AA49 AB50:AR50 N50:AA52 A50:I54 AW50:AW54 AB51:AU51 AB52:AK52 AP52:AR52 AP53:AT53 N53:AK54 AP54:AR54 AT54 A55:AW56 A57:AN61 AP57:AT61 AV57:AW61 Y60:Y62 A62:AW63 A64:AF64 AH64:AK64 AG64:AH68 AN64:AN68 AP64:AW68 A65:AK67 A68:AN68 A69:AW70 DB71:DD71 A71:AN75 AP71:AW75 DT71:DU76 Y74:Y76 DB75:DD77 A76:AW77 A78:AN82 AP78:AW82 DB78:DG1048576 A83:AW84 A85:AN89 AP85:AW89 A90:AW1048576 DF71:DG71 DP71:DR77 DF74:DG77">
    <cfRule type="containsText" dxfId="2017" priority="2654" operator="containsText" text="FERIADO">
      <formula>NOT(ISERROR(SEARCH("FERIADO",A1)))</formula>
    </cfRule>
  </conditionalFormatting>
  <conditionalFormatting sqref="C80">
    <cfRule type="containsText" dxfId="2016" priority="154" operator="containsText" text="FALTOU">
      <formula>NOT(ISERROR(SEARCH("FALTOU",C80)))</formula>
    </cfRule>
    <cfRule type="containsText" dxfId="2015" priority="153" operator="containsText" text="DESCANSO">
      <formula>NOT(ISERROR(SEARCH("DESCANSO",C80)))</formula>
    </cfRule>
  </conditionalFormatting>
  <conditionalFormatting sqref="C34:F35">
    <cfRule type="containsText" dxfId="2014" priority="2411" operator="containsText" text="FALTOU">
      <formula>NOT(ISERROR(SEARCH("FALTOU",C34)))</formula>
    </cfRule>
  </conditionalFormatting>
  <conditionalFormatting sqref="C34:F39">
    <cfRule type="containsText" dxfId="2013" priority="1947" operator="containsText" text="FERIADO">
      <formula>NOT(ISERROR(SEARCH("FERIADO",C34)))</formula>
    </cfRule>
    <cfRule type="containsText" dxfId="2012" priority="1948" operator="containsText" text="ATESTADO">
      <formula>NOT(ISERROR(SEARCH("ATESTADO",C34)))</formula>
    </cfRule>
    <cfRule type="containsText" dxfId="2011" priority="1945" operator="containsText" text="DOMINGO">
      <formula>NOT(ISERROR(SEARCH("DOMINGO",C34)))</formula>
    </cfRule>
    <cfRule type="containsText" dxfId="2010" priority="1946" operator="containsText" text="SÁBADO">
      <formula>NOT(ISERROR(SEARCH("SÁBADO",C34)))</formula>
    </cfRule>
    <cfRule type="containsText" dxfId="2009" priority="1949" operator="containsText" text="DESCANSO">
      <formula>NOT(ISERROR(SEARCH("DESCANSO",C34)))</formula>
    </cfRule>
  </conditionalFormatting>
  <conditionalFormatting sqref="C36:F37">
    <cfRule type="containsText" dxfId="2008" priority="2255" operator="containsText" text="FALTOU">
      <formula>NOT(ISERROR(SEARCH("FALTOU",C36)))</formula>
    </cfRule>
  </conditionalFormatting>
  <conditionalFormatting sqref="C38:F39">
    <cfRule type="containsText" dxfId="2007" priority="1950" operator="containsText" text="FALTOU">
      <formula>NOT(ISERROR(SEARCH("FALTOU",C38)))</formula>
    </cfRule>
  </conditionalFormatting>
  <conditionalFormatting sqref="E40:F40">
    <cfRule type="containsText" dxfId="2006" priority="1824" operator="containsText" text="FALTOU">
      <formula>NOT(ISERROR(SEARCH("FALTOU",E40)))</formula>
    </cfRule>
    <cfRule type="containsText" dxfId="2005" priority="1823" operator="containsText" text="DESCANSO">
      <formula>NOT(ISERROR(SEARCH("DESCANSO",E40)))</formula>
    </cfRule>
    <cfRule type="containsText" dxfId="2004" priority="1822" operator="containsText" text="ATESTADO">
      <formula>NOT(ISERROR(SEARCH("ATESTADO",E40)))</formula>
    </cfRule>
    <cfRule type="containsText" dxfId="2003" priority="1821" operator="containsText" text="FERIADO">
      <formula>NOT(ISERROR(SEARCH("FERIADO",E40)))</formula>
    </cfRule>
    <cfRule type="containsText" dxfId="2002" priority="1819" operator="containsText" text="DOMINGO">
      <formula>NOT(ISERROR(SEARCH("DOMINGO",E40)))</formula>
    </cfRule>
    <cfRule type="containsText" dxfId="2001" priority="1820" operator="containsText" text="SÁBADO">
      <formula>NOT(ISERROR(SEARCH("SÁBADO",E40)))</formula>
    </cfRule>
  </conditionalFormatting>
  <conditionalFormatting sqref="J34:M34">
    <cfRule type="containsText" dxfId="2000" priority="2435" operator="containsText" text="FALTOU">
      <formula>NOT(ISERROR(SEARCH("FALTOU",J34)))</formula>
    </cfRule>
  </conditionalFormatting>
  <conditionalFormatting sqref="J34:M41">
    <cfRule type="containsText" dxfId="1999" priority="1879" operator="containsText" text="DOMINGO">
      <formula>NOT(ISERROR(SEARCH("DOMINGO",J34)))</formula>
    </cfRule>
    <cfRule type="containsText" dxfId="1998" priority="1881" operator="containsText" text="FERIADO">
      <formula>NOT(ISERROR(SEARCH("FERIADO",J34)))</formula>
    </cfRule>
    <cfRule type="containsText" dxfId="1997" priority="1882" operator="containsText" text="ATESTADO">
      <formula>NOT(ISERROR(SEARCH("ATESTADO",J34)))</formula>
    </cfRule>
    <cfRule type="containsText" dxfId="1996" priority="1883" operator="containsText" text="DESCANSO">
      <formula>NOT(ISERROR(SEARCH("DESCANSO",J34)))</formula>
    </cfRule>
    <cfRule type="containsText" dxfId="1995" priority="1880" operator="containsText" text="SÁBADO">
      <formula>NOT(ISERROR(SEARCH("SÁBADO",J34)))</formula>
    </cfRule>
  </conditionalFormatting>
  <conditionalFormatting sqref="J35:M35">
    <cfRule type="containsText" dxfId="1994" priority="2417" operator="containsText" text="FALTOU">
      <formula>NOT(ISERROR(SEARCH("FALTOU",J35)))</formula>
    </cfRule>
  </conditionalFormatting>
  <conditionalFormatting sqref="J36:M37">
    <cfRule type="containsText" dxfId="1993" priority="2261" operator="containsText" text="FALTOU">
      <formula>NOT(ISERROR(SEARCH("FALTOU",J36)))</formula>
    </cfRule>
  </conditionalFormatting>
  <conditionalFormatting sqref="J38:M38">
    <cfRule type="containsText" dxfId="1992" priority="1956" operator="containsText" text="FALTOU">
      <formula>NOT(ISERROR(SEARCH("FALTOU",J38)))</formula>
    </cfRule>
  </conditionalFormatting>
  <conditionalFormatting sqref="J39:M41">
    <cfRule type="containsText" dxfId="1991" priority="1884" operator="containsText" text="FALTOU">
      <formula>NOT(ISERROR(SEARCH("FALTOU",J39)))</formula>
    </cfRule>
  </conditionalFormatting>
  <conditionalFormatting sqref="J43:M48">
    <cfRule type="containsText" dxfId="1990" priority="1121" operator="containsText" text="ATESTADO">
      <formula>NOT(ISERROR(SEARCH("ATESTADO",J43)))</formula>
    </cfRule>
    <cfRule type="containsText" dxfId="1989" priority="1120" operator="containsText" text="FERIADO">
      <formula>NOT(ISERROR(SEARCH("FERIADO",J43)))</formula>
    </cfRule>
    <cfRule type="containsText" dxfId="1988" priority="1119" operator="containsText" text="SÁBADO">
      <formula>NOT(ISERROR(SEARCH("SÁBADO",J43)))</formula>
    </cfRule>
    <cfRule type="containsText" dxfId="1987" priority="1118" operator="containsText" text="DOMINGO">
      <formula>NOT(ISERROR(SEARCH("DOMINGO",J43)))</formula>
    </cfRule>
    <cfRule type="containsText" dxfId="1986" priority="1123" operator="containsText" text="FALTOU">
      <formula>NOT(ISERROR(SEARCH("FALTOU",J43)))</formula>
    </cfRule>
    <cfRule type="containsText" dxfId="1985" priority="1122" operator="containsText" text="DESCANSO">
      <formula>NOT(ISERROR(SEARCH("DESCANSO",J43)))</formula>
    </cfRule>
  </conditionalFormatting>
  <conditionalFormatting sqref="J50:M52">
    <cfRule type="containsText" dxfId="1984" priority="1116" operator="containsText" text="DESCANSO">
      <formula>NOT(ISERROR(SEARCH("DESCANSO",J50)))</formula>
    </cfRule>
    <cfRule type="containsText" dxfId="1983" priority="1117" operator="containsText" text="FALTOU">
      <formula>NOT(ISERROR(SEARCH("FALTOU",J50)))</formula>
    </cfRule>
    <cfRule type="containsText" dxfId="1982" priority="1115" operator="containsText" text="ATESTADO">
      <formula>NOT(ISERROR(SEARCH("ATESTADO",J50)))</formula>
    </cfRule>
    <cfRule type="containsText" dxfId="1981" priority="1114" operator="containsText" text="FERIADO">
      <formula>NOT(ISERROR(SEARCH("FERIADO",J50)))</formula>
    </cfRule>
  </conditionalFormatting>
  <conditionalFormatting sqref="J50:M54">
    <cfRule type="containsText" dxfId="1980" priority="947" operator="containsText" text="SÁBADO">
      <formula>NOT(ISERROR(SEARCH("SÁBADO",J50)))</formula>
    </cfRule>
    <cfRule type="containsText" dxfId="1979" priority="946" operator="containsText" text="DOMINGO">
      <formula>NOT(ISERROR(SEARCH("DOMINGO",J50)))</formula>
    </cfRule>
  </conditionalFormatting>
  <conditionalFormatting sqref="J53:M53">
    <cfRule type="containsText" dxfId="1978" priority="1021" operator="containsText" text="FALTOU">
      <formula>NOT(ISERROR(SEARCH("FALTOU",J53)))</formula>
    </cfRule>
    <cfRule type="containsText" dxfId="1977" priority="1018" operator="containsText" text="FERIADO">
      <formula>NOT(ISERROR(SEARCH("FERIADO",J53)))</formula>
    </cfRule>
    <cfRule type="containsText" dxfId="1976" priority="1019" operator="containsText" text="ATESTADO">
      <formula>NOT(ISERROR(SEARCH("ATESTADO",J53)))</formula>
    </cfRule>
    <cfRule type="containsText" dxfId="1975" priority="1020" operator="containsText" text="DESCANSO">
      <formula>NOT(ISERROR(SEARCH("DESCANSO",J53)))</formula>
    </cfRule>
  </conditionalFormatting>
  <conditionalFormatting sqref="J54:M54">
    <cfRule type="containsText" dxfId="1974" priority="951" operator="containsText" text="FALTOU">
      <formula>NOT(ISERROR(SEARCH("FALTOU",J54)))</formula>
    </cfRule>
    <cfRule type="containsText" dxfId="1973" priority="950" operator="containsText" text="DESCANSO">
      <formula>NOT(ISERROR(SEARCH("DESCANSO",J54)))</formula>
    </cfRule>
    <cfRule type="containsText" dxfId="1972" priority="948" operator="containsText" text="FERIADO">
      <formula>NOT(ISERROR(SEARCH("FERIADO",J54)))</formula>
    </cfRule>
    <cfRule type="containsText" dxfId="1971" priority="949" operator="containsText" text="ATESTADO">
      <formula>NOT(ISERROR(SEARCH("ATESTADO",J54)))</formula>
    </cfRule>
  </conditionalFormatting>
  <conditionalFormatting sqref="K314:M314">
    <cfRule type="containsText" dxfId="1970" priority="2651" operator="containsText" text="FALTOU">
      <formula>NOT(ISERROR(SEARCH("FALTOU",K314)))</formula>
    </cfRule>
    <cfRule type="containsText" dxfId="1969" priority="2673" operator="containsText" text="DESCANSO">
      <formula>NOT(ISERROR(SEARCH("DESCANSO",K314)))</formula>
    </cfRule>
    <cfRule type="containsText" dxfId="1968" priority="2650" operator="containsText" text="DESCANSO">
      <formula>NOT(ISERROR(SEARCH("DESCANSO",K314)))</formula>
    </cfRule>
    <cfRule type="containsText" dxfId="1967" priority="2674" operator="containsText" text="FALTOU">
      <formula>NOT(ISERROR(SEARCH("FALTOU",K314)))</formula>
    </cfRule>
  </conditionalFormatting>
  <conditionalFormatting sqref="N34:AR34 AV34:BM34 BQ34:BX34 A34:B36 G34:I36 N35:BM35 BR35:BX36 N36:W36 AA36:AD36 AH36:AK36 AO36:AR36 BC36:BF36 BH36:BM36 AW36:AY39">
    <cfRule type="containsText" dxfId="1966" priority="2503" operator="containsText" text="FALTOU">
      <formula>NOT(ISERROR(SEARCH("FALTOU",A34)))</formula>
    </cfRule>
  </conditionalFormatting>
  <conditionalFormatting sqref="N34:AR34 AV34:BM34 BQ34:BX34 A34:B36 G34:I40 N35:BM35 BR35:BX36 N36:W36 AA36:AD36 AO36:AR36 BC36:BF36 BH36:BM36 AH36:AK38 AW36:AY39">
    <cfRule type="containsText" dxfId="1965" priority="2502" operator="containsText" text="DESCANSO">
      <formula>NOT(ISERROR(SEARCH("DESCANSO",A34)))</formula>
    </cfRule>
  </conditionalFormatting>
  <conditionalFormatting sqref="R314:T314">
    <cfRule type="containsText" dxfId="1964" priority="2672" operator="containsText" text="FALTOU">
      <formula>NOT(ISERROR(SEARCH("FALTOU",R314)))</formula>
    </cfRule>
    <cfRule type="containsText" dxfId="1963" priority="2671" operator="containsText" text="DESCANSO">
      <formula>NOT(ISERROR(SEARCH("DESCANSO",R314)))</formula>
    </cfRule>
    <cfRule type="containsText" dxfId="1962" priority="2649" operator="containsText" text="FALTOU">
      <formula>NOT(ISERROR(SEARCH("FALTOU",R314)))</formula>
    </cfRule>
    <cfRule type="containsText" dxfId="1961" priority="2648" operator="containsText" text="DESCANSO">
      <formula>NOT(ISERROR(SEARCH("DESCANSO",R314)))</formula>
    </cfRule>
  </conditionalFormatting>
  <conditionalFormatting sqref="X36:X37">
    <cfRule type="containsText" dxfId="1960" priority="2357" operator="containsText" text="FALTOU">
      <formula>NOT(ISERROR(SEARCH("FALTOU",X36)))</formula>
    </cfRule>
  </conditionalFormatting>
  <conditionalFormatting sqref="X36:X39">
    <cfRule type="containsText" dxfId="1959" priority="1942" operator="containsText" text="ATESTADO">
      <formula>NOT(ISERROR(SEARCH("ATESTADO",X36)))</formula>
    </cfRule>
    <cfRule type="containsText" dxfId="1958" priority="1943" operator="containsText" text="DESCANSO">
      <formula>NOT(ISERROR(SEARCH("DESCANSO",X36)))</formula>
    </cfRule>
    <cfRule type="containsText" dxfId="1957" priority="1941" operator="containsText" text="FERIADO">
      <formula>NOT(ISERROR(SEARCH("FERIADO",X36)))</formula>
    </cfRule>
    <cfRule type="containsText" dxfId="1956" priority="1940" operator="containsText" text="SÁBADO">
      <formula>NOT(ISERROR(SEARCH("SÁBADO",X36)))</formula>
    </cfRule>
    <cfRule type="containsText" dxfId="1955" priority="1939" operator="containsText" text="DOMINGO">
      <formula>NOT(ISERROR(SEARCH("DOMINGO",X36)))</formula>
    </cfRule>
  </conditionalFormatting>
  <conditionalFormatting sqref="X38">
    <cfRule type="containsText" dxfId="1954" priority="1968" operator="containsText" text="FALTOU">
      <formula>NOT(ISERROR(SEARCH("FALTOU",X38)))</formula>
    </cfRule>
  </conditionalFormatting>
  <conditionalFormatting sqref="X39">
    <cfRule type="containsText" dxfId="1953" priority="1944" operator="containsText" text="FALTOU">
      <formula>NOT(ISERROR(SEARCH("FALTOU",X39)))</formula>
    </cfRule>
  </conditionalFormatting>
  <conditionalFormatting sqref="Y36:Y37">
    <cfRule type="containsText" dxfId="1952" priority="2351" operator="containsText" text="FALTOU">
      <formula>NOT(ISERROR(SEARCH("FALTOU",Y36)))</formula>
    </cfRule>
  </conditionalFormatting>
  <conditionalFormatting sqref="Y36:Y39">
    <cfRule type="containsText" dxfId="1951" priority="1934" operator="containsText" text="SÁBADO">
      <formula>NOT(ISERROR(SEARCH("SÁBADO",Y36)))</formula>
    </cfRule>
    <cfRule type="containsText" dxfId="1950" priority="1933" operator="containsText" text="DOMINGO">
      <formula>NOT(ISERROR(SEARCH("DOMINGO",Y36)))</formula>
    </cfRule>
    <cfRule type="containsText" dxfId="1949" priority="1937" operator="containsText" text="DESCANSO">
      <formula>NOT(ISERROR(SEARCH("DESCANSO",Y36)))</formula>
    </cfRule>
    <cfRule type="containsText" dxfId="1948" priority="1936" operator="containsText" text="ATESTADO">
      <formula>NOT(ISERROR(SEARCH("ATESTADO",Y36)))</formula>
    </cfRule>
    <cfRule type="containsText" dxfId="1947" priority="1935" operator="containsText" text="FERIADO">
      <formula>NOT(ISERROR(SEARCH("FERIADO",Y36)))</formula>
    </cfRule>
  </conditionalFormatting>
  <conditionalFormatting sqref="Y38">
    <cfRule type="containsText" dxfId="1946" priority="1962" operator="containsText" text="FALTOU">
      <formula>NOT(ISERROR(SEARCH("FALTOU",Y38)))</formula>
    </cfRule>
  </conditionalFormatting>
  <conditionalFormatting sqref="Y39">
    <cfRule type="containsText" dxfId="1945" priority="1938" operator="containsText" text="FALTOU">
      <formula>NOT(ISERROR(SEARCH("FALTOU",Y39)))</formula>
    </cfRule>
  </conditionalFormatting>
  <conditionalFormatting sqref="Y315:AA315">
    <cfRule type="containsText" dxfId="1944" priority="2670" operator="containsText" text="FALTOU">
      <formula>NOT(ISERROR(SEARCH("FALTOU",Y315)))</formula>
    </cfRule>
    <cfRule type="containsText" dxfId="1943" priority="2647" operator="containsText" text="FALTOU">
      <formula>NOT(ISERROR(SEARCH("FALTOU",Y315)))</formula>
    </cfRule>
    <cfRule type="containsText" dxfId="1942" priority="2646" operator="containsText" text="DESCANSO">
      <formula>NOT(ISERROR(SEARCH("DESCANSO",Y315)))</formula>
    </cfRule>
    <cfRule type="containsText" dxfId="1941" priority="2669" operator="containsText" text="DESCANSO">
      <formula>NOT(ISERROR(SEARCH("DESCANSO",Y315)))</formula>
    </cfRule>
  </conditionalFormatting>
  <conditionalFormatting sqref="Z36:Z40">
    <cfRule type="containsText" dxfId="1940" priority="2367" operator="containsText" text="ATESTADO">
      <formula>NOT(ISERROR(SEARCH("ATESTADO",Z36)))</formula>
    </cfRule>
    <cfRule type="containsText" dxfId="1939" priority="2368" operator="containsText" text="DESCANSO">
      <formula>NOT(ISERROR(SEARCH("DESCANSO",Z36)))</formula>
    </cfRule>
    <cfRule type="containsText" dxfId="1938" priority="2369" operator="containsText" text="FALTOU">
      <formula>NOT(ISERROR(SEARCH("FALTOU",Z36)))</formula>
    </cfRule>
    <cfRule type="containsText" dxfId="1937" priority="2366" operator="containsText" text="FERIADO">
      <formula>NOT(ISERROR(SEARCH("FERIADO",Z36)))</formula>
    </cfRule>
    <cfRule type="containsText" dxfId="1936" priority="2364" operator="containsText" text="DOMINGO">
      <formula>NOT(ISERROR(SEARCH("DOMINGO",Z36)))</formula>
    </cfRule>
    <cfRule type="containsText" dxfId="1935" priority="2365" operator="containsText" text="SÁBADO">
      <formula>NOT(ISERROR(SEARCH("SÁBADO",Z36)))</formula>
    </cfRule>
  </conditionalFormatting>
  <conditionalFormatting sqref="AA37:AA40">
    <cfRule type="containsText" dxfId="1934" priority="2359" operator="containsText" text="SÁBADO">
      <formula>NOT(ISERROR(SEARCH("SÁBADO",AA37)))</formula>
    </cfRule>
    <cfRule type="containsText" dxfId="1933" priority="2358" operator="containsText" text="DOMINGO">
      <formula>NOT(ISERROR(SEARCH("DOMINGO",AA37)))</formula>
    </cfRule>
    <cfRule type="containsText" dxfId="1932" priority="2363" operator="containsText" text="FALTOU">
      <formula>NOT(ISERROR(SEARCH("FALTOU",AA37)))</formula>
    </cfRule>
    <cfRule type="containsText" dxfId="1931" priority="2360" operator="containsText" text="FERIADO">
      <formula>NOT(ISERROR(SEARCH("FERIADO",AA37)))</formula>
    </cfRule>
    <cfRule type="containsText" dxfId="1930" priority="2361" operator="containsText" text="ATESTADO">
      <formula>NOT(ISERROR(SEARCH("ATESTADO",AA37)))</formula>
    </cfRule>
    <cfRule type="containsText" dxfId="1929" priority="2362" operator="containsText" text="DESCANSO">
      <formula>NOT(ISERROR(SEARCH("DESCANSO",AA37)))</formula>
    </cfRule>
  </conditionalFormatting>
  <conditionalFormatting sqref="AB90:AW1048576 AX44:BD1048576 D314:U314 V44:AA1048576 BY1:CF4 BY5:CA5 CF5 BY6:CF9 CF10:CF16 BY10:CA22 CE12 CE17:CF22 BY23:CF33 CD37:CF39 V37:W43 BY40:CF1048576 C41:I41 N41:BD41 C42:BD42 N43:AK43 AP43:BD43 C43:I48 AB44:AW44 N44:U48 AP45 AU45:AW45 AB45:AK47 AP46:AR46 AW46 AP47:AW47 AB48:AW49 DB48:DG70 C49:U49 AB50:AR50 C50:I54 N50:U54 AW50:AW54 AB51:AU51 AP52:AR52 AB52:AK54 AP53:AT53 AP54:AR54 AT54 AB55:AW56 C55:U313 AB57:AN61 AP57:AT61 AV57:AW61 AB62:AW63 AB64:AF64 AH64:AK64 AG64:AH68 AN64:AN68 AP64:AW68 AB65:AK67 AB68:AN68 AB69:AW70 DB71:DD71 AB71:AN75 AP71:AW75 DT71:DU76 DB75:DD77 AB76:AW77 AB78:AN82 AP78:AW82 DB78:DG1048576 AB83:AW84 AB85:AN89 AP85:AW89 C315:U368 O369:U1048576 DF71:DG71 DP71:DR77 DF74:DG77">
    <cfRule type="containsText" dxfId="1928" priority="2711" operator="containsText" text="DESCANSO">
      <formula>NOT(ISERROR(SEARCH("DESCANSO",C1)))</formula>
    </cfRule>
  </conditionalFormatting>
  <conditionalFormatting sqref="AE39:AF39">
    <cfRule type="containsText" dxfId="1927" priority="1872" operator="containsText" text="FALTOU">
      <formula>NOT(ISERROR(SEARCH("FALTOU",AE39)))</formula>
    </cfRule>
    <cfRule type="containsText" dxfId="1926" priority="1871" operator="containsText" text="DESCANSO">
      <formula>NOT(ISERROR(SEARCH("DESCANSO",AE39)))</formula>
    </cfRule>
    <cfRule type="containsText" dxfId="1925" priority="1870" operator="containsText" text="ATESTADO">
      <formula>NOT(ISERROR(SEARCH("ATESTADO",AE39)))</formula>
    </cfRule>
    <cfRule type="containsText" dxfId="1924" priority="1869" operator="containsText" text="FERIADO">
      <formula>NOT(ISERROR(SEARCH("FERIADO",AE39)))</formula>
    </cfRule>
    <cfRule type="containsText" dxfId="1923" priority="1868" operator="containsText" text="SÁBADO">
      <formula>NOT(ISERROR(SEARCH("SÁBADO",AE39)))</formula>
    </cfRule>
    <cfRule type="containsText" dxfId="1922" priority="1867" operator="containsText" text="DOMINGO">
      <formula>NOT(ISERROR(SEARCH("DOMINGO",AE39)))</formula>
    </cfRule>
  </conditionalFormatting>
  <conditionalFormatting sqref="AE36:AG37">
    <cfRule type="containsText" dxfId="1921" priority="2267" operator="containsText" text="FALTOU">
      <formula>NOT(ISERROR(SEARCH("FALTOU",AE36)))</formula>
    </cfRule>
  </conditionalFormatting>
  <conditionalFormatting sqref="AE36:AG38">
    <cfRule type="containsText" dxfId="1920" priority="1969" operator="containsText" text="DOMINGO">
      <formula>NOT(ISERROR(SEARCH("DOMINGO",AE36)))</formula>
    </cfRule>
    <cfRule type="containsText" dxfId="1919" priority="1971" operator="containsText" text="FERIADO">
      <formula>NOT(ISERROR(SEARCH("FERIADO",AE36)))</formula>
    </cfRule>
    <cfRule type="containsText" dxfId="1918" priority="1972" operator="containsText" text="ATESTADO">
      <formula>NOT(ISERROR(SEARCH("ATESTADO",AE36)))</formula>
    </cfRule>
    <cfRule type="containsText" dxfId="1917" priority="1970" operator="containsText" text="SÁBADO">
      <formula>NOT(ISERROR(SEARCH("SÁBADO",AE36)))</formula>
    </cfRule>
    <cfRule type="containsText" dxfId="1916" priority="1973" operator="containsText" text="DESCANSO">
      <formula>NOT(ISERROR(SEARCH("DESCANSO",AE36)))</formula>
    </cfRule>
  </conditionalFormatting>
  <conditionalFormatting sqref="AE38:AG38">
    <cfRule type="containsText" dxfId="1915" priority="1974" operator="containsText" text="FALTOU">
      <formula>NOT(ISERROR(SEARCH("FALTOU",AE38)))</formula>
    </cfRule>
  </conditionalFormatting>
  <conditionalFormatting sqref="AF314:AH314">
    <cfRule type="containsText" dxfId="1914" priority="2645" operator="containsText" text="FALTOU">
      <formula>NOT(ISERROR(SEARCH("FALTOU",AF314)))</formula>
    </cfRule>
    <cfRule type="containsText" dxfId="1913" priority="2644" operator="containsText" text="DESCANSO">
      <formula>NOT(ISERROR(SEARCH("DESCANSO",AF314)))</formula>
    </cfRule>
    <cfRule type="containsText" dxfId="1912" priority="2667" operator="containsText" text="DESCANSO">
      <formula>NOT(ISERROR(SEARCH("DESCANSO",AF314)))</formula>
    </cfRule>
    <cfRule type="containsText" dxfId="1911" priority="2668" operator="containsText" text="FALTOU">
      <formula>NOT(ISERROR(SEARCH("FALTOU",AF314)))</formula>
    </cfRule>
  </conditionalFormatting>
  <conditionalFormatting sqref="AG39:AG40">
    <cfRule type="containsText" dxfId="1910" priority="1878" operator="containsText" text="FALTOU">
      <formula>NOT(ISERROR(SEARCH("FALTOU",AG39)))</formula>
    </cfRule>
    <cfRule type="containsText" dxfId="1909" priority="1877" operator="containsText" text="DESCANSO">
      <formula>NOT(ISERROR(SEARCH("DESCANSO",AG39)))</formula>
    </cfRule>
    <cfRule type="containsText" dxfId="1908" priority="1873" operator="containsText" text="DOMINGO">
      <formula>NOT(ISERROR(SEARCH("DOMINGO",AG39)))</formula>
    </cfRule>
    <cfRule type="containsText" dxfId="1907" priority="1874" operator="containsText" text="SÁBADO">
      <formula>NOT(ISERROR(SEARCH("SÁBADO",AG39)))</formula>
    </cfRule>
    <cfRule type="containsText" dxfId="1906" priority="1875" operator="containsText" text="FERIADO">
      <formula>NOT(ISERROR(SEARCH("FERIADO",AG39)))</formula>
    </cfRule>
    <cfRule type="containsText" dxfId="1905" priority="1876" operator="containsText" text="ATESTADO">
      <formula>NOT(ISERROR(SEARCH("ATESTADO",AG39)))</formula>
    </cfRule>
  </conditionalFormatting>
  <conditionalFormatting sqref="AH39:AH40">
    <cfRule type="containsText" dxfId="1904" priority="1863" operator="containsText" text="FERIADO">
      <formula>NOT(ISERROR(SEARCH("FERIADO",AH39)))</formula>
    </cfRule>
    <cfRule type="containsText" dxfId="1903" priority="1862" operator="containsText" text="SÁBADO">
      <formula>NOT(ISERROR(SEARCH("SÁBADO",AH39)))</formula>
    </cfRule>
    <cfRule type="containsText" dxfId="1902" priority="1861" operator="containsText" text="DOMINGO">
      <formula>NOT(ISERROR(SEARCH("DOMINGO",AH39)))</formula>
    </cfRule>
    <cfRule type="containsText" dxfId="1901" priority="1866" operator="containsText" text="FALTOU">
      <formula>NOT(ISERROR(SEARCH("FALTOU",AH39)))</formula>
    </cfRule>
    <cfRule type="containsText" dxfId="1900" priority="1865" operator="containsText" text="DESCANSO">
      <formula>NOT(ISERROR(SEARCH("DESCANSO",AH39)))</formula>
    </cfRule>
    <cfRule type="containsText" dxfId="1899" priority="1864" operator="containsText" text="ATESTADO">
      <formula>NOT(ISERROR(SEARCH("ATESTADO",AH39)))</formula>
    </cfRule>
  </conditionalFormatting>
  <conditionalFormatting sqref="AL36:AL37">
    <cfRule type="containsText" dxfId="1898" priority="2333" operator="containsText" text="FALTOU">
      <formula>NOT(ISERROR(SEARCH("FALTOU",AL36)))</formula>
    </cfRule>
  </conditionalFormatting>
  <conditionalFormatting sqref="AL36:AL39">
    <cfRule type="containsText" dxfId="1897" priority="1975" operator="containsText" text="DOMINGO">
      <formula>NOT(ISERROR(SEARCH("DOMINGO",AL36)))</formula>
    </cfRule>
    <cfRule type="containsText" dxfId="1896" priority="1976" operator="containsText" text="SÁBADO">
      <formula>NOT(ISERROR(SEARCH("SÁBADO",AL36)))</formula>
    </cfRule>
    <cfRule type="containsText" dxfId="1895" priority="1977" operator="containsText" text="FERIADO">
      <formula>NOT(ISERROR(SEARCH("FERIADO",AL36)))</formula>
    </cfRule>
    <cfRule type="containsText" dxfId="1894" priority="1979" operator="containsText" text="DESCANSO">
      <formula>NOT(ISERROR(SEARCH("DESCANSO",AL36)))</formula>
    </cfRule>
    <cfRule type="containsText" dxfId="1893" priority="1978" operator="containsText" text="ATESTADO">
      <formula>NOT(ISERROR(SEARCH("ATESTADO",AL36)))</formula>
    </cfRule>
  </conditionalFormatting>
  <conditionalFormatting sqref="AL38:AL39">
    <cfRule type="containsText" dxfId="1892" priority="1980" operator="containsText" text="FALTOU">
      <formula>NOT(ISERROR(SEARCH("FALTOU",AL38)))</formula>
    </cfRule>
  </conditionalFormatting>
  <conditionalFormatting sqref="AL43:AM43">
    <cfRule type="containsText" dxfId="1891" priority="1111" operator="containsText" text="FALTOU">
      <formula>NOT(ISERROR(SEARCH("FALTOU",AL43)))</formula>
    </cfRule>
    <cfRule type="containsText" dxfId="1890" priority="1110" operator="containsText" text="DESCANSO">
      <formula>NOT(ISERROR(SEARCH("DESCANSO",AL43)))</formula>
    </cfRule>
    <cfRule type="containsText" dxfId="1889" priority="1109" operator="containsText" text="ATESTADO">
      <formula>NOT(ISERROR(SEARCH("ATESTADO",AL43)))</formula>
    </cfRule>
    <cfRule type="containsText" dxfId="1888" priority="1108" operator="containsText" text="FERIADO">
      <formula>NOT(ISERROR(SEARCH("FERIADO",AL43)))</formula>
    </cfRule>
    <cfRule type="containsText" dxfId="1887" priority="1107" operator="containsText" text="SÁBADO">
      <formula>NOT(ISERROR(SEARCH("SÁBADO",AL43)))</formula>
    </cfRule>
    <cfRule type="containsText" dxfId="1886" priority="1106" operator="containsText" text="DOMINGO">
      <formula>NOT(ISERROR(SEARCH("DOMINGO",AL43)))</formula>
    </cfRule>
  </conditionalFormatting>
  <conditionalFormatting sqref="AL45:AM47">
    <cfRule type="containsText" dxfId="1885" priority="1088" operator="containsText" text="DOMINGO">
      <formula>NOT(ISERROR(SEARCH("DOMINGO",AL45)))</formula>
    </cfRule>
    <cfRule type="containsText" dxfId="1884" priority="1089" operator="containsText" text="SÁBADO">
      <formula>NOT(ISERROR(SEARCH("SÁBADO",AL45)))</formula>
    </cfRule>
    <cfRule type="containsText" dxfId="1883" priority="1093" operator="containsText" text="FALTOU">
      <formula>NOT(ISERROR(SEARCH("FALTOU",AL45)))</formula>
    </cfRule>
    <cfRule type="containsText" dxfId="1882" priority="1092" operator="containsText" text="DESCANSO">
      <formula>NOT(ISERROR(SEARCH("DESCANSO",AL45)))</formula>
    </cfRule>
    <cfRule type="containsText" dxfId="1881" priority="1091" operator="containsText" text="ATESTADO">
      <formula>NOT(ISERROR(SEARCH("ATESTADO",AL45)))</formula>
    </cfRule>
    <cfRule type="containsText" dxfId="1880" priority="1090" operator="containsText" text="FERIADO">
      <formula>NOT(ISERROR(SEARCH("FERIADO",AL45)))</formula>
    </cfRule>
  </conditionalFormatting>
  <conditionalFormatting sqref="AL52:AM52">
    <cfRule type="containsText" dxfId="1879" priority="1072" operator="containsText" text="FERIADO">
      <formula>NOT(ISERROR(SEARCH("FERIADO",AL52)))</formula>
    </cfRule>
    <cfRule type="containsText" dxfId="1878" priority="1073" operator="containsText" text="ATESTADO">
      <formula>NOT(ISERROR(SEARCH("ATESTADO",AL52)))</formula>
    </cfRule>
    <cfRule type="containsText" dxfId="1877" priority="1074" operator="containsText" text="DESCANSO">
      <formula>NOT(ISERROR(SEARCH("DESCANSO",AL52)))</formula>
    </cfRule>
    <cfRule type="containsText" dxfId="1876" priority="1075" operator="containsText" text="FALTOU">
      <formula>NOT(ISERROR(SEARCH("FALTOU",AL52)))</formula>
    </cfRule>
  </conditionalFormatting>
  <conditionalFormatting sqref="AL52:AM54">
    <cfRule type="containsText" dxfId="1875" priority="998" operator="containsText" text="DOMINGO">
      <formula>NOT(ISERROR(SEARCH("DOMINGO",AL52)))</formula>
    </cfRule>
    <cfRule type="containsText" dxfId="1874" priority="999" operator="containsText" text="SÁBADO">
      <formula>NOT(ISERROR(SEARCH("SÁBADO",AL52)))</formula>
    </cfRule>
  </conditionalFormatting>
  <conditionalFormatting sqref="AL53:AM53">
    <cfRule type="containsText" dxfId="1873" priority="1013" operator="containsText" text="ATESTADO">
      <formula>NOT(ISERROR(SEARCH("ATESTADO",AL53)))</formula>
    </cfRule>
    <cfRule type="containsText" dxfId="1872" priority="1015" operator="containsText" text="FALTOU">
      <formula>NOT(ISERROR(SEARCH("FALTOU",AL53)))</formula>
    </cfRule>
    <cfRule type="containsText" dxfId="1871" priority="1014" operator="containsText" text="DESCANSO">
      <formula>NOT(ISERROR(SEARCH("DESCANSO",AL53)))</formula>
    </cfRule>
    <cfRule type="containsText" dxfId="1870" priority="1012" operator="containsText" text="FERIADO">
      <formula>NOT(ISERROR(SEARCH("FERIADO",AL53)))</formula>
    </cfRule>
  </conditionalFormatting>
  <conditionalFormatting sqref="AL54:AM54">
    <cfRule type="containsText" dxfId="1869" priority="1001" operator="containsText" text="ATESTADO">
      <formula>NOT(ISERROR(SEARCH("ATESTADO",AL54)))</formula>
    </cfRule>
    <cfRule type="containsText" dxfId="1868" priority="1000" operator="containsText" text="FERIADO">
      <formula>NOT(ISERROR(SEARCH("FERIADO",AL54)))</formula>
    </cfRule>
    <cfRule type="containsText" dxfId="1867" priority="1002" operator="containsText" text="DESCANSO">
      <formula>NOT(ISERROR(SEARCH("DESCANSO",AL54)))</formula>
    </cfRule>
    <cfRule type="containsText" dxfId="1866" priority="1003" operator="containsText" text="FALTOU">
      <formula>NOT(ISERROR(SEARCH("FALTOU",AL54)))</formula>
    </cfRule>
  </conditionalFormatting>
  <conditionalFormatting sqref="AL64:AM67">
    <cfRule type="containsText" dxfId="1865" priority="939" operator="containsText" text="ATESTADO">
      <formula>NOT(ISERROR(SEARCH("ATESTADO",AL64)))</formula>
    </cfRule>
    <cfRule type="containsText" dxfId="1864" priority="938" operator="containsText" text="FALTOU">
      <formula>NOT(ISERROR(SEARCH("FALTOU",AL64)))</formula>
    </cfRule>
    <cfRule type="containsText" dxfId="1863" priority="937" operator="containsText" text="DESCANSO">
      <formula>NOT(ISERROR(SEARCH("DESCANSO",AL64)))</formula>
    </cfRule>
    <cfRule type="containsText" dxfId="1862" priority="936" operator="containsText" text="FERIADO">
      <formula>NOT(ISERROR(SEARCH("FERIADO",AL64)))</formula>
    </cfRule>
    <cfRule type="containsText" dxfId="1861" priority="934" operator="containsText" text="DOMINGO">
      <formula>NOT(ISERROR(SEARCH("DOMINGO",AL64)))</formula>
    </cfRule>
    <cfRule type="containsText" dxfId="1860" priority="935" operator="containsText" text="SÁBADO">
      <formula>NOT(ISERROR(SEARCH("SÁBADO",AL64)))</formula>
    </cfRule>
  </conditionalFormatting>
  <conditionalFormatting sqref="AM36:AM37">
    <cfRule type="containsText" dxfId="1859" priority="2339" operator="containsText" text="FALTOU">
      <formula>NOT(ISERROR(SEARCH("FALTOU",AM36)))</formula>
    </cfRule>
  </conditionalFormatting>
  <conditionalFormatting sqref="AM36:AM39">
    <cfRule type="containsText" dxfId="1858" priority="1985" operator="containsText" text="DESCANSO">
      <formula>NOT(ISERROR(SEARCH("DESCANSO",AM36)))</formula>
    </cfRule>
    <cfRule type="containsText" dxfId="1857" priority="1984" operator="containsText" text="ATESTADO">
      <formula>NOT(ISERROR(SEARCH("ATESTADO",AM36)))</formula>
    </cfRule>
    <cfRule type="containsText" dxfId="1856" priority="1982" operator="containsText" text="SÁBADO">
      <formula>NOT(ISERROR(SEARCH("SÁBADO",AM36)))</formula>
    </cfRule>
    <cfRule type="containsText" dxfId="1855" priority="1981" operator="containsText" text="DOMINGO">
      <formula>NOT(ISERROR(SEARCH("DOMINGO",AM36)))</formula>
    </cfRule>
    <cfRule type="containsText" dxfId="1854" priority="1983" operator="containsText" text="FERIADO">
      <formula>NOT(ISERROR(SEARCH("FERIADO",AM36)))</formula>
    </cfRule>
  </conditionalFormatting>
  <conditionalFormatting sqref="AM38:AM39">
    <cfRule type="containsText" dxfId="1853" priority="1986" operator="containsText" text="FALTOU">
      <formula>NOT(ISERROR(SEARCH("FALTOU",AM38)))</formula>
    </cfRule>
  </conditionalFormatting>
  <conditionalFormatting sqref="AM314:AO314">
    <cfRule type="containsText" dxfId="1852" priority="2643" operator="containsText" text="FALTOU">
      <formula>NOT(ISERROR(SEARCH("FALTOU",AM314)))</formula>
    </cfRule>
    <cfRule type="containsText" dxfId="1851" priority="2642" operator="containsText" text="DESCANSO">
      <formula>NOT(ISERROR(SEARCH("DESCANSO",AM314)))</formula>
    </cfRule>
    <cfRule type="containsText" dxfId="1850" priority="2666" operator="containsText" text="FALTOU">
      <formula>NOT(ISERROR(SEARCH("FALTOU",AM314)))</formula>
    </cfRule>
    <cfRule type="containsText" dxfId="1849" priority="2665" operator="containsText" text="DESCANSO">
      <formula>NOT(ISERROR(SEARCH("DESCANSO",AM314)))</formula>
    </cfRule>
  </conditionalFormatting>
  <conditionalFormatting sqref="AN36:AN40">
    <cfRule type="containsText" dxfId="1848" priority="2370" operator="containsText" text="DOMINGO">
      <formula>NOT(ISERROR(SEARCH("DOMINGO",AN36)))</formula>
    </cfRule>
    <cfRule type="containsText" dxfId="1847" priority="2371" operator="containsText" text="SÁBADO">
      <formula>NOT(ISERROR(SEARCH("SÁBADO",AN36)))</formula>
    </cfRule>
    <cfRule type="containsText" dxfId="1846" priority="2372" operator="containsText" text="FERIADO">
      <formula>NOT(ISERROR(SEARCH("FERIADO",AN36)))</formula>
    </cfRule>
    <cfRule type="containsText" dxfId="1845" priority="2374" operator="containsText" text="DESCANSO">
      <formula>NOT(ISERROR(SEARCH("DESCANSO",AN36)))</formula>
    </cfRule>
    <cfRule type="containsText" dxfId="1844" priority="2375" operator="containsText" text="FALTOU">
      <formula>NOT(ISERROR(SEARCH("FALTOU",AN36)))</formula>
    </cfRule>
    <cfRule type="containsText" dxfId="1843" priority="2373" operator="containsText" text="ATESTADO">
      <formula>NOT(ISERROR(SEARCH("ATESTADO",AN36)))</formula>
    </cfRule>
  </conditionalFormatting>
  <conditionalFormatting sqref="AN43">
    <cfRule type="containsText" dxfId="1842" priority="1102" operator="containsText" text="FERIADO">
      <formula>NOT(ISERROR(SEARCH("FERIADO",AN43)))</formula>
    </cfRule>
    <cfRule type="containsText" dxfId="1841" priority="1105" operator="containsText" text="FALTOU">
      <formula>NOT(ISERROR(SEARCH("FALTOU",AN43)))</formula>
    </cfRule>
    <cfRule type="containsText" dxfId="1840" priority="1104" operator="containsText" text="DESCANSO">
      <formula>NOT(ISERROR(SEARCH("DESCANSO",AN43)))</formula>
    </cfRule>
    <cfRule type="containsText" dxfId="1839" priority="1103" operator="containsText" text="ATESTADO">
      <formula>NOT(ISERROR(SEARCH("ATESTADO",AN43)))</formula>
    </cfRule>
    <cfRule type="containsText" dxfId="1838" priority="1100" operator="containsText" text="DOMINGO">
      <formula>NOT(ISERROR(SEARCH("DOMINGO",AN43)))</formula>
    </cfRule>
    <cfRule type="containsText" dxfId="1837" priority="1101" operator="containsText" text="SÁBADO">
      <formula>NOT(ISERROR(SEARCH("SÁBADO",AN43)))</formula>
    </cfRule>
  </conditionalFormatting>
  <conditionalFormatting sqref="AN45:AN47">
    <cfRule type="containsText" dxfId="1836" priority="1086" operator="containsText" text="DESCANSO">
      <formula>NOT(ISERROR(SEARCH("DESCANSO",AN45)))</formula>
    </cfRule>
    <cfRule type="containsText" dxfId="1835" priority="1087" operator="containsText" text="FALTOU">
      <formula>NOT(ISERROR(SEARCH("FALTOU",AN45)))</formula>
    </cfRule>
    <cfRule type="containsText" dxfId="1834" priority="1085" operator="containsText" text="ATESTADO">
      <formula>NOT(ISERROR(SEARCH("ATESTADO",AN45)))</formula>
    </cfRule>
    <cfRule type="containsText" dxfId="1833" priority="1084" operator="containsText" text="FERIADO">
      <formula>NOT(ISERROR(SEARCH("FERIADO",AN45)))</formula>
    </cfRule>
    <cfRule type="containsText" dxfId="1832" priority="1082" operator="containsText" text="DOMINGO">
      <formula>NOT(ISERROR(SEARCH("DOMINGO",AN45)))</formula>
    </cfRule>
    <cfRule type="containsText" dxfId="1831" priority="1083" operator="containsText" text="SÁBADO">
      <formula>NOT(ISERROR(SEARCH("SÁBADO",AN45)))</formula>
    </cfRule>
  </conditionalFormatting>
  <conditionalFormatting sqref="AN52">
    <cfRule type="containsText" dxfId="1830" priority="1068" operator="containsText" text="DESCANSO">
      <formula>NOT(ISERROR(SEARCH("DESCANSO",AN52)))</formula>
    </cfRule>
    <cfRule type="containsText" dxfId="1829" priority="1067" operator="containsText" text="ATESTADO">
      <formula>NOT(ISERROR(SEARCH("ATESTADO",AN52)))</formula>
    </cfRule>
    <cfRule type="containsText" dxfId="1828" priority="1069" operator="containsText" text="FALTOU">
      <formula>NOT(ISERROR(SEARCH("FALTOU",AN52)))</formula>
    </cfRule>
    <cfRule type="containsText" dxfId="1827" priority="1066" operator="containsText" text="FERIADO">
      <formula>NOT(ISERROR(SEARCH("FERIADO",AN52)))</formula>
    </cfRule>
  </conditionalFormatting>
  <conditionalFormatting sqref="AN52:AN54">
    <cfRule type="containsText" dxfId="1826" priority="992" operator="containsText" text="DOMINGO">
      <formula>NOT(ISERROR(SEARCH("DOMINGO",AN52)))</formula>
    </cfRule>
    <cfRule type="containsText" dxfId="1825" priority="993" operator="containsText" text="SÁBADO">
      <formula>NOT(ISERROR(SEARCH("SÁBADO",AN52)))</formula>
    </cfRule>
  </conditionalFormatting>
  <conditionalFormatting sqref="AN53">
    <cfRule type="containsText" dxfId="1824" priority="1006" operator="containsText" text="FERIADO">
      <formula>NOT(ISERROR(SEARCH("FERIADO",AN53)))</formula>
    </cfRule>
    <cfRule type="containsText" dxfId="1823" priority="1007" operator="containsText" text="ATESTADO">
      <formula>NOT(ISERROR(SEARCH("ATESTADO",AN53)))</formula>
    </cfRule>
    <cfRule type="containsText" dxfId="1822" priority="1008" operator="containsText" text="DESCANSO">
      <formula>NOT(ISERROR(SEARCH("DESCANSO",AN53)))</formula>
    </cfRule>
    <cfRule type="containsText" dxfId="1821" priority="1009" operator="containsText" text="FALTOU">
      <formula>NOT(ISERROR(SEARCH("FALTOU",AN53)))</formula>
    </cfRule>
  </conditionalFormatting>
  <conditionalFormatting sqref="AN54">
    <cfRule type="containsText" dxfId="1820" priority="994" operator="containsText" text="FERIADO">
      <formula>NOT(ISERROR(SEARCH("FERIADO",AN54)))</formula>
    </cfRule>
    <cfRule type="containsText" dxfId="1819" priority="996" operator="containsText" text="DESCANSO">
      <formula>NOT(ISERROR(SEARCH("DESCANSO",AN54)))</formula>
    </cfRule>
    <cfRule type="containsText" dxfId="1818" priority="997" operator="containsText" text="FALTOU">
      <formula>NOT(ISERROR(SEARCH("FALTOU",AN54)))</formula>
    </cfRule>
    <cfRule type="containsText" dxfId="1817" priority="995" operator="containsText" text="ATESTADO">
      <formula>NOT(ISERROR(SEARCH("ATESTADO",AN54)))</formula>
    </cfRule>
  </conditionalFormatting>
  <conditionalFormatting sqref="AO37:AO40">
    <cfRule type="containsText" dxfId="1816" priority="2342" operator="containsText" text="FERIADO">
      <formula>NOT(ISERROR(SEARCH("FERIADO",AO37)))</formula>
    </cfRule>
    <cfRule type="containsText" dxfId="1815" priority="2341" operator="containsText" text="SÁBADO">
      <formula>NOT(ISERROR(SEARCH("SÁBADO",AO37)))</formula>
    </cfRule>
    <cfRule type="containsText" dxfId="1814" priority="2340" operator="containsText" text="DOMINGO">
      <formula>NOT(ISERROR(SEARCH("DOMINGO",AO37)))</formula>
    </cfRule>
    <cfRule type="containsText" dxfId="1813" priority="2344" operator="containsText" text="DESCANSO">
      <formula>NOT(ISERROR(SEARCH("DESCANSO",AO37)))</formula>
    </cfRule>
    <cfRule type="containsText" dxfId="1812" priority="2345" operator="containsText" text="FALTOU">
      <formula>NOT(ISERROR(SEARCH("FALTOU",AO37)))</formula>
    </cfRule>
    <cfRule type="containsText" dxfId="1811" priority="2343" operator="containsText" text="ATESTADO">
      <formula>NOT(ISERROR(SEARCH("ATESTADO",AO37)))</formula>
    </cfRule>
  </conditionalFormatting>
  <conditionalFormatting sqref="AO43">
    <cfRule type="containsText" dxfId="1810" priority="1099" operator="containsText" text="FALTOU">
      <formula>NOT(ISERROR(SEARCH("FALTOU",AO43)))</formula>
    </cfRule>
    <cfRule type="containsText" dxfId="1809" priority="1098" operator="containsText" text="DESCANSO">
      <formula>NOT(ISERROR(SEARCH("DESCANSO",AO43)))</formula>
    </cfRule>
    <cfRule type="containsText" dxfId="1808" priority="1097" operator="containsText" text="ATESTADO">
      <formula>NOT(ISERROR(SEARCH("ATESTADO",AO43)))</formula>
    </cfRule>
    <cfRule type="containsText" dxfId="1807" priority="1096" operator="containsText" text="FERIADO">
      <formula>NOT(ISERROR(SEARCH("FERIADO",AO43)))</formula>
    </cfRule>
    <cfRule type="containsText" dxfId="1806" priority="1095" operator="containsText" text="SÁBADO">
      <formula>NOT(ISERROR(SEARCH("SÁBADO",AO43)))</formula>
    </cfRule>
    <cfRule type="containsText" dxfId="1805" priority="1094" operator="containsText" text="DOMINGO">
      <formula>NOT(ISERROR(SEARCH("DOMINGO",AO43)))</formula>
    </cfRule>
  </conditionalFormatting>
  <conditionalFormatting sqref="AO45:AO47">
    <cfRule type="containsText" dxfId="1804" priority="1076" operator="containsText" text="DOMINGO">
      <formula>NOT(ISERROR(SEARCH("DOMINGO",AO45)))</formula>
    </cfRule>
    <cfRule type="containsText" dxfId="1803" priority="1078" operator="containsText" text="FERIADO">
      <formula>NOT(ISERROR(SEARCH("FERIADO",AO45)))</formula>
    </cfRule>
    <cfRule type="containsText" dxfId="1802" priority="1081" operator="containsText" text="FALTOU">
      <formula>NOT(ISERROR(SEARCH("FALTOU",AO45)))</formula>
    </cfRule>
    <cfRule type="containsText" dxfId="1801" priority="1080" operator="containsText" text="DESCANSO">
      <formula>NOT(ISERROR(SEARCH("DESCANSO",AO45)))</formula>
    </cfRule>
    <cfRule type="containsText" dxfId="1800" priority="1079" operator="containsText" text="ATESTADO">
      <formula>NOT(ISERROR(SEARCH("ATESTADO",AO45)))</formula>
    </cfRule>
    <cfRule type="containsText" dxfId="1799" priority="1077" operator="containsText" text="SÁBADO">
      <formula>NOT(ISERROR(SEARCH("SÁBADO",AO45)))</formula>
    </cfRule>
  </conditionalFormatting>
  <conditionalFormatting sqref="AO52:AO54">
    <cfRule type="containsText" dxfId="1798" priority="1058" operator="containsText" text="DOMINGO">
      <formula>NOT(ISERROR(SEARCH("DOMINGO",AO52)))</formula>
    </cfRule>
    <cfRule type="containsText" dxfId="1797" priority="1059" operator="containsText" text="SÁBADO">
      <formula>NOT(ISERROR(SEARCH("SÁBADO",AO52)))</formula>
    </cfRule>
    <cfRule type="containsText" dxfId="1796" priority="1060" operator="containsText" text="FERIADO">
      <formula>NOT(ISERROR(SEARCH("FERIADO",AO52)))</formula>
    </cfRule>
    <cfRule type="containsText" dxfId="1795" priority="1061" operator="containsText" text="ATESTADO">
      <formula>NOT(ISERROR(SEARCH("ATESTADO",AO52)))</formula>
    </cfRule>
    <cfRule type="containsText" dxfId="1794" priority="1062" operator="containsText" text="DESCANSO">
      <formula>NOT(ISERROR(SEARCH("DESCANSO",AO52)))</formula>
    </cfRule>
    <cfRule type="containsText" dxfId="1793" priority="1063" operator="containsText" text="FALTOU">
      <formula>NOT(ISERROR(SEARCH("FALTOU",AO52)))</formula>
    </cfRule>
  </conditionalFormatting>
  <conditionalFormatting sqref="AO57:AO61">
    <cfRule type="containsText" dxfId="1792" priority="987" operator="containsText" text="FALTOU">
      <formula>NOT(ISERROR(SEARCH("FALTOU",AO57)))</formula>
    </cfRule>
    <cfRule type="containsText" dxfId="1791" priority="986" operator="containsText" text="DESCANSO">
      <formula>NOT(ISERROR(SEARCH("DESCANSO",AO57)))</formula>
    </cfRule>
    <cfRule type="containsText" dxfId="1790" priority="985" operator="containsText" text="ATESTADO">
      <formula>NOT(ISERROR(SEARCH("ATESTADO",AO57)))</formula>
    </cfRule>
    <cfRule type="containsText" dxfId="1789" priority="984" operator="containsText" text="FERIADO">
      <formula>NOT(ISERROR(SEARCH("FERIADO",AO57)))</formula>
    </cfRule>
    <cfRule type="containsText" dxfId="1788" priority="983" operator="containsText" text="SÁBADO">
      <formula>NOT(ISERROR(SEARCH("SÁBADO",AO57)))</formula>
    </cfRule>
    <cfRule type="containsText" dxfId="1787" priority="982" operator="containsText" text="DOMINGO">
      <formula>NOT(ISERROR(SEARCH("DOMINGO",AO57)))</formula>
    </cfRule>
  </conditionalFormatting>
  <conditionalFormatting sqref="AO64:AO68">
    <cfRule type="containsText" dxfId="1786" priority="945" operator="containsText" text="FALTOU">
      <formula>NOT(ISERROR(SEARCH("FALTOU",AO64)))</formula>
    </cfRule>
    <cfRule type="containsText" dxfId="1785" priority="944" operator="containsText" text="DESCANSO">
      <formula>NOT(ISERROR(SEARCH("DESCANSO",AO64)))</formula>
    </cfRule>
    <cfRule type="containsText" dxfId="1784" priority="943" operator="containsText" text="ATESTADO">
      <formula>NOT(ISERROR(SEARCH("ATESTADO",AO64)))</formula>
    </cfRule>
    <cfRule type="containsText" dxfId="1783" priority="942" operator="containsText" text="FERIADO">
      <formula>NOT(ISERROR(SEARCH("FERIADO",AO64)))</formula>
    </cfRule>
    <cfRule type="containsText" dxfId="1782" priority="941" operator="containsText" text="SÁBADO">
      <formula>NOT(ISERROR(SEARCH("SÁBADO",AO64)))</formula>
    </cfRule>
    <cfRule type="containsText" dxfId="1781" priority="940" operator="containsText" text="DOMINGO">
      <formula>NOT(ISERROR(SEARCH("DOMINGO",AO64)))</formula>
    </cfRule>
  </conditionalFormatting>
  <conditionalFormatting sqref="AO71:AO75">
    <cfRule type="containsText" dxfId="1780" priority="933" operator="containsText" text="FALTOU">
      <formula>NOT(ISERROR(SEARCH("FALTOU",AO71)))</formula>
    </cfRule>
    <cfRule type="containsText" dxfId="1779" priority="929" operator="containsText" text="SÁBADO">
      <formula>NOT(ISERROR(SEARCH("SÁBADO",AO71)))</formula>
    </cfRule>
    <cfRule type="containsText" dxfId="1778" priority="931" operator="containsText" text="ATESTADO">
      <formula>NOT(ISERROR(SEARCH("ATESTADO",AO71)))</formula>
    </cfRule>
    <cfRule type="containsText" dxfId="1777" priority="930" operator="containsText" text="FERIADO">
      <formula>NOT(ISERROR(SEARCH("FERIADO",AO71)))</formula>
    </cfRule>
    <cfRule type="containsText" dxfId="1776" priority="932" operator="containsText" text="DESCANSO">
      <formula>NOT(ISERROR(SEARCH("DESCANSO",AO71)))</formula>
    </cfRule>
    <cfRule type="containsText" dxfId="1775" priority="928" operator="containsText" text="DOMINGO">
      <formula>NOT(ISERROR(SEARCH("DOMINGO",AO71)))</formula>
    </cfRule>
  </conditionalFormatting>
  <conditionalFormatting sqref="AO78:AO82">
    <cfRule type="containsText" dxfId="1774" priority="113" operator="containsText" text="DESCANSO">
      <formula>NOT(ISERROR(SEARCH("DESCANSO",AO78)))</formula>
    </cfRule>
    <cfRule type="containsText" dxfId="1773" priority="114" operator="containsText" text="FALTOU">
      <formula>NOT(ISERROR(SEARCH("FALTOU",AO78)))</formula>
    </cfRule>
    <cfRule type="containsText" dxfId="1772" priority="112" operator="containsText" text="ATESTADO">
      <formula>NOT(ISERROR(SEARCH("ATESTADO",AO78)))</formula>
    </cfRule>
    <cfRule type="containsText" dxfId="1771" priority="111" operator="containsText" text="FERIADO">
      <formula>NOT(ISERROR(SEARCH("FERIADO",AO78)))</formula>
    </cfRule>
    <cfRule type="containsText" dxfId="1770" priority="110" operator="containsText" text="SÁBADO">
      <formula>NOT(ISERROR(SEARCH("SÁBADO",AO78)))</formula>
    </cfRule>
    <cfRule type="containsText" dxfId="1769" priority="109" operator="containsText" text="DOMINGO">
      <formula>NOT(ISERROR(SEARCH("DOMINGO",AO78)))</formula>
    </cfRule>
  </conditionalFormatting>
  <conditionalFormatting sqref="AO85:AO89">
    <cfRule type="containsText" dxfId="1768" priority="106" operator="containsText" text="ATESTADO">
      <formula>NOT(ISERROR(SEARCH("ATESTADO",AO85)))</formula>
    </cfRule>
    <cfRule type="containsText" dxfId="1767" priority="108" operator="containsText" text="FALTOU">
      <formula>NOT(ISERROR(SEARCH("FALTOU",AO85)))</formula>
    </cfRule>
    <cfRule type="containsText" dxfId="1766" priority="104" operator="containsText" text="SÁBADO">
      <formula>NOT(ISERROR(SEARCH("SÁBADO",AO85)))</formula>
    </cfRule>
    <cfRule type="containsText" dxfId="1765" priority="105" operator="containsText" text="FERIADO">
      <formula>NOT(ISERROR(SEARCH("FERIADO",AO85)))</formula>
    </cfRule>
    <cfRule type="containsText" dxfId="1764" priority="103" operator="containsText" text="DOMINGO">
      <formula>NOT(ISERROR(SEARCH("DOMINGO",AO85)))</formula>
    </cfRule>
    <cfRule type="containsText" dxfId="1763" priority="107" operator="containsText" text="DESCANSO">
      <formula>NOT(ISERROR(SEARCH("DESCANSO",AO85)))</formula>
    </cfRule>
  </conditionalFormatting>
  <conditionalFormatting sqref="AQ1:AY1 A1:AP33 BK1:BK33 BR1:BR33 AQ2:BJ33 BL2:BQ33 BS2:BX33 BC37:BM37 N37:W39 AB37:AD39 AP37:AR40 BR37:BX40 A37:B368 H37:I368 O37:P368 AC37:AD368 AJ37:AK368 BB38:BM39 AI39:AK39 C40:D40 N40:Y40 AB40:AF40 AI40:AM40 AW40:BO40 BE41:BX1048576 AQ45:AR45 C314 C369:N375 A369:F1048576 H369:M1048576 G376:G1048576 N376:N1048576">
    <cfRule type="containsText" dxfId="1762" priority="2716" operator="containsText" text="DESCANSO">
      <formula>NOT(ISERROR(SEARCH("DESCANSO",A1)))</formula>
    </cfRule>
  </conditionalFormatting>
  <conditionalFormatting sqref="AQ1:AY1 A1:AP33 BK1:BK33 BR1:BR33 AQ2:BJ33 BL2:BQ33 BS2:BX33 BC37:BM37 AH37:AK38 N37:W39 AB37:AD39 G37:I40 AP37:AR40 BR37:BX40 A37:B368 H37:I368 O37:P368 AC37:AD368 AJ37:AK368 BB38:BM39 AI39:AK39 C40:D40 N40:Y40 AB40:AF40 AI40:AM40 AW40:BO40 BE41:BX1048576 AQ45:AR45 C314 C369:N375 A369:F1048576 H369:M1048576 G376:G1048576 N376:N1048576">
    <cfRule type="containsText" dxfId="1761" priority="2717" operator="containsText" text="FALTOU">
      <formula>NOT(ISERROR(SEARCH("FALTOU",A1)))</formula>
    </cfRule>
  </conditionalFormatting>
  <conditionalFormatting sqref="AS54">
    <cfRule type="containsText" dxfId="1760" priority="981" operator="containsText" text="FALTOU">
      <formula>NOT(ISERROR(SEARCH("FALTOU",AS54)))</formula>
    </cfRule>
    <cfRule type="containsText" dxfId="1759" priority="980" operator="containsText" text="DESCANSO">
      <formula>NOT(ISERROR(SEARCH("DESCANSO",AS54)))</formula>
    </cfRule>
    <cfRule type="containsText" dxfId="1758" priority="979" operator="containsText" text="ATESTADO">
      <formula>NOT(ISERROR(SEARCH("ATESTADO",AS54)))</formula>
    </cfRule>
    <cfRule type="containsText" dxfId="1757" priority="978" operator="containsText" text="FERIADO">
      <formula>NOT(ISERROR(SEARCH("FERIADO",AS54)))</formula>
    </cfRule>
    <cfRule type="containsText" dxfId="1756" priority="977" operator="containsText" text="SÁBADO">
      <formula>NOT(ISERROR(SEARCH("SÁBADO",AS54)))</formula>
    </cfRule>
    <cfRule type="containsText" dxfId="1755" priority="976" operator="containsText" text="DOMINGO">
      <formula>NOT(ISERROR(SEARCH("DOMINGO",AS54)))</formula>
    </cfRule>
  </conditionalFormatting>
  <conditionalFormatting sqref="AS40:AT40">
    <cfRule type="containsText" dxfId="1754" priority="1814" operator="containsText" text="SÁBADO">
      <formula>NOT(ISERROR(SEARCH("SÁBADO",AS40)))</formula>
    </cfRule>
    <cfRule type="containsText" dxfId="1753" priority="1818" operator="containsText" text="FALTOU">
      <formula>NOT(ISERROR(SEARCH("FALTOU",AS40)))</formula>
    </cfRule>
    <cfRule type="containsText" dxfId="1752" priority="1817" operator="containsText" text="DESCANSO">
      <formula>NOT(ISERROR(SEARCH("DESCANSO",AS40)))</formula>
    </cfRule>
    <cfRule type="containsText" dxfId="1751" priority="1816" operator="containsText" text="ATESTADO">
      <formula>NOT(ISERROR(SEARCH("ATESTADO",AS40)))</formula>
    </cfRule>
    <cfRule type="containsText" dxfId="1750" priority="1815" operator="containsText" text="FERIADO">
      <formula>NOT(ISERROR(SEARCH("FERIADO",AS40)))</formula>
    </cfRule>
    <cfRule type="containsText" dxfId="1749" priority="1813" operator="containsText" text="DOMINGO">
      <formula>NOT(ISERROR(SEARCH("DOMINGO",AS40)))</formula>
    </cfRule>
  </conditionalFormatting>
  <conditionalFormatting sqref="AS45:AT45">
    <cfRule type="containsText" dxfId="1748" priority="1810" operator="containsText" text="ATESTADO">
      <formula>NOT(ISERROR(SEARCH("ATESTADO",AS45)))</formula>
    </cfRule>
    <cfRule type="containsText" dxfId="1747" priority="1809" operator="containsText" text="FERIADO">
      <formula>NOT(ISERROR(SEARCH("FERIADO",AS45)))</formula>
    </cfRule>
    <cfRule type="containsText" dxfId="1746" priority="1812" operator="containsText" text="FALTOU">
      <formula>NOT(ISERROR(SEARCH("FALTOU",AS45)))</formula>
    </cfRule>
    <cfRule type="containsText" dxfId="1745" priority="1811" operator="containsText" text="DESCANSO">
      <formula>NOT(ISERROR(SEARCH("DESCANSO",AS45)))</formula>
    </cfRule>
  </conditionalFormatting>
  <conditionalFormatting sqref="AS45:AT46">
    <cfRule type="containsText" dxfId="1744" priority="1047" operator="containsText" text="SÁBADO">
      <formula>NOT(ISERROR(SEARCH("SÁBADO",AS45)))</formula>
    </cfRule>
    <cfRule type="containsText" dxfId="1743" priority="1046" operator="containsText" text="DOMINGO">
      <formula>NOT(ISERROR(SEARCH("DOMINGO",AS45)))</formula>
    </cfRule>
  </conditionalFormatting>
  <conditionalFormatting sqref="AS46:AT46">
    <cfRule type="containsText" dxfId="1742" priority="1049" operator="containsText" text="ATESTADO">
      <formula>NOT(ISERROR(SEARCH("ATESTADO",AS46)))</formula>
    </cfRule>
    <cfRule type="containsText" dxfId="1741" priority="1050" operator="containsText" text="DESCANSO">
      <formula>NOT(ISERROR(SEARCH("DESCANSO",AS46)))</formula>
    </cfRule>
    <cfRule type="containsText" dxfId="1740" priority="1051" operator="containsText" text="FALTOU">
      <formula>NOT(ISERROR(SEARCH("FALTOU",AS46)))</formula>
    </cfRule>
    <cfRule type="containsText" dxfId="1739" priority="1048" operator="containsText" text="FERIADO">
      <formula>NOT(ISERROR(SEARCH("FERIADO",AS46)))</formula>
    </cfRule>
  </conditionalFormatting>
  <conditionalFormatting sqref="AS50:AT50">
    <cfRule type="containsText" dxfId="1738" priority="1037" operator="containsText" text="ATESTADO">
      <formula>NOT(ISERROR(SEARCH("ATESTADO",AS50)))</formula>
    </cfRule>
    <cfRule type="containsText" dxfId="1737" priority="1036" operator="containsText" text="FERIADO">
      <formula>NOT(ISERROR(SEARCH("FERIADO",AS50)))</formula>
    </cfRule>
    <cfRule type="containsText" dxfId="1736" priority="1034" operator="containsText" text="DOMINGO">
      <formula>NOT(ISERROR(SEARCH("DOMINGO",AS50)))</formula>
    </cfRule>
    <cfRule type="containsText" dxfId="1735" priority="1039" operator="containsText" text="FALTOU">
      <formula>NOT(ISERROR(SEARCH("FALTOU",AS50)))</formula>
    </cfRule>
    <cfRule type="containsText" dxfId="1734" priority="1038" operator="containsText" text="DESCANSO">
      <formula>NOT(ISERROR(SEARCH("DESCANSO",AS50)))</formula>
    </cfRule>
    <cfRule type="containsText" dxfId="1733" priority="1035" operator="containsText" text="SÁBADO">
      <formula>NOT(ISERROR(SEARCH("SÁBADO",AS50)))</formula>
    </cfRule>
  </conditionalFormatting>
  <conditionalFormatting sqref="AS52:AT52">
    <cfRule type="containsText" dxfId="1732" priority="1025" operator="containsText" text="ATESTADO">
      <formula>NOT(ISERROR(SEARCH("ATESTADO",AS52)))</formula>
    </cfRule>
    <cfRule type="containsText" dxfId="1731" priority="1024" operator="containsText" text="FERIADO">
      <formula>NOT(ISERROR(SEARCH("FERIADO",AS52)))</formula>
    </cfRule>
    <cfRule type="containsText" dxfId="1730" priority="1023" operator="containsText" text="SÁBADO">
      <formula>NOT(ISERROR(SEARCH("SÁBADO",AS52)))</formula>
    </cfRule>
    <cfRule type="containsText" dxfId="1729" priority="1022" operator="containsText" text="DOMINGO">
      <formula>NOT(ISERROR(SEARCH("DOMINGO",AS52)))</formula>
    </cfRule>
    <cfRule type="containsText" dxfId="1728" priority="1027" operator="containsText" text="FALTOU">
      <formula>NOT(ISERROR(SEARCH("FALTOU",AS52)))</formula>
    </cfRule>
    <cfRule type="containsText" dxfId="1727" priority="1026" operator="containsText" text="DESCANSO">
      <formula>NOT(ISERROR(SEARCH("DESCANSO",AS52)))</formula>
    </cfRule>
  </conditionalFormatting>
  <conditionalFormatting sqref="AS34:AU34">
    <cfRule type="containsText" dxfId="1726" priority="2427" operator="containsText" text="ATESTADO">
      <formula>NOT(ISERROR(SEARCH("ATESTADO",AS34)))</formula>
    </cfRule>
    <cfRule type="containsText" dxfId="1725" priority="2426" operator="containsText" text="FERIADO">
      <formula>NOT(ISERROR(SEARCH("FERIADO",AS34)))</formula>
    </cfRule>
    <cfRule type="containsText" dxfId="1724" priority="2425" operator="containsText" text="SÁBADO">
      <formula>NOT(ISERROR(SEARCH("SÁBADO",AS34)))</formula>
    </cfRule>
    <cfRule type="containsText" dxfId="1723" priority="2424" operator="containsText" text="DOMINGO">
      <formula>NOT(ISERROR(SEARCH("DOMINGO",AS34)))</formula>
    </cfRule>
    <cfRule type="containsText" dxfId="1722" priority="2428" operator="containsText" text="DESCANSO">
      <formula>NOT(ISERROR(SEARCH("DESCANSO",AS34)))</formula>
    </cfRule>
    <cfRule type="containsText" dxfId="1721" priority="2429" operator="containsText" text="FALTOU">
      <formula>NOT(ISERROR(SEARCH("FALTOU",AS34)))</formula>
    </cfRule>
  </conditionalFormatting>
  <conditionalFormatting sqref="AS36:AU37">
    <cfRule type="containsText" dxfId="1720" priority="2273" operator="containsText" text="FALTOU">
      <formula>NOT(ISERROR(SEARCH("FALTOU",AS36)))</formula>
    </cfRule>
  </conditionalFormatting>
  <conditionalFormatting sqref="AS36:AU39">
    <cfRule type="containsText" dxfId="1719" priority="1925" operator="containsText" text="DESCANSO">
      <formula>NOT(ISERROR(SEARCH("DESCANSO",AS36)))</formula>
    </cfRule>
    <cfRule type="containsText" dxfId="1718" priority="1924" operator="containsText" text="ATESTADO">
      <formula>NOT(ISERROR(SEARCH("ATESTADO",AS36)))</formula>
    </cfRule>
    <cfRule type="containsText" dxfId="1717" priority="1923" operator="containsText" text="FERIADO">
      <formula>NOT(ISERROR(SEARCH("FERIADO",AS36)))</formula>
    </cfRule>
    <cfRule type="containsText" dxfId="1716" priority="1922" operator="containsText" text="SÁBADO">
      <formula>NOT(ISERROR(SEARCH("SÁBADO",AS36)))</formula>
    </cfRule>
    <cfRule type="containsText" dxfId="1715" priority="1921" operator="containsText" text="DOMINGO">
      <formula>NOT(ISERROR(SEARCH("DOMINGO",AS36)))</formula>
    </cfRule>
  </conditionalFormatting>
  <conditionalFormatting sqref="AS38:AU38">
    <cfRule type="containsText" dxfId="1714" priority="1992" operator="containsText" text="FALTOU">
      <formula>NOT(ISERROR(SEARCH("FALTOU",AS38)))</formula>
    </cfRule>
  </conditionalFormatting>
  <conditionalFormatting sqref="AS39:AU39">
    <cfRule type="containsText" dxfId="1713" priority="1926" operator="containsText" text="FALTOU">
      <formula>NOT(ISERROR(SEARCH("FALTOU",AS39)))</formula>
    </cfRule>
  </conditionalFormatting>
  <conditionalFormatting sqref="AS322:AV322">
    <cfRule type="containsText" dxfId="1712" priority="2709" operator="containsText" text="DESCANSO">
      <formula>NOT(ISERROR(SEARCH("DESCANSO",AS322)))</formula>
    </cfRule>
    <cfRule type="containsText" dxfId="1711" priority="2710" operator="containsText" text="FALTOU">
      <formula>NOT(ISERROR(SEARCH("FALTOU",AS322)))</formula>
    </cfRule>
  </conditionalFormatting>
  <conditionalFormatting sqref="AT314:AV314">
    <cfRule type="containsText" dxfId="1710" priority="2639" operator="containsText" text="FALTOU">
      <formula>NOT(ISERROR(SEARCH("FALTOU",AT314)))</formula>
    </cfRule>
    <cfRule type="containsText" dxfId="1709" priority="2663" operator="containsText" text="DESCANSO">
      <formula>NOT(ISERROR(SEARCH("DESCANSO",AT314)))</formula>
    </cfRule>
    <cfRule type="containsText" dxfId="1708" priority="2638" operator="containsText" text="DESCANSO">
      <formula>NOT(ISERROR(SEARCH("DESCANSO",AT314)))</formula>
    </cfRule>
    <cfRule type="containsText" dxfId="1707" priority="2664" operator="containsText" text="FALTOU">
      <formula>NOT(ISERROR(SEARCH("FALTOU",AT314)))</formula>
    </cfRule>
  </conditionalFormatting>
  <conditionalFormatting sqref="AU40">
    <cfRule type="containsText" dxfId="1706" priority="1855" operator="containsText" text="DOMINGO">
      <formula>NOT(ISERROR(SEARCH("DOMINGO",AU40)))</formula>
    </cfRule>
    <cfRule type="containsText" dxfId="1705" priority="1858" operator="containsText" text="ATESTADO">
      <formula>NOT(ISERROR(SEARCH("ATESTADO",AU40)))</formula>
    </cfRule>
    <cfRule type="containsText" dxfId="1704" priority="1860" operator="containsText" text="FALTOU">
      <formula>NOT(ISERROR(SEARCH("FALTOU",AU40)))</formula>
    </cfRule>
    <cfRule type="containsText" dxfId="1703" priority="1859" operator="containsText" text="DESCANSO">
      <formula>NOT(ISERROR(SEARCH("DESCANSO",AU40)))</formula>
    </cfRule>
    <cfRule type="containsText" dxfId="1702" priority="1857" operator="containsText" text="FERIADO">
      <formula>NOT(ISERROR(SEARCH("FERIADO",AU40)))</formula>
    </cfRule>
    <cfRule type="containsText" dxfId="1701" priority="1856" operator="containsText" text="SÁBADO">
      <formula>NOT(ISERROR(SEARCH("SÁBADO",AU40)))</formula>
    </cfRule>
  </conditionalFormatting>
  <conditionalFormatting sqref="AU50">
    <cfRule type="containsText" dxfId="1700" priority="1043" operator="containsText" text="DESCANSO">
      <formula>NOT(ISERROR(SEARCH("DESCANSO",AU50)))</formula>
    </cfRule>
    <cfRule type="containsText" dxfId="1699" priority="1040" operator="containsText" text="DOMINGO">
      <formula>NOT(ISERROR(SEARCH("DOMINGO",AU50)))</formula>
    </cfRule>
    <cfRule type="containsText" dxfId="1698" priority="1041" operator="containsText" text="SÁBADO">
      <formula>NOT(ISERROR(SEARCH("SÁBADO",AU50)))</formula>
    </cfRule>
    <cfRule type="containsText" dxfId="1697" priority="1042" operator="containsText" text="FERIADO">
      <formula>NOT(ISERROR(SEARCH("FERIADO",AU50)))</formula>
    </cfRule>
    <cfRule type="containsText" dxfId="1696" priority="1044" operator="containsText" text="FALTOU">
      <formula>NOT(ISERROR(SEARCH("FALTOU",AU50)))</formula>
    </cfRule>
    <cfRule type="containsText" dxfId="1695" priority="1045" operator="containsText" text="ATESTADO">
      <formula>NOT(ISERROR(SEARCH("ATESTADO",AU50)))</formula>
    </cfRule>
  </conditionalFormatting>
  <conditionalFormatting sqref="AU52:AU54">
    <cfRule type="containsText" dxfId="1694" priority="1031" operator="containsText" text="DESCANSO">
      <formula>NOT(ISERROR(SEARCH("DESCANSO",AU52)))</formula>
    </cfRule>
    <cfRule type="containsText" dxfId="1693" priority="1032" operator="containsText" text="FALTOU">
      <formula>NOT(ISERROR(SEARCH("FALTOU",AU52)))</formula>
    </cfRule>
    <cfRule type="containsText" dxfId="1692" priority="1033" operator="containsText" text="ATESTADO">
      <formula>NOT(ISERROR(SEARCH("ATESTADO",AU52)))</formula>
    </cfRule>
    <cfRule type="containsText" dxfId="1691" priority="1028" operator="containsText" text="DOMINGO">
      <formula>NOT(ISERROR(SEARCH("DOMINGO",AU52)))</formula>
    </cfRule>
    <cfRule type="containsText" dxfId="1690" priority="1029" operator="containsText" text="SÁBADO">
      <formula>NOT(ISERROR(SEARCH("SÁBADO",AU52)))</formula>
    </cfRule>
    <cfRule type="containsText" dxfId="1689" priority="1030" operator="containsText" text="FERIADO">
      <formula>NOT(ISERROR(SEARCH("FERIADO",AU52)))</formula>
    </cfRule>
  </conditionalFormatting>
  <conditionalFormatting sqref="AU57:AU61">
    <cfRule type="containsText" dxfId="1688" priority="975" operator="containsText" text="ATESTADO">
      <formula>NOT(ISERROR(SEARCH("ATESTADO",AU57)))</formula>
    </cfRule>
    <cfRule type="containsText" dxfId="1687" priority="972" operator="containsText" text="FERIADO">
      <formula>NOT(ISERROR(SEARCH("FERIADO",AU57)))</formula>
    </cfRule>
    <cfRule type="containsText" dxfId="1686" priority="971" operator="containsText" text="SÁBADO">
      <formula>NOT(ISERROR(SEARCH("SÁBADO",AU57)))</formula>
    </cfRule>
    <cfRule type="containsText" dxfId="1685" priority="970" operator="containsText" text="DOMINGO">
      <formula>NOT(ISERROR(SEARCH("DOMINGO",AU57)))</formula>
    </cfRule>
    <cfRule type="containsText" dxfId="1684" priority="973" operator="containsText" text="DESCANSO">
      <formula>NOT(ISERROR(SEARCH("DESCANSO",AU57)))</formula>
    </cfRule>
    <cfRule type="containsText" dxfId="1683" priority="974" operator="containsText" text="FALTOU">
      <formula>NOT(ISERROR(SEARCH("FALTOU",AU57)))</formula>
    </cfRule>
  </conditionalFormatting>
  <conditionalFormatting sqref="AU46:AV46">
    <cfRule type="containsText" dxfId="1682" priority="1052" operator="containsText" text="DOMINGO">
      <formula>NOT(ISERROR(SEARCH("DOMINGO",AU46)))</formula>
    </cfRule>
    <cfRule type="containsText" dxfId="1681" priority="1053" operator="containsText" text="SÁBADO">
      <formula>NOT(ISERROR(SEARCH("SÁBADO",AU46)))</formula>
    </cfRule>
    <cfRule type="containsText" dxfId="1680" priority="1054" operator="containsText" text="FERIADO">
      <formula>NOT(ISERROR(SEARCH("FERIADO",AU46)))</formula>
    </cfRule>
    <cfRule type="containsText" dxfId="1679" priority="1056" operator="containsText" text="FALTOU">
      <formula>NOT(ISERROR(SEARCH("FALTOU",AU46)))</formula>
    </cfRule>
    <cfRule type="containsText" dxfId="1678" priority="1057" operator="containsText" text="ATESTADO">
      <formula>NOT(ISERROR(SEARCH("ATESTADO",AU46)))</formula>
    </cfRule>
    <cfRule type="containsText" dxfId="1677" priority="1055" operator="containsText" text="DESCANSO">
      <formula>NOT(ISERROR(SEARCH("DESCANSO",AU46)))</formula>
    </cfRule>
  </conditionalFormatting>
  <conditionalFormatting sqref="AV36:AV37">
    <cfRule type="containsText" dxfId="1676" priority="2279" operator="containsText" text="FALTOU">
      <formula>NOT(ISERROR(SEARCH("FALTOU",AV36)))</formula>
    </cfRule>
  </conditionalFormatting>
  <conditionalFormatting sqref="AV36:AV40">
    <cfRule type="containsText" dxfId="1675" priority="1850" operator="containsText" text="SÁBADO">
      <formula>NOT(ISERROR(SEARCH("SÁBADO",AV36)))</formula>
    </cfRule>
    <cfRule type="containsText" dxfId="1674" priority="1849" operator="containsText" text="DOMINGO">
      <formula>NOT(ISERROR(SEARCH("DOMINGO",AV36)))</formula>
    </cfRule>
    <cfRule type="containsText" dxfId="1673" priority="1852" operator="containsText" text="ATESTADO">
      <formula>NOT(ISERROR(SEARCH("ATESTADO",AV36)))</formula>
    </cfRule>
    <cfRule type="containsText" dxfId="1672" priority="1853" operator="containsText" text="DESCANSO">
      <formula>NOT(ISERROR(SEARCH("DESCANSO",AV36)))</formula>
    </cfRule>
    <cfRule type="containsText" dxfId="1671" priority="1851" operator="containsText" text="FERIADO">
      <formula>NOT(ISERROR(SEARCH("FERIADO",AV36)))</formula>
    </cfRule>
  </conditionalFormatting>
  <conditionalFormatting sqref="AV38">
    <cfRule type="containsText" dxfId="1670" priority="1998" operator="containsText" text="FALTOU">
      <formula>NOT(ISERROR(SEARCH("FALTOU",AV38)))</formula>
    </cfRule>
  </conditionalFormatting>
  <conditionalFormatting sqref="AV39">
    <cfRule type="containsText" dxfId="1669" priority="1932" operator="containsText" text="FALTOU">
      <formula>NOT(ISERROR(SEARCH("FALTOU",AV39)))</formula>
    </cfRule>
  </conditionalFormatting>
  <conditionalFormatting sqref="AV40">
    <cfRule type="containsText" dxfId="1668" priority="1854" operator="containsText" text="FALTOU">
      <formula>NOT(ISERROR(SEARCH("FALTOU",AV40)))</formula>
    </cfRule>
  </conditionalFormatting>
  <conditionalFormatting sqref="AV50:AV54">
    <cfRule type="containsText" dxfId="1667" priority="964" operator="containsText" text="DOMINGO">
      <formula>NOT(ISERROR(SEARCH("DOMINGO",AV50)))</formula>
    </cfRule>
    <cfRule type="containsText" dxfId="1666" priority="965" operator="containsText" text="SÁBADO">
      <formula>NOT(ISERROR(SEARCH("SÁBADO",AV50)))</formula>
    </cfRule>
    <cfRule type="containsText" dxfId="1665" priority="966" operator="containsText" text="FERIADO">
      <formula>NOT(ISERROR(SEARCH("FERIADO",AV50)))</formula>
    </cfRule>
    <cfRule type="containsText" dxfId="1664" priority="968" operator="containsText" text="FALTOU">
      <formula>NOT(ISERROR(SEARCH("FALTOU",AV50)))</formula>
    </cfRule>
    <cfRule type="containsText" dxfId="1663" priority="969" operator="containsText" text="ATESTADO">
      <formula>NOT(ISERROR(SEARCH("ATESTADO",AV50)))</formula>
    </cfRule>
    <cfRule type="containsText" dxfId="1662" priority="967" operator="containsText" text="DESCANSO">
      <formula>NOT(ISERROR(SEARCH("DESCANSO",AV50)))</formula>
    </cfRule>
  </conditionalFormatting>
  <conditionalFormatting sqref="AZ36:BA37">
    <cfRule type="containsText" dxfId="1661" priority="2285" operator="containsText" text="FALTOU">
      <formula>NOT(ISERROR(SEARCH("FALTOU",AZ36)))</formula>
    </cfRule>
  </conditionalFormatting>
  <conditionalFormatting sqref="AZ36:BA39">
    <cfRule type="containsText" dxfId="1660" priority="1915" operator="containsText" text="DOMINGO">
      <formula>NOT(ISERROR(SEARCH("DOMINGO",AZ36)))</formula>
    </cfRule>
    <cfRule type="containsText" dxfId="1659" priority="1919" operator="containsText" text="DESCANSO">
      <formula>NOT(ISERROR(SEARCH("DESCANSO",AZ36)))</formula>
    </cfRule>
    <cfRule type="containsText" dxfId="1658" priority="1916" operator="containsText" text="SÁBADO">
      <formula>NOT(ISERROR(SEARCH("SÁBADO",AZ36)))</formula>
    </cfRule>
    <cfRule type="containsText" dxfId="1657" priority="1918" operator="containsText" text="ATESTADO">
      <formula>NOT(ISERROR(SEARCH("ATESTADO",AZ36)))</formula>
    </cfRule>
    <cfRule type="containsText" dxfId="1656" priority="1917" operator="containsText" text="FERIADO">
      <formula>NOT(ISERROR(SEARCH("FERIADO",AZ36)))</formula>
    </cfRule>
  </conditionalFormatting>
  <conditionalFormatting sqref="AZ38:BA38">
    <cfRule type="containsText" dxfId="1655" priority="2004" operator="containsText" text="FALTOU">
      <formula>NOT(ISERROR(SEARCH("FALTOU",AZ38)))</formula>
    </cfRule>
  </conditionalFormatting>
  <conditionalFormatting sqref="AZ39:BA39">
    <cfRule type="containsText" dxfId="1654" priority="1920" operator="containsText" text="FALTOU">
      <formula>NOT(ISERROR(SEARCH("FALTOU",AZ39)))</formula>
    </cfRule>
  </conditionalFormatting>
  <conditionalFormatting sqref="AZ46:BA48">
    <cfRule type="containsText" dxfId="1653" priority="1806" operator="containsText" text="FALTOU">
      <formula>NOT(ISERROR(SEARCH("FALTOU",AZ46)))</formula>
    </cfRule>
    <cfRule type="containsText" dxfId="1652" priority="1805" operator="containsText" text="DESCANSO">
      <formula>NOT(ISERROR(SEARCH("DESCANSO",AZ46)))</formula>
    </cfRule>
  </conditionalFormatting>
  <conditionalFormatting sqref="AZ54:BA54">
    <cfRule type="containsText" dxfId="1651" priority="991" operator="containsText" text="FALTOU">
      <formula>NOT(ISERROR(SEARCH("FALTOU",AZ54)))</formula>
    </cfRule>
  </conditionalFormatting>
  <conditionalFormatting sqref="AZ54:BA55">
    <cfRule type="containsText" dxfId="1650" priority="988" operator="containsText" text="DESCANSO">
      <formula>NOT(ISERROR(SEARCH("DESCANSO",AZ54)))</formula>
    </cfRule>
  </conditionalFormatting>
  <conditionalFormatting sqref="AZ55:BA55">
    <cfRule type="containsText" dxfId="1649" priority="989" operator="containsText" text="FALTOU">
      <formula>NOT(ISERROR(SEARCH("FALTOU",AZ55)))</formula>
    </cfRule>
  </conditionalFormatting>
  <conditionalFormatting sqref="AZ323:BC323">
    <cfRule type="containsText" dxfId="1648" priority="2705" operator="containsText" text="DESCANSO">
      <formula>NOT(ISERROR(SEARCH("DESCANSO",AZ323)))</formula>
    </cfRule>
    <cfRule type="containsText" dxfId="1647" priority="2706" operator="containsText" text="FALTOU">
      <formula>NOT(ISERROR(SEARCH("FALTOU",AZ323)))</formula>
    </cfRule>
  </conditionalFormatting>
  <conditionalFormatting sqref="AZ1:BF1">
    <cfRule type="containsText" dxfId="1646" priority="2695" operator="containsText" text="FALTOU">
      <formula>NOT(ISERROR(SEARCH("FALTOU",AZ1)))</formula>
    </cfRule>
    <cfRule type="containsText" dxfId="1645" priority="2694" operator="containsText" text="DESCANSO">
      <formula>NOT(ISERROR(SEARCH("DESCANSO",AZ1)))</formula>
    </cfRule>
  </conditionalFormatting>
  <conditionalFormatting sqref="BA315:BC315">
    <cfRule type="containsText" dxfId="1644" priority="2662" operator="containsText" text="FALTOU">
      <formula>NOT(ISERROR(SEARCH("FALTOU",BA315)))</formula>
    </cfRule>
    <cfRule type="containsText" dxfId="1643" priority="2636" operator="containsText" text="DESCANSO">
      <formula>NOT(ISERROR(SEARCH("DESCANSO",BA315)))</formula>
    </cfRule>
    <cfRule type="containsText" dxfId="1642" priority="2637" operator="containsText" text="FALTOU">
      <formula>NOT(ISERROR(SEARCH("FALTOU",BA315)))</formula>
    </cfRule>
    <cfRule type="containsText" dxfId="1641" priority="2661" operator="containsText" text="DESCANSO">
      <formula>NOT(ISERROR(SEARCH("DESCANSO",BA315)))</formula>
    </cfRule>
  </conditionalFormatting>
  <conditionalFormatting sqref="BB36:BB37">
    <cfRule type="containsText" dxfId="1640" priority="2323" operator="containsText" text="SÁBADO">
      <formula>NOT(ISERROR(SEARCH("SÁBADO",BB36)))</formula>
    </cfRule>
    <cfRule type="containsText" dxfId="1639" priority="2322" operator="containsText" text="DOMINGO">
      <formula>NOT(ISERROR(SEARCH("DOMINGO",BB36)))</formula>
    </cfRule>
    <cfRule type="containsText" dxfId="1638" priority="2324" operator="containsText" text="FERIADO">
      <formula>NOT(ISERROR(SEARCH("FERIADO",BB36)))</formula>
    </cfRule>
    <cfRule type="containsText" dxfId="1637" priority="2325" operator="containsText" text="ATESTADO">
      <formula>NOT(ISERROR(SEARCH("ATESTADO",BB36)))</formula>
    </cfRule>
    <cfRule type="containsText" dxfId="1636" priority="2326" operator="containsText" text="DESCANSO">
      <formula>NOT(ISERROR(SEARCH("DESCANSO",BB36)))</formula>
    </cfRule>
    <cfRule type="containsText" dxfId="1635" priority="2327" operator="containsText" text="FALTOU">
      <formula>NOT(ISERROR(SEARCH("FALTOU",BB36)))</formula>
    </cfRule>
  </conditionalFormatting>
  <conditionalFormatting sqref="BD1:BF1">
    <cfRule type="containsText" dxfId="1634" priority="2693" operator="containsText" text="ATESTADO">
      <formula>NOT(ISERROR(SEARCH("ATESTADO",BD1)))</formula>
    </cfRule>
  </conditionalFormatting>
  <conditionalFormatting sqref="BG36">
    <cfRule type="containsText" dxfId="1633" priority="2010" operator="containsText" text="FALTOU">
      <formula>NOT(ISERROR(SEARCH("FALTOU",BG36)))</formula>
    </cfRule>
    <cfRule type="containsText" dxfId="1632" priority="2009" operator="containsText" text="DESCANSO">
      <formula>NOT(ISERROR(SEARCH("DESCANSO",BG36)))</formula>
    </cfRule>
    <cfRule type="containsText" dxfId="1631" priority="2008" operator="containsText" text="ATESTADO">
      <formula>NOT(ISERROR(SEARCH("ATESTADO",BG36)))</formula>
    </cfRule>
    <cfRule type="containsText" dxfId="1630" priority="2007" operator="containsText" text="FERIADO">
      <formula>NOT(ISERROR(SEARCH("FERIADO",BG36)))</formula>
    </cfRule>
    <cfRule type="containsText" dxfId="1629" priority="2006" operator="containsText" text="SÁBADO">
      <formula>NOT(ISERROR(SEARCH("SÁBADO",BG36)))</formula>
    </cfRule>
    <cfRule type="containsText" dxfId="1628" priority="2005" operator="containsText" text="DOMINGO">
      <formula>NOT(ISERROR(SEARCH("DOMINGO",BG36)))</formula>
    </cfRule>
  </conditionalFormatting>
  <conditionalFormatting sqref="BG1:BJ1">
    <cfRule type="containsText" dxfId="1627" priority="2690" operator="containsText" text="FALTOU">
      <formula>NOT(ISERROR(SEARCH("FALTOU",BG1)))</formula>
    </cfRule>
    <cfRule type="containsText" dxfId="1626" priority="2689" operator="containsText" text="DESCANSO">
      <formula>NOT(ISERROR(SEARCH("DESCANSO",BG1)))</formula>
    </cfRule>
  </conditionalFormatting>
  <conditionalFormatting sqref="BG322:BJ322">
    <cfRule type="containsText" dxfId="1625" priority="2691" operator="containsText" text="DESCANSO">
      <formula>NOT(ISERROR(SEARCH("DESCANSO",BG322)))</formula>
    </cfRule>
    <cfRule type="containsText" dxfId="1624" priority="2692" operator="containsText" text="FALTOU">
      <formula>NOT(ISERROR(SEARCH("FALTOU",BG322)))</formula>
    </cfRule>
  </conditionalFormatting>
  <conditionalFormatting sqref="BH314:BJ314">
    <cfRule type="containsText" dxfId="1623" priority="2634" operator="containsText" text="DESCANSO">
      <formula>NOT(ISERROR(SEARCH("DESCANSO",BH314)))</formula>
    </cfRule>
    <cfRule type="containsText" dxfId="1622" priority="2635" operator="containsText" text="FALTOU">
      <formula>NOT(ISERROR(SEARCH("FALTOU",BH314)))</formula>
    </cfRule>
    <cfRule type="containsText" dxfId="1621" priority="2659" operator="containsText" text="DESCANSO">
      <formula>NOT(ISERROR(SEARCH("DESCANSO",BH314)))</formula>
    </cfRule>
    <cfRule type="containsText" dxfId="1620" priority="2660" operator="containsText" text="FALTOU">
      <formula>NOT(ISERROR(SEARCH("FALTOU",BH314)))</formula>
    </cfRule>
  </conditionalFormatting>
  <conditionalFormatting sqref="BL1:BM1">
    <cfRule type="containsText" dxfId="1619" priority="2686" operator="containsText" text="ATESTADO">
      <formula>NOT(ISERROR(SEARCH("ATESTADO",BL1)))</formula>
    </cfRule>
    <cfRule type="containsText" dxfId="1618" priority="2688" operator="containsText" text="FALTOU">
      <formula>NOT(ISERROR(SEARCH("FALTOU",BL1)))</formula>
    </cfRule>
    <cfRule type="containsText" dxfId="1617" priority="2687" operator="containsText" text="DESCANSO">
      <formula>NOT(ISERROR(SEARCH("DESCANSO",BL1)))</formula>
    </cfRule>
  </conditionalFormatting>
  <conditionalFormatting sqref="BN74">
    <cfRule type="containsText" dxfId="1616" priority="115" operator="containsText" text="DESCANSO">
      <formula>NOT(ISERROR(SEARCH("DESCANSO",BN74)))</formula>
    </cfRule>
    <cfRule type="containsText" dxfId="1615" priority="116" operator="containsText" text="FALTOU">
      <formula>NOT(ISERROR(SEARCH("FALTOU",BN74)))</formula>
    </cfRule>
  </conditionalFormatting>
  <conditionalFormatting sqref="BN34:BP34">
    <cfRule type="containsText" dxfId="1614" priority="2423" operator="containsText" text="FALTOU">
      <formula>NOT(ISERROR(SEARCH("FALTOU",BN34)))</formula>
    </cfRule>
  </conditionalFormatting>
  <conditionalFormatting sqref="BN34:BP35">
    <cfRule type="containsText" dxfId="1613" priority="2378" operator="containsText" text="FERIADO">
      <formula>NOT(ISERROR(SEARCH("FERIADO",BN34)))</formula>
    </cfRule>
    <cfRule type="containsText" dxfId="1612" priority="2377" operator="containsText" text="SÁBADO">
      <formula>NOT(ISERROR(SEARCH("SÁBADO",BN34)))</formula>
    </cfRule>
    <cfRule type="containsText" dxfId="1611" priority="2376" operator="containsText" text="DOMINGO">
      <formula>NOT(ISERROR(SEARCH("DOMINGO",BN34)))</formula>
    </cfRule>
    <cfRule type="containsText" dxfId="1610" priority="2380" operator="containsText" text="DESCANSO">
      <formula>NOT(ISERROR(SEARCH("DESCANSO",BN34)))</formula>
    </cfRule>
    <cfRule type="containsText" dxfId="1609" priority="2379" operator="containsText" text="ATESTADO">
      <formula>NOT(ISERROR(SEARCH("ATESTADO",BN34)))</formula>
    </cfRule>
  </conditionalFormatting>
  <conditionalFormatting sqref="BN35:BP35">
    <cfRule type="containsText" dxfId="1608" priority="2381" operator="containsText" text="FALTOU">
      <formula>NOT(ISERROR(SEARCH("FALTOU",BN35)))</formula>
    </cfRule>
  </conditionalFormatting>
  <conditionalFormatting sqref="BN1:BQ1">
    <cfRule type="containsText" dxfId="1607" priority="2683" operator="containsText" text="FALTOU">
      <formula>NOT(ISERROR(SEARCH("FALTOU",BN1)))</formula>
    </cfRule>
    <cfRule type="containsText" dxfId="1606" priority="2682" operator="containsText" text="DESCANSO">
      <formula>NOT(ISERROR(SEARCH("DESCANSO",BN1)))</formula>
    </cfRule>
  </conditionalFormatting>
  <conditionalFormatting sqref="BN36:BQ37">
    <cfRule type="containsText" dxfId="1605" priority="2291" operator="containsText" text="FALTOU">
      <formula>NOT(ISERROR(SEARCH("FALTOU",BN36)))</formula>
    </cfRule>
  </conditionalFormatting>
  <conditionalFormatting sqref="BN36:BQ39">
    <cfRule type="containsText" dxfId="1604" priority="1909" operator="containsText" text="DOMINGO">
      <formula>NOT(ISERROR(SEARCH("DOMINGO",BN36)))</formula>
    </cfRule>
    <cfRule type="containsText" dxfId="1603" priority="1913" operator="containsText" text="DESCANSO">
      <formula>NOT(ISERROR(SEARCH("DESCANSO",BN36)))</formula>
    </cfRule>
    <cfRule type="containsText" dxfId="1602" priority="1910" operator="containsText" text="SÁBADO">
      <formula>NOT(ISERROR(SEARCH("SÁBADO",BN36)))</formula>
    </cfRule>
    <cfRule type="containsText" dxfId="1601" priority="1911" operator="containsText" text="FERIADO">
      <formula>NOT(ISERROR(SEARCH("FERIADO",BN36)))</formula>
    </cfRule>
    <cfRule type="containsText" dxfId="1600" priority="1912" operator="containsText" text="ATESTADO">
      <formula>NOT(ISERROR(SEARCH("ATESTADO",BN36)))</formula>
    </cfRule>
  </conditionalFormatting>
  <conditionalFormatting sqref="BN38:BQ38">
    <cfRule type="containsText" dxfId="1599" priority="2016" operator="containsText" text="FALTOU">
      <formula>NOT(ISERROR(SEARCH("FALTOU",BN38)))</formula>
    </cfRule>
  </conditionalFormatting>
  <conditionalFormatting sqref="BN39:BQ39">
    <cfRule type="containsText" dxfId="1598" priority="1914" operator="containsText" text="FALTOU">
      <formula>NOT(ISERROR(SEARCH("FALTOU",BN39)))</formula>
    </cfRule>
  </conditionalFormatting>
  <conditionalFormatting sqref="BN322:BQ322">
    <cfRule type="containsText" dxfId="1597" priority="2685" operator="containsText" text="FALTOU">
      <formula>NOT(ISERROR(SEARCH("FALTOU",BN322)))</formula>
    </cfRule>
    <cfRule type="containsText" dxfId="1596" priority="2684" operator="containsText" text="DESCANSO">
      <formula>NOT(ISERROR(SEARCH("DESCANSO",BN322)))</formula>
    </cfRule>
  </conditionalFormatting>
  <conditionalFormatting sqref="BO314:BQ314">
    <cfRule type="containsText" dxfId="1595" priority="2633" operator="containsText" text="FALTOU">
      <formula>NOT(ISERROR(SEARCH("FALTOU",BO314)))</formula>
    </cfRule>
    <cfRule type="containsText" dxfId="1594" priority="2657" operator="containsText" text="DESCANSO">
      <formula>NOT(ISERROR(SEARCH("DESCANSO",BO314)))</formula>
    </cfRule>
    <cfRule type="containsText" dxfId="1593" priority="2658" operator="containsText" text="FALTOU">
      <formula>NOT(ISERROR(SEARCH("FALTOU",BO314)))</formula>
    </cfRule>
    <cfRule type="containsText" dxfId="1592" priority="2632" operator="containsText" text="DESCANSO">
      <formula>NOT(ISERROR(SEARCH("DESCANSO",BO314)))</formula>
    </cfRule>
  </conditionalFormatting>
  <conditionalFormatting sqref="BP40:BQ40">
    <cfRule type="containsText" dxfId="1591" priority="1843" operator="containsText" text="DOMINGO">
      <formula>NOT(ISERROR(SEARCH("DOMINGO",BP40)))</formula>
    </cfRule>
    <cfRule type="containsText" dxfId="1590" priority="1848" operator="containsText" text="FALTOU">
      <formula>NOT(ISERROR(SEARCH("FALTOU",BP40)))</formula>
    </cfRule>
    <cfRule type="containsText" dxfId="1589" priority="1847" operator="containsText" text="DESCANSO">
      <formula>NOT(ISERROR(SEARCH("DESCANSO",BP40)))</formula>
    </cfRule>
    <cfRule type="containsText" dxfId="1588" priority="1846" operator="containsText" text="ATESTADO">
      <formula>NOT(ISERROR(SEARCH("ATESTADO",BP40)))</formula>
    </cfRule>
    <cfRule type="containsText" dxfId="1587" priority="1845" operator="containsText" text="FERIADO">
      <formula>NOT(ISERROR(SEARCH("FERIADO",BP40)))</formula>
    </cfRule>
    <cfRule type="containsText" dxfId="1586" priority="1844" operator="containsText" text="SÁBADO">
      <formula>NOT(ISERROR(SEARCH("SÁBADO",BP40)))</formula>
    </cfRule>
  </conditionalFormatting>
  <conditionalFormatting sqref="BQ35">
    <cfRule type="containsText" dxfId="1585" priority="2382" operator="containsText" text="DOMINGO">
      <formula>NOT(ISERROR(SEARCH("DOMINGO",BQ35)))</formula>
    </cfRule>
    <cfRule type="containsText" dxfId="1584" priority="2387" operator="containsText" text="FALTOU">
      <formula>NOT(ISERROR(SEARCH("FALTOU",BQ35)))</formula>
    </cfRule>
    <cfRule type="containsText" dxfId="1583" priority="2386" operator="containsText" text="DESCANSO">
      <formula>NOT(ISERROR(SEARCH("DESCANSO",BQ35)))</formula>
    </cfRule>
    <cfRule type="containsText" dxfId="1582" priority="2384" operator="containsText" text="FERIADO">
      <formula>NOT(ISERROR(SEARCH("FERIADO",BQ35)))</formula>
    </cfRule>
    <cfRule type="containsText" dxfId="1581" priority="2383" operator="containsText" text="SÁBADO">
      <formula>NOT(ISERROR(SEARCH("SÁBADO",BQ35)))</formula>
    </cfRule>
    <cfRule type="containsText" dxfId="1580" priority="2385" operator="containsText" text="ATESTADO">
      <formula>NOT(ISERROR(SEARCH("ATESTADO",BQ35)))</formula>
    </cfRule>
  </conditionalFormatting>
  <conditionalFormatting sqref="BS1:BT1">
    <cfRule type="containsText" dxfId="1579" priority="2681" operator="containsText" text="FALTOU">
      <formula>NOT(ISERROR(SEARCH("FALTOU",BS1)))</formula>
    </cfRule>
    <cfRule type="containsText" dxfId="1578" priority="2680" operator="containsText" text="DESCANSO">
      <formula>NOT(ISERROR(SEARCH("DESCANSO",BS1)))</formula>
    </cfRule>
    <cfRule type="containsText" dxfId="1577" priority="2679" operator="containsText" text="ATESTADO">
      <formula>NOT(ISERROR(SEARCH("ATESTADO",BS1)))</formula>
    </cfRule>
  </conditionalFormatting>
  <conditionalFormatting sqref="BU1:BX1">
    <cfRule type="containsText" dxfId="1576" priority="2675" operator="containsText" text="DESCANSO">
      <formula>NOT(ISERROR(SEARCH("DESCANSO",BU1)))</formula>
    </cfRule>
    <cfRule type="containsText" dxfId="1575" priority="2676" operator="containsText" text="FALTOU">
      <formula>NOT(ISERROR(SEARCH("FALTOU",BU1)))</formula>
    </cfRule>
  </conditionalFormatting>
  <conditionalFormatting sqref="BU322:BX322">
    <cfRule type="containsText" dxfId="1574" priority="2678" operator="containsText" text="FALTOU">
      <formula>NOT(ISERROR(SEARCH("FALTOU",BU322)))</formula>
    </cfRule>
    <cfRule type="containsText" dxfId="1573" priority="2677" operator="containsText" text="DESCANSO">
      <formula>NOT(ISERROR(SEARCH("DESCANSO",BU322)))</formula>
    </cfRule>
  </conditionalFormatting>
  <conditionalFormatting sqref="BV314:BX314">
    <cfRule type="containsText" dxfId="1572" priority="2655" operator="containsText" text="DESCANSO">
      <formula>NOT(ISERROR(SEARCH("DESCANSO",BV314)))</formula>
    </cfRule>
    <cfRule type="containsText" dxfId="1571" priority="2630" operator="containsText" text="DESCANSO">
      <formula>NOT(ISERROR(SEARCH("DESCANSO",BV314)))</formula>
    </cfRule>
    <cfRule type="containsText" dxfId="1570" priority="2631" operator="containsText" text="FALTOU">
      <formula>NOT(ISERROR(SEARCH("FALTOU",BV314)))</formula>
    </cfRule>
    <cfRule type="containsText" dxfId="1569" priority="2656" operator="containsText" text="FALTOU">
      <formula>NOT(ISERROR(SEARCH("FALTOU",BV314)))</formula>
    </cfRule>
  </conditionalFormatting>
  <conditionalFormatting sqref="BY1:CF4 BY5:CA5 CF5 BY6:CF9 CF10:CF16 BY10:CA22 CE12 CE17:CF22 BY23:CF33 N37:W39 CD37:CF39 N40:Y40 BR40:CF40 A41:I41 N41:BD41 BE41:CF1048576 A42:BD42 N43:AK43 AP43:BD43 A43:I48 AB44:AW44 N44:U48 V44:AA1048576 AX44:BD1048576 AU45:AW45 AP45:AR46 AB45:AK47 AW46 AP47:AW47 AB48:AW49 DB48:DG70 A49:U49 AB50:AR50 A50:I54 N50:U54 AW50:AW54 AB51:AU51 AP52:AR52 AB52:AK54 AP53:AT53 AP54:AR54 AT54 AB55:AW56 A55:U368 AB57:AN61 AP57:AT61 AV57:AW61 AB62:AW63 AB64:AF64 AH64:AK64 AG64:AH68 AN64:AN68 AP64:AW68 AB65:AK67 AB68:AN68 AB69:AW70 DB71:DD71 DF71:DG71 AB71:AN75 AP71:AW75 DT71:DU76 DP71:DR77 DF74:DG77 DB75:DD77 AB76:AW77 AB78:AN82 AP78:AW82 DB78:DG1048576 AB83:AW84 AB85:AN89 AP85:AW89 AB90:AW1048576 O369:U1048576 A1:AY1 BK1:BK33 BR1:BR33 A2:BJ33 BL2:BQ33 BS2:BX33 BC37:BM37 AB37:AD39 AP37:AR40 BB38:BM39 AI39:AK39 A40:D40 AB40:AF40 AI40:AM40 AW40:BO40 C369:N375 A369:F1048576 H369:M1048576 G376:G1048576 N376:N1048576">
    <cfRule type="containsText" dxfId="1568" priority="2713" operator="containsText" text="ATESTADO">
      <formula>NOT(ISERROR(SEARCH("ATESTADO",A1)))</formula>
    </cfRule>
  </conditionalFormatting>
  <conditionalFormatting sqref="BY1:CF4 BY5:CA5 CF5 BY6:CF9 CF10:CF16 BY10:CA22 CE12 CE17:CF22 BY23:CF33 CD37:CF39 V37:W43 BY40:CF1048576 C41:I41 N41:BD41 C42:BD42 N43:AK43 AP43:BD43 C43:I48 AB44:AW44 N44:U48 V44:AA1048576 AX44:BD1048576 AP45 AU45:AW45 AB45:AK47 AP46:AR46 AW46 AP47:AW47 AB48:AW49 DB48:DG70 C49:U49 AB50:AR50 C50:I54 N50:U54 AW50:AW54 AB51:AU51 AP52:AR52 AB52:AK54 AP53:AT53 AP54:AR54 AT54 AB55:AW56 C55:U313 AB57:AN61 AP57:AT61 AV57:AW61 AB62:AW63 AB64:AF64 AH64:AK64 AG64:AH68 AN64:AN68 AP64:AW68 AB65:AK67 AB68:AN68 AB69:AW70 DB71:DD71 DF71:DG71 AB71:AN75 AP71:AW75 DT71:DU76 DP71:DR77 DF74:DG77 DB75:DD77 AB76:AW77 AB78:AN82 AP78:AW82 DB78:DG1048576 AB83:AW84 AB85:AN89 AP85:AW89 AB90:AW1048576 D314:U314 C315:U368 O369:U1048576">
    <cfRule type="containsText" dxfId="1567" priority="2712" operator="containsText" text="FALTOU">
      <formula>NOT(ISERROR(SEARCH("FALTOU",C1)))</formula>
    </cfRule>
  </conditionalFormatting>
  <conditionalFormatting sqref="BZ1:CA1">
    <cfRule type="containsText" dxfId="1566" priority="2627" operator="containsText" text="ATESTADO">
      <formula>NOT(ISERROR(SEARCH("ATESTADO",BZ1)))</formula>
    </cfRule>
    <cfRule type="containsText" dxfId="1565" priority="2629" operator="containsText" text="FALTOU">
      <formula>NOT(ISERROR(SEARCH("FALTOU",BZ1)))</formula>
    </cfRule>
    <cfRule type="containsText" dxfId="1564" priority="2628" operator="containsText" text="DESCANSO">
      <formula>NOT(ISERROR(SEARCH("DESCANSO",BZ1)))</formula>
    </cfRule>
  </conditionalFormatting>
  <conditionalFormatting sqref="CB36:CC39">
    <cfRule type="containsText" dxfId="1563" priority="1907" operator="containsText" text="FALTOU">
      <formula>NOT(ISERROR(SEARCH("FALTOU",CB36)))</formula>
    </cfRule>
    <cfRule type="containsText" dxfId="1562" priority="1908" operator="containsText" text="ATESTADO">
      <formula>NOT(ISERROR(SEARCH("ATESTADO",CB36)))</formula>
    </cfRule>
    <cfRule type="containsText" dxfId="1561" priority="1906" operator="containsText" text="DESCANSO">
      <formula>NOT(ISERROR(SEARCH("DESCANSO",CB36)))</formula>
    </cfRule>
    <cfRule type="containsText" dxfId="1560" priority="1903" operator="containsText" text="DOMINGO">
      <formula>NOT(ISERROR(SEARCH("DOMINGO",CB36)))</formula>
    </cfRule>
    <cfRule type="containsText" dxfId="1559" priority="1904" operator="containsText" text="SÁBADO">
      <formula>NOT(ISERROR(SEARCH("SÁBADO",CB36)))</formula>
    </cfRule>
    <cfRule type="containsText" dxfId="1558" priority="1905" operator="containsText" text="FERIADO">
      <formula>NOT(ISERROR(SEARCH("FERIADO",CB36)))</formula>
    </cfRule>
  </conditionalFormatting>
  <conditionalFormatting sqref="CB10:CD22">
    <cfRule type="containsText" dxfId="1557" priority="2613" operator="containsText" text="DOMINGO">
      <formula>NOT(ISERROR(SEARCH("DOMINGO",CB10)))</formula>
    </cfRule>
    <cfRule type="containsText" dxfId="1556" priority="2615" operator="containsText" text="FERIADO">
      <formula>NOT(ISERROR(SEARCH("FERIADO",CB10)))</formula>
    </cfRule>
    <cfRule type="containsText" dxfId="1555" priority="2616" operator="containsText" text="DESCANSO">
      <formula>NOT(ISERROR(SEARCH("DESCANSO",CB10)))</formula>
    </cfRule>
    <cfRule type="containsText" dxfId="1554" priority="2617" operator="containsText" text="FALTOU">
      <formula>NOT(ISERROR(SEARCH("FALTOU",CB10)))</formula>
    </cfRule>
    <cfRule type="containsText" dxfId="1553" priority="2618" operator="containsText" text="ATESTADO">
      <formula>NOT(ISERROR(SEARCH("ATESTADO",CB10)))</formula>
    </cfRule>
    <cfRule type="containsText" dxfId="1552" priority="2614" operator="containsText" text="SÁBADO">
      <formula>NOT(ISERROR(SEARCH("SÁBADO",CB10)))</formula>
    </cfRule>
  </conditionalFormatting>
  <conditionalFormatting sqref="CB1:CE1">
    <cfRule type="containsText" dxfId="1551" priority="2624" operator="containsText" text="FALTOU">
      <formula>NOT(ISERROR(SEARCH("FALTOU",CB1)))</formula>
    </cfRule>
    <cfRule type="containsText" dxfId="1550" priority="2623" operator="containsText" text="DESCANSO">
      <formula>NOT(ISERROR(SEARCH("DESCANSO",CB1)))</formula>
    </cfRule>
  </conditionalFormatting>
  <conditionalFormatting sqref="CB34:CE35 CD36:CE36">
    <cfRule type="containsText" dxfId="1549" priority="2481" operator="containsText" text="DESCANSO">
      <formula>NOT(ISERROR(SEARCH("DESCANSO",CB34)))</formula>
    </cfRule>
    <cfRule type="containsText" dxfId="1548" priority="2482" operator="containsText" text="FALTOU">
      <formula>NOT(ISERROR(SEARCH("FALTOU",CB34)))</formula>
    </cfRule>
    <cfRule type="containsText" dxfId="1547" priority="2483" operator="containsText" text="ATESTADO">
      <formula>NOT(ISERROR(SEARCH("ATESTADO",CB34)))</formula>
    </cfRule>
    <cfRule type="containsText" dxfId="1546" priority="2479" operator="containsText" text="SÁBADO">
      <formula>NOT(ISERROR(SEARCH("SÁBADO",CB34)))</formula>
    </cfRule>
    <cfRule type="containsText" dxfId="1545" priority="2478" operator="containsText" text="DOMINGO">
      <formula>NOT(ISERROR(SEARCH("DOMINGO",CB34)))</formula>
    </cfRule>
    <cfRule type="containsText" dxfId="1544" priority="2480" operator="containsText" text="FERIADO">
      <formula>NOT(ISERROR(SEARCH("FERIADO",CB34)))</formula>
    </cfRule>
  </conditionalFormatting>
  <conditionalFormatting sqref="CB323:CE323">
    <cfRule type="containsText" dxfId="1543" priority="2625" operator="containsText" text="DESCANSO">
      <formula>NOT(ISERROR(SEARCH("DESCANSO",CB323)))</formula>
    </cfRule>
    <cfRule type="containsText" dxfId="1542" priority="2626" operator="containsText" text="FALTOU">
      <formula>NOT(ISERROR(SEARCH("FALTOU",CB323)))</formula>
    </cfRule>
  </conditionalFormatting>
  <conditionalFormatting sqref="CC315:CE315">
    <cfRule type="containsText" dxfId="1541" priority="2620" operator="containsText" text="FALTOU">
      <formula>NOT(ISERROR(SEARCH("FALTOU",CC315)))</formula>
    </cfRule>
    <cfRule type="containsText" dxfId="1540" priority="2622" operator="containsText" text="FALTOU">
      <formula>NOT(ISERROR(SEARCH("FALTOU",CC315)))</formula>
    </cfRule>
    <cfRule type="containsText" dxfId="1539" priority="2621" operator="containsText" text="DESCANSO">
      <formula>NOT(ISERROR(SEARCH("DESCANSO",CC315)))</formula>
    </cfRule>
    <cfRule type="containsText" dxfId="1538" priority="2619" operator="containsText" text="DESCANSO">
      <formula>NOT(ISERROR(SEARCH("DESCANSO",CC315)))</formula>
    </cfRule>
  </conditionalFormatting>
  <conditionalFormatting sqref="CG33:CG45">
    <cfRule type="containsText" dxfId="1537" priority="2402" operator="containsText" text="FERIADO">
      <formula>NOT(ISERROR(SEARCH("FERIADO",CG33)))</formula>
    </cfRule>
    <cfRule type="containsText" dxfId="1536" priority="2405" operator="containsText" text="ATESTADO">
      <formula>NOT(ISERROR(SEARCH("ATESTADO",CG33)))</formula>
    </cfRule>
    <cfRule type="containsText" dxfId="1535" priority="2404" operator="containsText" text="FALTOU">
      <formula>NOT(ISERROR(SEARCH("FALTOU",CG33)))</formula>
    </cfRule>
    <cfRule type="containsText" dxfId="1534" priority="2403" operator="containsText" text="DESCANSO">
      <formula>NOT(ISERROR(SEARCH("DESCANSO",CG33)))</formula>
    </cfRule>
    <cfRule type="containsText" dxfId="1533" priority="2401" operator="containsText" text="SÁBADO">
      <formula>NOT(ISERROR(SEARCH("SÁBADO",CG33)))</formula>
    </cfRule>
    <cfRule type="containsText" dxfId="1532" priority="2400" operator="containsText" text="DOMINGO">
      <formula>NOT(ISERROR(SEARCH("DOMINGO",CG33)))</formula>
    </cfRule>
  </conditionalFormatting>
  <conditionalFormatting sqref="CG1:CH1">
    <cfRule type="containsText" dxfId="1531" priority="2606" operator="containsText" text="FALTOU">
      <formula>NOT(ISERROR(SEARCH("FALTOU",CG1)))</formula>
    </cfRule>
    <cfRule type="containsText" dxfId="1530" priority="2604" operator="containsText" text="ATESTADO">
      <formula>NOT(ISERROR(SEARCH("ATESTADO",CG1)))</formula>
    </cfRule>
    <cfRule type="containsText" dxfId="1529" priority="2605" operator="containsText" text="DESCANSO">
      <formula>NOT(ISERROR(SEARCH("DESCANSO",CG1)))</formula>
    </cfRule>
  </conditionalFormatting>
  <conditionalFormatting sqref="CG1:CL4 CG5:CH5 CG6:CL9 CG10:CH23 CL12 CL17:CL21 CG24:CK26 CG27:CL28 CG29:CH31 CG32:CL32 CI41:CL45 CG46:CL1048576">
    <cfRule type="containsText" dxfId="1528" priority="2610" operator="containsText" text="DESCANSO">
      <formula>NOT(ISERROR(SEARCH("DESCANSO",CG1)))</formula>
    </cfRule>
    <cfRule type="containsText" dxfId="1527" priority="2611" operator="containsText" text="FALTOU">
      <formula>NOT(ISERROR(SEARCH("FALTOU",CG1)))</formula>
    </cfRule>
    <cfRule type="containsText" dxfId="1526" priority="2612" operator="containsText" text="ATESTADO">
      <formula>NOT(ISERROR(SEARCH("ATESTADO",CG1)))</formula>
    </cfRule>
    <cfRule type="containsText" dxfId="1525" priority="2609" operator="containsText" text="FERIADO">
      <formula>NOT(ISERROR(SEARCH("FERIADO",CG1)))</formula>
    </cfRule>
  </conditionalFormatting>
  <conditionalFormatting sqref="CG1:CL4 CG46:CL1048576 CG24:CK26 CG5:CH5 CG6:CL9 CG10:CH23 CL12 CL17:CL21 CG27:CL28 CG29:CH31 CG32:CL32 CI41:CL45">
    <cfRule type="containsText" dxfId="1524" priority="2607" operator="containsText" text="DOMINGO">
      <formula>NOT(ISERROR(SEARCH("DOMINGO",CG1)))</formula>
    </cfRule>
    <cfRule type="containsText" dxfId="1523" priority="2608" operator="containsText" text="SÁBADO">
      <formula>NOT(ISERROR(SEARCH("SÁBADO",CG1)))</formula>
    </cfRule>
  </conditionalFormatting>
  <conditionalFormatting sqref="CH33:CH45">
    <cfRule type="containsText" dxfId="1522" priority="1890" operator="containsText" text="ATESTADO">
      <formula>NOT(ISERROR(SEARCH("ATESTADO",CH33)))</formula>
    </cfRule>
    <cfRule type="containsText" dxfId="1521" priority="1886" operator="containsText" text="SÁBADO">
      <formula>NOT(ISERROR(SEARCH("SÁBADO",CH33)))</formula>
    </cfRule>
    <cfRule type="containsText" dxfId="1520" priority="1888" operator="containsText" text="DESCANSO">
      <formula>NOT(ISERROR(SEARCH("DESCANSO",CH33)))</formula>
    </cfRule>
    <cfRule type="containsText" dxfId="1519" priority="1885" operator="containsText" text="DOMINGO">
      <formula>NOT(ISERROR(SEARCH("DOMINGO",CH33)))</formula>
    </cfRule>
    <cfRule type="containsText" dxfId="1518" priority="1889" operator="containsText" text="FALTOU">
      <formula>NOT(ISERROR(SEARCH("FALTOU",CH33)))</formula>
    </cfRule>
    <cfRule type="containsText" dxfId="1517" priority="1887" operator="containsText" text="FERIADO">
      <formula>NOT(ISERROR(SEARCH("FERIADO",CH33)))</formula>
    </cfRule>
  </conditionalFormatting>
  <conditionalFormatting sqref="CI35">
    <cfRule type="containsText" dxfId="1516" priority="2484" operator="containsText" text="DOMINGO">
      <formula>NOT(ISERROR(SEARCH("DOMINGO",CI35)))</formula>
    </cfRule>
    <cfRule type="containsText" dxfId="1515" priority="2485" operator="containsText" text="SÁBADO">
      <formula>NOT(ISERROR(SEARCH("SÁBADO",CI35)))</formula>
    </cfRule>
    <cfRule type="containsText" dxfId="1514" priority="2486" operator="containsText" text="FERIADO">
      <formula>NOT(ISERROR(SEARCH("FERIADO",CI35)))</formula>
    </cfRule>
    <cfRule type="containsText" dxfId="1513" priority="2487" operator="containsText" text="DESCANSO">
      <formula>NOT(ISERROR(SEARCH("DESCANSO",CI35)))</formula>
    </cfRule>
    <cfRule type="containsText" dxfId="1512" priority="2488" operator="containsText" text="FALTOU">
      <formula>NOT(ISERROR(SEARCH("FALTOU",CI35)))</formula>
    </cfRule>
    <cfRule type="containsText" dxfId="1511" priority="2489" operator="containsText" text="ATESTADO">
      <formula>NOT(ISERROR(SEARCH("ATESTADO",CI35)))</formula>
    </cfRule>
  </conditionalFormatting>
  <conditionalFormatting sqref="CI24:CJ26">
    <cfRule type="containsText" dxfId="1510" priority="2557" operator="containsText" text="ATESTADO">
      <formula>NOT(ISERROR(SEARCH("ATESTADO",CI24)))</formula>
    </cfRule>
    <cfRule type="containsText" dxfId="1509" priority="2558" operator="containsText" text="DESCANSO">
      <formula>NOT(ISERROR(SEARCH("DESCANSO",CI24)))</formula>
    </cfRule>
    <cfRule type="containsText" dxfId="1508" priority="2559" operator="containsText" text="FALTOU">
      <formula>NOT(ISERROR(SEARCH("FALTOU",CI24)))</formula>
    </cfRule>
    <cfRule type="containsText" dxfId="1507" priority="2555" operator="containsText" text="SÁBADO">
      <formula>NOT(ISERROR(SEARCH("SÁBADO",CI24)))</formula>
    </cfRule>
    <cfRule type="containsText" dxfId="1506" priority="2554" operator="containsText" text="DOMINGO">
      <formula>NOT(ISERROR(SEARCH("DOMINGO",CI24)))</formula>
    </cfRule>
    <cfRule type="containsText" dxfId="1505" priority="2556" operator="containsText" text="FERIADO">
      <formula>NOT(ISERROR(SEARCH("FERIADO",CI24)))</formula>
    </cfRule>
  </conditionalFormatting>
  <conditionalFormatting sqref="CI29:CJ31">
    <cfRule type="containsText" dxfId="1504" priority="2464" operator="containsText" text="DESCANSO">
      <formula>NOT(ISERROR(SEARCH("DESCANSO",CI29)))</formula>
    </cfRule>
    <cfRule type="containsText" dxfId="1503" priority="2461" operator="containsText" text="SÁBADO">
      <formula>NOT(ISERROR(SEARCH("SÁBADO",CI29)))</formula>
    </cfRule>
    <cfRule type="containsText" dxfId="1502" priority="2463" operator="containsText" text="ATESTADO">
      <formula>NOT(ISERROR(SEARCH("ATESTADO",CI29)))</formula>
    </cfRule>
    <cfRule type="containsText" dxfId="1501" priority="2462" operator="containsText" text="FERIADO">
      <formula>NOT(ISERROR(SEARCH("FERIADO",CI29)))</formula>
    </cfRule>
    <cfRule type="containsText" dxfId="1500" priority="2465" operator="containsText" text="FALTOU">
      <formula>NOT(ISERROR(SEARCH("FALTOU",CI29)))</formula>
    </cfRule>
    <cfRule type="containsText" dxfId="1499" priority="2460" operator="containsText" text="DOMINGO">
      <formula>NOT(ISERROR(SEARCH("DOMINGO",CI29)))</formula>
    </cfRule>
  </conditionalFormatting>
  <conditionalFormatting sqref="CI33:CJ33">
    <cfRule type="containsText" dxfId="1498" priority="2447" operator="containsText" text="FALTOU">
      <formula>NOT(ISERROR(SEARCH("FALTOU",CI33)))</formula>
    </cfRule>
  </conditionalFormatting>
  <conditionalFormatting sqref="CI33:CJ34">
    <cfRule type="containsText" dxfId="1497" priority="2389" operator="containsText" text="SÁBADO">
      <formula>NOT(ISERROR(SEARCH("SÁBADO",CI33)))</formula>
    </cfRule>
    <cfRule type="containsText" dxfId="1496" priority="2392" operator="containsText" text="DESCANSO">
      <formula>NOT(ISERROR(SEARCH("DESCANSO",CI33)))</formula>
    </cfRule>
    <cfRule type="containsText" dxfId="1495" priority="2391" operator="containsText" text="ATESTADO">
      <formula>NOT(ISERROR(SEARCH("ATESTADO",CI33)))</formula>
    </cfRule>
    <cfRule type="containsText" dxfId="1494" priority="2388" operator="containsText" text="DOMINGO">
      <formula>NOT(ISERROR(SEARCH("DOMINGO",CI33)))</formula>
    </cfRule>
    <cfRule type="containsText" dxfId="1493" priority="2390" operator="containsText" text="FERIADO">
      <formula>NOT(ISERROR(SEARCH("FERIADO",CI33)))</formula>
    </cfRule>
  </conditionalFormatting>
  <conditionalFormatting sqref="CI34:CJ34">
    <cfRule type="containsText" dxfId="1492" priority="2393" operator="containsText" text="FALTOU">
      <formula>NOT(ISERROR(SEARCH("FALTOU",CI34)))</formula>
    </cfRule>
  </conditionalFormatting>
  <conditionalFormatting sqref="CI36:CJ37">
    <cfRule type="containsText" dxfId="1491" priority="2306" operator="containsText" text="FERIADO">
      <formula>NOT(ISERROR(SEARCH("FERIADO",CI36)))</formula>
    </cfRule>
    <cfRule type="containsText" dxfId="1490" priority="2307" operator="containsText" text="DESCANSO">
      <formula>NOT(ISERROR(SEARCH("DESCANSO",CI36)))</formula>
    </cfRule>
    <cfRule type="containsText" dxfId="1489" priority="2305" operator="containsText" text="SÁBADO">
      <formula>NOT(ISERROR(SEARCH("SÁBADO",CI36)))</formula>
    </cfRule>
    <cfRule type="containsText" dxfId="1488" priority="2304" operator="containsText" text="DOMINGO">
      <formula>NOT(ISERROR(SEARCH("DOMINGO",CI36)))</formula>
    </cfRule>
    <cfRule type="containsText" dxfId="1487" priority="2308" operator="containsText" text="FALTOU">
      <formula>NOT(ISERROR(SEARCH("FALTOU",CI36)))</formula>
    </cfRule>
    <cfRule type="containsText" dxfId="1486" priority="2309" operator="containsText" text="ATESTADO">
      <formula>NOT(ISERROR(SEARCH("ATESTADO",CI36)))</formula>
    </cfRule>
    <cfRule type="containsText" dxfId="1485" priority="2302" operator="containsText" text="DESCANSO">
      <formula>NOT(ISERROR(SEARCH("DESCANSO",CI36)))</formula>
    </cfRule>
    <cfRule type="containsText" dxfId="1484" priority="2303" operator="containsText" text="FALTOU">
      <formula>NOT(ISERROR(SEARCH("FALTOU",CI36)))</formula>
    </cfRule>
  </conditionalFormatting>
  <conditionalFormatting sqref="CI36:CJ38">
    <cfRule type="containsText" dxfId="1483" priority="2034" operator="containsText" text="ATESTADO">
      <formula>NOT(ISERROR(SEARCH("ATESTADO",CI36)))</formula>
    </cfRule>
    <cfRule type="containsText" dxfId="1482" priority="2031" operator="containsText" text="FERIADO">
      <formula>NOT(ISERROR(SEARCH("FERIADO",CI36)))</formula>
    </cfRule>
    <cfRule type="containsText" dxfId="1481" priority="2030" operator="containsText" text="SÁBADO">
      <formula>NOT(ISERROR(SEARCH("SÁBADO",CI36)))</formula>
    </cfRule>
    <cfRule type="containsText" dxfId="1480" priority="2029" operator="containsText" text="DOMINGO">
      <formula>NOT(ISERROR(SEARCH("DOMINGO",CI36)))</formula>
    </cfRule>
  </conditionalFormatting>
  <conditionalFormatting sqref="CI38:CJ38">
    <cfRule type="containsText" dxfId="1479" priority="2032" operator="containsText" text="DESCANSO">
      <formula>NOT(ISERROR(SEARCH("DESCANSO",CI38)))</formula>
    </cfRule>
    <cfRule type="containsText" dxfId="1478" priority="2028" operator="containsText" text="FALTOU">
      <formula>NOT(ISERROR(SEARCH("FALTOU",CI38)))</formula>
    </cfRule>
    <cfRule type="containsText" dxfId="1477" priority="2033" operator="containsText" text="FALTOU">
      <formula>NOT(ISERROR(SEARCH("FALTOU",CI38)))</formula>
    </cfRule>
    <cfRule type="containsText" dxfId="1476" priority="2027" operator="containsText" text="DESCANSO">
      <formula>NOT(ISERROR(SEARCH("DESCANSO",CI38)))</formula>
    </cfRule>
  </conditionalFormatting>
  <conditionalFormatting sqref="CI38:CJ40">
    <cfRule type="containsText" dxfId="1475" priority="1902" operator="containsText" text="ATESTADO">
      <formula>NOT(ISERROR(SEARCH("ATESTADO",CI38)))</formula>
    </cfRule>
    <cfRule type="containsText" dxfId="1474" priority="1897" operator="containsText" text="DOMINGO">
      <formula>NOT(ISERROR(SEARCH("DOMINGO",CI38)))</formula>
    </cfRule>
    <cfRule type="containsText" dxfId="1473" priority="1899" operator="containsText" text="FERIADO">
      <formula>NOT(ISERROR(SEARCH("FERIADO",CI38)))</formula>
    </cfRule>
    <cfRule type="containsText" dxfId="1472" priority="1898" operator="containsText" text="SÁBADO">
      <formula>NOT(ISERROR(SEARCH("SÁBADO",CI38)))</formula>
    </cfRule>
  </conditionalFormatting>
  <conditionalFormatting sqref="CI39:CJ39">
    <cfRule type="containsText" dxfId="1471" priority="1894" operator="containsText" text="ATESTADO">
      <formula>NOT(ISERROR(SEARCH("ATESTADO",CI39)))</formula>
    </cfRule>
    <cfRule type="containsText" dxfId="1470" priority="1892" operator="containsText" text="SÁBADO">
      <formula>NOT(ISERROR(SEARCH("SÁBADO",CI39)))</formula>
    </cfRule>
    <cfRule type="containsText" dxfId="1469" priority="1891" operator="containsText" text="DOMINGO">
      <formula>NOT(ISERROR(SEARCH("DOMINGO",CI39)))</formula>
    </cfRule>
    <cfRule type="containsText" dxfId="1468" priority="1893" operator="containsText" text="FERIADO">
      <formula>NOT(ISERROR(SEARCH("FERIADO",CI39)))</formula>
    </cfRule>
    <cfRule type="containsText" dxfId="1467" priority="1896" operator="containsText" text="FALTOU">
      <formula>NOT(ISERROR(SEARCH("FALTOU",CI39)))</formula>
    </cfRule>
    <cfRule type="containsText" dxfId="1466" priority="1895" operator="containsText" text="DESCANSO">
      <formula>NOT(ISERROR(SEARCH("DESCANSO",CI39)))</formula>
    </cfRule>
  </conditionalFormatting>
  <conditionalFormatting sqref="CI39:CJ40">
    <cfRule type="containsText" dxfId="1465" priority="1901" operator="containsText" text="FALTOU">
      <formula>NOT(ISERROR(SEARCH("FALTOU",CI39)))</formula>
    </cfRule>
    <cfRule type="containsText" dxfId="1464" priority="1900" operator="containsText" text="DESCANSO">
      <formula>NOT(ISERROR(SEARCH("DESCANSO",CI39)))</formula>
    </cfRule>
  </conditionalFormatting>
  <conditionalFormatting sqref="CI10:CK21">
    <cfRule type="containsText" dxfId="1463" priority="2591" operator="containsText" text="SÁBADO">
      <formula>NOT(ISERROR(SEARCH("SÁBADO",CI10)))</formula>
    </cfRule>
    <cfRule type="containsText" dxfId="1462" priority="2594" operator="containsText" text="FALTOU">
      <formula>NOT(ISERROR(SEARCH("FALTOU",CI10)))</formula>
    </cfRule>
    <cfRule type="containsText" dxfId="1461" priority="2590" operator="containsText" text="DOMINGO">
      <formula>NOT(ISERROR(SEARCH("DOMINGO",CI10)))</formula>
    </cfRule>
    <cfRule type="containsText" dxfId="1460" priority="2595" operator="containsText" text="ATESTADO">
      <formula>NOT(ISERROR(SEARCH("ATESTADO",CI10)))</formula>
    </cfRule>
    <cfRule type="containsText" dxfId="1459" priority="2593" operator="containsText" text="DESCANSO">
      <formula>NOT(ISERROR(SEARCH("DESCANSO",CI10)))</formula>
    </cfRule>
    <cfRule type="containsText" dxfId="1458" priority="2592" operator="containsText" text="FERIADO">
      <formula>NOT(ISERROR(SEARCH("FERIADO",CI10)))</formula>
    </cfRule>
  </conditionalFormatting>
  <conditionalFormatting sqref="CI29:CK29">
    <cfRule type="containsText" dxfId="1457" priority="2552" operator="containsText" text="FALTOU">
      <formula>NOT(ISERROR(SEARCH("FALTOU",CI29)))</formula>
    </cfRule>
    <cfRule type="containsText" dxfId="1456" priority="2553" operator="containsText" text="ATESTADO">
      <formula>NOT(ISERROR(SEARCH("ATESTADO",CI29)))</formula>
    </cfRule>
    <cfRule type="containsText" dxfId="1455" priority="2550" operator="containsText" text="FERIADO">
      <formula>NOT(ISERROR(SEARCH("FERIADO",CI29)))</formula>
    </cfRule>
    <cfRule type="containsText" dxfId="1454" priority="2551" operator="containsText" text="DESCANSO">
      <formula>NOT(ISERROR(SEARCH("DESCANSO",CI29)))</formula>
    </cfRule>
  </conditionalFormatting>
  <conditionalFormatting sqref="CI29:CK31">
    <cfRule type="containsText" dxfId="1453" priority="2472" operator="containsText" text="DOMINGO">
      <formula>NOT(ISERROR(SEARCH("DOMINGO",CI29)))</formula>
    </cfRule>
    <cfRule type="containsText" dxfId="1452" priority="2473" operator="containsText" text="SÁBADO">
      <formula>NOT(ISERROR(SEARCH("SÁBADO",CI29)))</formula>
    </cfRule>
  </conditionalFormatting>
  <conditionalFormatting sqref="CI30:CK30">
    <cfRule type="containsText" dxfId="1451" priority="2533" operator="containsText" text="DESCANSO">
      <formula>NOT(ISERROR(SEARCH("DESCANSO",CI30)))</formula>
    </cfRule>
    <cfRule type="containsText" dxfId="1450" priority="2534" operator="containsText" text="FALTOU">
      <formula>NOT(ISERROR(SEARCH("FALTOU",CI30)))</formula>
    </cfRule>
    <cfRule type="containsText" dxfId="1449" priority="2532" operator="containsText" text="FERIADO">
      <formula>NOT(ISERROR(SEARCH("FERIADO",CI30)))</formula>
    </cfRule>
    <cfRule type="containsText" dxfId="1448" priority="2535" operator="containsText" text="ATESTADO">
      <formula>NOT(ISERROR(SEARCH("ATESTADO",CI30)))</formula>
    </cfRule>
  </conditionalFormatting>
  <conditionalFormatting sqref="CI31:CK31">
    <cfRule type="containsText" dxfId="1447" priority="2474" operator="containsText" text="FERIADO">
      <formula>NOT(ISERROR(SEARCH("FERIADO",CI31)))</formula>
    </cfRule>
    <cfRule type="containsText" dxfId="1446" priority="2475" operator="containsText" text="DESCANSO">
      <formula>NOT(ISERROR(SEARCH("DESCANSO",CI31)))</formula>
    </cfRule>
    <cfRule type="containsText" dxfId="1445" priority="2476" operator="containsText" text="FALTOU">
      <formula>NOT(ISERROR(SEARCH("FALTOU",CI31)))</formula>
    </cfRule>
    <cfRule type="containsText" dxfId="1444" priority="2477" operator="containsText" text="ATESTADO">
      <formula>NOT(ISERROR(SEARCH("ATESTADO",CI31)))</formula>
    </cfRule>
  </conditionalFormatting>
  <conditionalFormatting sqref="CI33:CK33">
    <cfRule type="containsText" dxfId="1443" priority="2458" operator="containsText" text="FALTOU">
      <formula>NOT(ISERROR(SEARCH("FALTOU",CI33)))</formula>
    </cfRule>
    <cfRule type="containsText" dxfId="1442" priority="2459" operator="containsText" text="ATESTADO">
      <formula>NOT(ISERROR(SEARCH("ATESTADO",CI33)))</formula>
    </cfRule>
    <cfRule type="containsText" dxfId="1441" priority="2454" operator="containsText" text="DOMINGO">
      <formula>NOT(ISERROR(SEARCH("DOMINGO",CI33)))</formula>
    </cfRule>
    <cfRule type="containsText" dxfId="1440" priority="2456" operator="containsText" text="FERIADO">
      <formula>NOT(ISERROR(SEARCH("FERIADO",CI33)))</formula>
    </cfRule>
    <cfRule type="containsText" dxfId="1439" priority="2457" operator="containsText" text="DESCANSO">
      <formula>NOT(ISERROR(SEARCH("DESCANSO",CI33)))</formula>
    </cfRule>
    <cfRule type="containsText" dxfId="1438" priority="2455" operator="containsText" text="SÁBADO">
      <formula>NOT(ISERROR(SEARCH("SÁBADO",CI33)))</formula>
    </cfRule>
  </conditionalFormatting>
  <conditionalFormatting sqref="CI34:CK34">
    <cfRule type="containsText" dxfId="1437" priority="2394" operator="containsText" text="DOMINGO">
      <formula>NOT(ISERROR(SEARCH("DOMINGO",CI34)))</formula>
    </cfRule>
    <cfRule type="containsText" dxfId="1436" priority="2395" operator="containsText" text="SÁBADO">
      <formula>NOT(ISERROR(SEARCH("SÁBADO",CI34)))</formula>
    </cfRule>
    <cfRule type="containsText" dxfId="1435" priority="2396" operator="containsText" text="FERIADO">
      <formula>NOT(ISERROR(SEARCH("FERIADO",CI34)))</formula>
    </cfRule>
    <cfRule type="containsText" dxfId="1434" priority="2399" operator="containsText" text="ATESTADO">
      <formula>NOT(ISERROR(SEARCH("ATESTADO",CI34)))</formula>
    </cfRule>
    <cfRule type="containsText" dxfId="1433" priority="2398" operator="containsText" text="FALTOU">
      <formula>NOT(ISERROR(SEARCH("FALTOU",CI34)))</formula>
    </cfRule>
    <cfRule type="containsText" dxfId="1432" priority="2397" operator="containsText" text="DESCANSO">
      <formula>NOT(ISERROR(SEARCH("DESCANSO",CI34)))</formula>
    </cfRule>
  </conditionalFormatting>
  <conditionalFormatting sqref="CI1:CL1">
    <cfRule type="containsText" dxfId="1431" priority="2600" operator="containsText" text="DESCANSO">
      <formula>NOT(ISERROR(SEARCH("DESCANSO",CI1)))</formula>
    </cfRule>
    <cfRule type="containsText" dxfId="1430" priority="2601" operator="containsText" text="FALTOU">
      <formula>NOT(ISERROR(SEARCH("FALTOU",CI1)))</formula>
    </cfRule>
  </conditionalFormatting>
  <conditionalFormatting sqref="CI22:CL23">
    <cfRule type="containsText" dxfId="1429" priority="2581" operator="containsText" text="ATESTADO">
      <formula>NOT(ISERROR(SEARCH("ATESTADO",CI22)))</formula>
    </cfRule>
    <cfRule type="containsText" dxfId="1428" priority="2583" operator="containsText" text="FALTOU">
      <formula>NOT(ISERROR(SEARCH("FALTOU",CI22)))</formula>
    </cfRule>
    <cfRule type="containsText" dxfId="1427" priority="2578" operator="containsText" text="DOMINGO">
      <formula>NOT(ISERROR(SEARCH("DOMINGO",CI22)))</formula>
    </cfRule>
    <cfRule type="containsText" dxfId="1426" priority="2582" operator="containsText" text="DESCANSO">
      <formula>NOT(ISERROR(SEARCH("DESCANSO",CI22)))</formula>
    </cfRule>
    <cfRule type="containsText" dxfId="1425" priority="2580" operator="containsText" text="FERIADO">
      <formula>NOT(ISERROR(SEARCH("FERIADO",CI22)))</formula>
    </cfRule>
    <cfRule type="containsText" dxfId="1424" priority="2579" operator="containsText" text="SÁBADO">
      <formula>NOT(ISERROR(SEARCH("SÁBADO",CI22)))</formula>
    </cfRule>
  </conditionalFormatting>
  <conditionalFormatting sqref="CI322:CL322">
    <cfRule type="containsText" dxfId="1423" priority="2602" operator="containsText" text="DESCANSO">
      <formula>NOT(ISERROR(SEARCH("DESCANSO",CI322)))</formula>
    </cfRule>
    <cfRule type="containsText" dxfId="1422" priority="2603" operator="containsText" text="FALTOU">
      <formula>NOT(ISERROR(SEARCH("FALTOU",CI322)))</formula>
    </cfRule>
  </conditionalFormatting>
  <conditionalFormatting sqref="CJ35:CL35 CL34">
    <cfRule type="containsText" dxfId="1421" priority="2495" operator="containsText" text="ATESTADO">
      <formula>NOT(ISERROR(SEARCH("ATESTADO",CJ34)))</formula>
    </cfRule>
  </conditionalFormatting>
  <conditionalFormatting sqref="CJ35:CL35">
    <cfRule type="containsText" dxfId="1420" priority="2493" operator="containsText" text="DESCANSO">
      <formula>NOT(ISERROR(SEARCH("DESCANSO",CJ35)))</formula>
    </cfRule>
    <cfRule type="containsText" dxfId="1419" priority="2490" operator="containsText" text="DOMINGO">
      <formula>NOT(ISERROR(SEARCH("DOMINGO",CJ35)))</formula>
    </cfRule>
    <cfRule type="containsText" dxfId="1418" priority="2491" operator="containsText" text="SÁBADO">
      <formula>NOT(ISERROR(SEARCH("SÁBADO",CJ35)))</formula>
    </cfRule>
    <cfRule type="containsText" dxfId="1417" priority="2492" operator="containsText" text="FERIADO">
      <formula>NOT(ISERROR(SEARCH("FERIADO",CJ35)))</formula>
    </cfRule>
    <cfRule type="containsText" dxfId="1416" priority="2494" operator="containsText" text="FALTOU">
      <formula>NOT(ISERROR(SEARCH("FALTOU",CJ35)))</formula>
    </cfRule>
  </conditionalFormatting>
  <conditionalFormatting sqref="CJ314:CL314">
    <cfRule type="containsText" dxfId="1415" priority="2598" operator="containsText" text="DESCANSO">
      <formula>NOT(ISERROR(SEARCH("DESCANSO",CJ314)))</formula>
    </cfRule>
    <cfRule type="containsText" dxfId="1414" priority="2597" operator="containsText" text="FALTOU">
      <formula>NOT(ISERROR(SEARCH("FALTOU",CJ314)))</formula>
    </cfRule>
    <cfRule type="containsText" dxfId="1413" priority="2599" operator="containsText" text="FALTOU">
      <formula>NOT(ISERROR(SEARCH("FALTOU",CJ314)))</formula>
    </cfRule>
    <cfRule type="containsText" dxfId="1412" priority="2596" operator="containsText" text="DESCANSO">
      <formula>NOT(ISERROR(SEARCH("DESCANSO",CJ314)))</formula>
    </cfRule>
  </conditionalFormatting>
  <conditionalFormatting sqref="CK36:CK40">
    <cfRule type="containsText" dxfId="1411" priority="2313" operator="containsText" text="DESCANSO">
      <formula>NOT(ISERROR(SEARCH("DESCANSO",CK36)))</formula>
    </cfRule>
    <cfRule type="containsText" dxfId="1410" priority="2315" operator="containsText" text="ATESTADO">
      <formula>NOT(ISERROR(SEARCH("ATESTADO",CK36)))</formula>
    </cfRule>
    <cfRule type="containsText" dxfId="1409" priority="2312" operator="containsText" text="FERIADO">
      <formula>NOT(ISERROR(SEARCH("FERIADO",CK36)))</formula>
    </cfRule>
    <cfRule type="containsText" dxfId="1408" priority="2311" operator="containsText" text="SÁBADO">
      <formula>NOT(ISERROR(SEARCH("SÁBADO",CK36)))</formula>
    </cfRule>
    <cfRule type="containsText" dxfId="1407" priority="2310" operator="containsText" text="DOMINGO">
      <formula>NOT(ISERROR(SEARCH("DOMINGO",CK36)))</formula>
    </cfRule>
    <cfRule type="containsText" dxfId="1406" priority="2314" operator="containsText" text="FALTOU">
      <formula>NOT(ISERROR(SEARCH("FALTOU",CK36)))</formula>
    </cfRule>
  </conditionalFormatting>
  <conditionalFormatting sqref="CL24:CL26">
    <cfRule type="containsText" dxfId="1405" priority="2577" operator="containsText" text="FALTOU">
      <formula>NOT(ISERROR(SEARCH("FALTOU",CL24)))</formula>
    </cfRule>
    <cfRule type="containsText" dxfId="1404" priority="2576" operator="containsText" text="DESCANSO">
      <formula>NOT(ISERROR(SEARCH("DESCANSO",CL24)))</formula>
    </cfRule>
    <cfRule type="containsText" dxfId="1403" priority="2574" operator="containsText" text="FERIADO">
      <formula>NOT(ISERROR(SEARCH("FERIADO",CL24)))</formula>
    </cfRule>
    <cfRule type="containsText" dxfId="1402" priority="2573" operator="containsText" text="SÁBADO">
      <formula>NOT(ISERROR(SEARCH("SÁBADO",CL24)))</formula>
    </cfRule>
    <cfRule type="containsText" dxfId="1401" priority="2572" operator="containsText" text="DOMINGO">
      <formula>NOT(ISERROR(SEARCH("DOMINGO",CL24)))</formula>
    </cfRule>
    <cfRule type="containsText" dxfId="1400" priority="2575" operator="containsText" text="ATESTADO">
      <formula>NOT(ISERROR(SEARCH("ATESTADO",CL24)))</formula>
    </cfRule>
  </conditionalFormatting>
  <conditionalFormatting sqref="CL29:CL31">
    <cfRule type="containsText" dxfId="1399" priority="2471" operator="containsText" text="FALTOU">
      <formula>NOT(ISERROR(SEARCH("FALTOU",CL29)))</formula>
    </cfRule>
    <cfRule type="containsText" dxfId="1398" priority="2470" operator="containsText" text="DESCANSO">
      <formula>NOT(ISERROR(SEARCH("DESCANSO",CL29)))</formula>
    </cfRule>
    <cfRule type="containsText" dxfId="1397" priority="2469" operator="containsText" text="ATESTADO">
      <formula>NOT(ISERROR(SEARCH("ATESTADO",CL29)))</formula>
    </cfRule>
    <cfRule type="containsText" dxfId="1396" priority="2468" operator="containsText" text="FERIADO">
      <formula>NOT(ISERROR(SEARCH("FERIADO",CL29)))</formula>
    </cfRule>
    <cfRule type="containsText" dxfId="1395" priority="2467" operator="containsText" text="SÁBADO">
      <formula>NOT(ISERROR(SEARCH("SÁBADO",CL29)))</formula>
    </cfRule>
    <cfRule type="containsText" dxfId="1394" priority="2466" operator="containsText" text="DOMINGO">
      <formula>NOT(ISERROR(SEARCH("DOMINGO",CL29)))</formula>
    </cfRule>
  </conditionalFormatting>
  <conditionalFormatting sqref="CL33">
    <cfRule type="containsText" dxfId="1393" priority="2451" operator="containsText" text="ATESTADO">
      <formula>NOT(ISERROR(SEARCH("ATESTADO",CL33)))</formula>
    </cfRule>
  </conditionalFormatting>
  <conditionalFormatting sqref="CL33:CL34">
    <cfRule type="containsText" dxfId="1392" priority="2449" operator="containsText" text="SÁBADO">
      <formula>NOT(ISERROR(SEARCH("SÁBADO",CL33)))</formula>
    </cfRule>
    <cfRule type="containsText" dxfId="1391" priority="2448" operator="containsText" text="DOMINGO">
      <formula>NOT(ISERROR(SEARCH("DOMINGO",CL33)))</formula>
    </cfRule>
    <cfRule type="containsText" dxfId="1390" priority="2453" operator="containsText" text="FALTOU">
      <formula>NOT(ISERROR(SEARCH("FALTOU",CL33)))</formula>
    </cfRule>
    <cfRule type="containsText" dxfId="1389" priority="2452" operator="containsText" text="DESCANSO">
      <formula>NOT(ISERROR(SEARCH("DESCANSO",CL33)))</formula>
    </cfRule>
    <cfRule type="containsText" dxfId="1388" priority="2450" operator="containsText" text="FERIADO">
      <formula>NOT(ISERROR(SEARCH("FERIADO",CL33)))</formula>
    </cfRule>
  </conditionalFormatting>
  <conditionalFormatting sqref="CL36:CL40">
    <cfRule type="containsText" dxfId="1387" priority="2296" operator="containsText" text="DESCANSO">
      <formula>NOT(ISERROR(SEARCH("DESCANSO",CL36)))</formula>
    </cfRule>
    <cfRule type="containsText" dxfId="1386" priority="2295" operator="containsText" text="ATESTADO">
      <formula>NOT(ISERROR(SEARCH("ATESTADO",CL36)))</formula>
    </cfRule>
    <cfRule type="containsText" dxfId="1385" priority="2294" operator="containsText" text="FERIADO">
      <formula>NOT(ISERROR(SEARCH("FERIADO",CL36)))</formula>
    </cfRule>
    <cfRule type="containsText" dxfId="1384" priority="2293" operator="containsText" text="SÁBADO">
      <formula>NOT(ISERROR(SEARCH("SÁBADO",CL36)))</formula>
    </cfRule>
    <cfRule type="containsText" dxfId="1383" priority="2292" operator="containsText" text="DOMINGO">
      <formula>NOT(ISERROR(SEARCH("DOMINGO",CL36)))</formula>
    </cfRule>
    <cfRule type="containsText" dxfId="1382" priority="2297" operator="containsText" text="FALTOU">
      <formula>NOT(ISERROR(SEARCH("FALTOU",CL36)))</formula>
    </cfRule>
  </conditionalFormatting>
  <conditionalFormatting sqref="CM1:CM1048576 CT1:CT1048576 DA1:DA1048576 DH1:DH1048576 DO1:DO1048576 DV1:DV1048576 EC1:XFD1048576 N34:AR34 AV34:BM34 BQ34:CA34 CF34:CF36 A34:B39 G34:I40 N35:BM35 BR35:CA39 AA36:AD36 AO36:AR36 BC36:BF36 BH36:BM36 AH36:AK38 N36:W39 AW36:AY39">
    <cfRule type="containsText" dxfId="1381" priority="2497" operator="containsText" text="SÁBADO">
      <formula>NOT(ISERROR(SEARCH("SÁBADO",A1)))</formula>
    </cfRule>
    <cfRule type="containsText" dxfId="1380" priority="2498" operator="containsText" text="FERIADO">
      <formula>NOT(ISERROR(SEARCH("FERIADO",A1)))</formula>
    </cfRule>
    <cfRule type="containsText" dxfId="1379" priority="2496" operator="containsText" text="DOMINGO">
      <formula>NOT(ISERROR(SEARCH("DOMINGO",A1)))</formula>
    </cfRule>
  </conditionalFormatting>
  <conditionalFormatting sqref="CM1:CM1048576 CT1:CT1048576 DA1:DA1048576 DH1:DH1048576 DO1:DO1048576 DV1:DV1048576 EC1:XFD1048576 BQ34:CA34 CF34:CF36 BR35:CA39 N34:AR34 AV34:BM34 A34:B39 G34:I40 N35:BM35 N36:W36 AA36:AD36 AO36:AR36 BC36:BF36 BH36:BM36 AH36:AK38 AW36:AY39">
    <cfRule type="containsText" dxfId="1378" priority="2501" operator="containsText" text="ATESTADO">
      <formula>NOT(ISERROR(SEARCH("ATESTADO",A1)))</formula>
    </cfRule>
  </conditionalFormatting>
  <conditionalFormatting sqref="CM1:CM1048576 CT1:CT1048576 DA1:DA1048576 DH1:DH1048576 DO1:DO1048576 DV1:DV1048576 EC1:XFD1048576 CF34:CF36 BY34:CA39">
    <cfRule type="containsText" dxfId="1377" priority="2499" operator="containsText" text="DESCANSO">
      <formula>NOT(ISERROR(SEARCH("DESCANSO",BY1)))</formula>
    </cfRule>
    <cfRule type="containsText" dxfId="1376" priority="2500" operator="containsText" text="FALTOU">
      <formula>NOT(ISERROR(SEARCH("FALTOU",BY1)))</formula>
    </cfRule>
  </conditionalFormatting>
  <conditionalFormatting sqref="CN32:CN46">
    <cfRule type="containsText" dxfId="1375" priority="2058" operator="containsText" text="ATESTADO">
      <formula>NOT(ISERROR(SEARCH("ATESTADO",CN32)))</formula>
    </cfRule>
    <cfRule type="containsText" dxfId="1374" priority="2054" operator="containsText" text="SÁBADO">
      <formula>NOT(ISERROR(SEARCH("SÁBADO",CN32)))</formula>
    </cfRule>
    <cfRule type="containsText" dxfId="1373" priority="2053" operator="containsText" text="DOMINGO">
      <formula>NOT(ISERROR(SEARCH("DOMINGO",CN32)))</formula>
    </cfRule>
    <cfRule type="containsText" dxfId="1372" priority="2057" operator="containsText" text="FALTOU">
      <formula>NOT(ISERROR(SEARCH("FALTOU",CN32)))</formula>
    </cfRule>
    <cfRule type="containsText" dxfId="1371" priority="2056" operator="containsText" text="DESCANSO">
      <formula>NOT(ISERROR(SEARCH("DESCANSO",CN32)))</formula>
    </cfRule>
    <cfRule type="containsText" dxfId="1370" priority="2055" operator="containsText" text="FERIADO">
      <formula>NOT(ISERROR(SEARCH("FERIADO",CN32)))</formula>
    </cfRule>
  </conditionalFormatting>
  <conditionalFormatting sqref="CN1:CO1">
    <cfRule type="containsText" dxfId="1369" priority="2243" operator="containsText" text="FALTOU">
      <formula>NOT(ISERROR(SEARCH("FALTOU",CN1)))</formula>
    </cfRule>
    <cfRule type="containsText" dxfId="1368" priority="2241" operator="containsText" text="ATESTADO">
      <formula>NOT(ISERROR(SEARCH("ATESTADO",CN1)))</formula>
    </cfRule>
    <cfRule type="containsText" dxfId="1367" priority="2242" operator="containsText" text="DESCANSO">
      <formula>NOT(ISERROR(SEARCH("DESCANSO",CN1)))</formula>
    </cfRule>
  </conditionalFormatting>
  <conditionalFormatting sqref="CN1:CS4 CN5:CO5 CN6:CS9 CN10:CO23 CS12 CS17:CS21 CN24:CR26 CN27:CS28 CN29:CO31 CO32:CS32 CO38:CQ38 CO39 CO40:CQ40 CO41:CS46 CN47:CS1048576">
    <cfRule type="containsText" dxfId="1366" priority="2249" operator="containsText" text="ATESTADO">
      <formula>NOT(ISERROR(SEARCH("ATESTADO",CN1)))</formula>
    </cfRule>
    <cfRule type="containsText" dxfId="1365" priority="2248" operator="containsText" text="FALTOU">
      <formula>NOT(ISERROR(SEARCH("FALTOU",CN1)))</formula>
    </cfRule>
    <cfRule type="containsText" dxfId="1364" priority="2247" operator="containsText" text="DESCANSO">
      <formula>NOT(ISERROR(SEARCH("DESCANSO",CN1)))</formula>
    </cfRule>
    <cfRule type="containsText" dxfId="1363" priority="2246" operator="containsText" text="FERIADO">
      <formula>NOT(ISERROR(SEARCH("FERIADO",CN1)))</formula>
    </cfRule>
  </conditionalFormatting>
  <conditionalFormatting sqref="CN1:CS4 CN47:CS1048576 CN24:CR26 CN5:CO5 CN6:CS9 CN10:CO23 CS12 CS17:CS21 CN27:CS28 CN29:CO31 CO32:CS32 CO38:CQ38 CO39 CO40:CQ40 CO41:CS46">
    <cfRule type="containsText" dxfId="1362" priority="2245" operator="containsText" text="SÁBADO">
      <formula>NOT(ISERROR(SEARCH("SÁBADO",CN1)))</formula>
    </cfRule>
    <cfRule type="containsText" dxfId="1361" priority="2244" operator="containsText" text="DOMINGO">
      <formula>NOT(ISERROR(SEARCH("DOMINGO",CN1)))</formula>
    </cfRule>
  </conditionalFormatting>
  <conditionalFormatting sqref="CO33:CO37">
    <cfRule type="containsText" dxfId="1360" priority="2061" operator="containsText" text="FERIADO">
      <formula>NOT(ISERROR(SEARCH("FERIADO",CO33)))</formula>
    </cfRule>
    <cfRule type="containsText" dxfId="1359" priority="2060" operator="containsText" text="SÁBADO">
      <formula>NOT(ISERROR(SEARCH("SÁBADO",CO33)))</formula>
    </cfRule>
    <cfRule type="containsText" dxfId="1358" priority="2059" operator="containsText" text="DOMINGO">
      <formula>NOT(ISERROR(SEARCH("DOMINGO",CO33)))</formula>
    </cfRule>
    <cfRule type="containsText" dxfId="1357" priority="2063" operator="containsText" text="FALTOU">
      <formula>NOT(ISERROR(SEARCH("FALTOU",CO33)))</formula>
    </cfRule>
    <cfRule type="containsText" dxfId="1356" priority="2062" operator="containsText" text="DESCANSO">
      <formula>NOT(ISERROR(SEARCH("DESCANSO",CO33)))</formula>
    </cfRule>
    <cfRule type="containsText" dxfId="1355" priority="2064" operator="containsText" text="ATESTADO">
      <formula>NOT(ISERROR(SEARCH("ATESTADO",CO33)))</formula>
    </cfRule>
  </conditionalFormatting>
  <conditionalFormatting sqref="CP35">
    <cfRule type="containsText" dxfId="1354" priority="2148" operator="containsText" text="ATESTADO">
      <formula>NOT(ISERROR(SEARCH("ATESTADO",CP35)))</formula>
    </cfRule>
    <cfRule type="containsText" dxfId="1353" priority="2147" operator="containsText" text="FALTOU">
      <formula>NOT(ISERROR(SEARCH("FALTOU",CP35)))</formula>
    </cfRule>
    <cfRule type="containsText" dxfId="1352" priority="2146" operator="containsText" text="DESCANSO">
      <formula>NOT(ISERROR(SEARCH("DESCANSO",CP35)))</formula>
    </cfRule>
    <cfRule type="containsText" dxfId="1351" priority="2145" operator="containsText" text="FERIADO">
      <formula>NOT(ISERROR(SEARCH("FERIADO",CP35)))</formula>
    </cfRule>
    <cfRule type="containsText" dxfId="1350" priority="2144" operator="containsText" text="SÁBADO">
      <formula>NOT(ISERROR(SEARCH("SÁBADO",CP35)))</formula>
    </cfRule>
    <cfRule type="containsText" dxfId="1349" priority="2143" operator="containsText" text="DOMINGO">
      <formula>NOT(ISERROR(SEARCH("DOMINGO",CP35)))</formula>
    </cfRule>
  </conditionalFormatting>
  <conditionalFormatting sqref="CP24:CQ24">
    <cfRule type="containsText" dxfId="1348" priority="2208" operator="containsText" text="FALTOU">
      <formula>NOT(ISERROR(SEARCH("FALTOU",CP24)))</formula>
    </cfRule>
  </conditionalFormatting>
  <conditionalFormatting sqref="CP24:CQ26">
    <cfRule type="containsText" dxfId="1347" priority="2191" operator="containsText" text="DOMINGO">
      <formula>NOT(ISERROR(SEARCH("DOMINGO",CP24)))</formula>
    </cfRule>
    <cfRule type="containsText" dxfId="1346" priority="2192" operator="containsText" text="SÁBADO">
      <formula>NOT(ISERROR(SEARCH("SÁBADO",CP24)))</formula>
    </cfRule>
    <cfRule type="containsText" dxfId="1345" priority="2193" operator="containsText" text="FERIADO">
      <formula>NOT(ISERROR(SEARCH("FERIADO",CP24)))</formula>
    </cfRule>
    <cfRule type="containsText" dxfId="1344" priority="2195" operator="containsText" text="DESCANSO">
      <formula>NOT(ISERROR(SEARCH("DESCANSO",CP24)))</formula>
    </cfRule>
    <cfRule type="containsText" dxfId="1343" priority="2194" operator="containsText" text="ATESTADO">
      <formula>NOT(ISERROR(SEARCH("ATESTADO",CP24)))</formula>
    </cfRule>
  </conditionalFormatting>
  <conditionalFormatting sqref="CP25:CQ25">
    <cfRule type="containsText" dxfId="1342" priority="2202" operator="containsText" text="FALTOU">
      <formula>NOT(ISERROR(SEARCH("FALTOU",CP25)))</formula>
    </cfRule>
  </conditionalFormatting>
  <conditionalFormatting sqref="CP26:CQ26">
    <cfRule type="containsText" dxfId="1341" priority="2196" operator="containsText" text="FALTOU">
      <formula>NOT(ISERROR(SEARCH("FALTOU",CP26)))</formula>
    </cfRule>
  </conditionalFormatting>
  <conditionalFormatting sqref="CP29:CQ29">
    <cfRule type="containsText" dxfId="1340" priority="2178" operator="containsText" text="FALTOU">
      <formula>NOT(ISERROR(SEARCH("FALTOU",CP29)))</formula>
    </cfRule>
  </conditionalFormatting>
  <conditionalFormatting sqref="CP29:CQ31">
    <cfRule type="containsText" dxfId="1339" priority="2127" operator="containsText" text="FERIADO">
      <formula>NOT(ISERROR(SEARCH("FERIADO",CP29)))</formula>
    </cfRule>
    <cfRule type="containsText" dxfId="1338" priority="2126" operator="containsText" text="SÁBADO">
      <formula>NOT(ISERROR(SEARCH("SÁBADO",CP29)))</formula>
    </cfRule>
    <cfRule type="containsText" dxfId="1337" priority="2125" operator="containsText" text="DOMINGO">
      <formula>NOT(ISERROR(SEARCH("DOMINGO",CP29)))</formula>
    </cfRule>
    <cfRule type="containsText" dxfId="1336" priority="2129" operator="containsText" text="DESCANSO">
      <formula>NOT(ISERROR(SEARCH("DESCANSO",CP29)))</formula>
    </cfRule>
    <cfRule type="containsText" dxfId="1335" priority="2128" operator="containsText" text="ATESTADO">
      <formula>NOT(ISERROR(SEARCH("ATESTADO",CP29)))</formula>
    </cfRule>
  </conditionalFormatting>
  <conditionalFormatting sqref="CP30:CQ30">
    <cfRule type="containsText" dxfId="1334" priority="2160" operator="containsText" text="FALTOU">
      <formula>NOT(ISERROR(SEARCH("FALTOU",CP30)))</formula>
    </cfRule>
  </conditionalFormatting>
  <conditionalFormatting sqref="CP31:CQ31">
    <cfRule type="containsText" dxfId="1333" priority="2130" operator="containsText" text="FALTOU">
      <formula>NOT(ISERROR(SEARCH("FALTOU",CP31)))</formula>
    </cfRule>
  </conditionalFormatting>
  <conditionalFormatting sqref="CP33:CQ33">
    <cfRule type="containsText" dxfId="1332" priority="2112" operator="containsText" text="FALTOU">
      <formula>NOT(ISERROR(SEARCH("FALTOU",CP33)))</formula>
    </cfRule>
  </conditionalFormatting>
  <conditionalFormatting sqref="CP33:CQ34">
    <cfRule type="containsText" dxfId="1331" priority="2090" operator="containsText" text="SÁBADO">
      <formula>NOT(ISERROR(SEARCH("SÁBADO",CP33)))</formula>
    </cfRule>
    <cfRule type="containsText" dxfId="1330" priority="2091" operator="containsText" text="FERIADO">
      <formula>NOT(ISERROR(SEARCH("FERIADO",CP33)))</formula>
    </cfRule>
    <cfRule type="containsText" dxfId="1329" priority="2092" operator="containsText" text="ATESTADO">
      <formula>NOT(ISERROR(SEARCH("ATESTADO",CP33)))</formula>
    </cfRule>
    <cfRule type="containsText" dxfId="1328" priority="2093" operator="containsText" text="DESCANSO">
      <formula>NOT(ISERROR(SEARCH("DESCANSO",CP33)))</formula>
    </cfRule>
    <cfRule type="containsText" dxfId="1327" priority="2089" operator="containsText" text="DOMINGO">
      <formula>NOT(ISERROR(SEARCH("DOMINGO",CP33)))</formula>
    </cfRule>
  </conditionalFormatting>
  <conditionalFormatting sqref="CP34:CQ34">
    <cfRule type="containsText" dxfId="1326" priority="2094" operator="containsText" text="FALTOU">
      <formula>NOT(ISERROR(SEARCH("FALTOU",CP34)))</formula>
    </cfRule>
  </conditionalFormatting>
  <conditionalFormatting sqref="CP36:CQ37">
    <cfRule type="containsText" dxfId="1325" priority="2081" operator="containsText" text="FALTOU">
      <formula>NOT(ISERROR(SEARCH("FALTOU",CP36)))</formula>
    </cfRule>
    <cfRule type="containsText" dxfId="1324" priority="2077" operator="containsText" text="DOMINGO">
      <formula>NOT(ISERROR(SEARCH("DOMINGO",CP36)))</formula>
    </cfRule>
    <cfRule type="containsText" dxfId="1323" priority="2074" operator="containsText" text="ATESTADO">
      <formula>NOT(ISERROR(SEARCH("ATESTADO",CP36)))</formula>
    </cfRule>
    <cfRule type="containsText" dxfId="1322" priority="2075" operator="containsText" text="DESCANSO">
      <formula>NOT(ISERROR(SEARCH("DESCANSO",CP36)))</formula>
    </cfRule>
    <cfRule type="containsText" dxfId="1321" priority="2076" operator="containsText" text="FALTOU">
      <formula>NOT(ISERROR(SEARCH("FALTOU",CP36)))</formula>
    </cfRule>
    <cfRule type="containsText" dxfId="1320" priority="2080" operator="containsText" text="DESCANSO">
      <formula>NOT(ISERROR(SEARCH("DESCANSO",CP36)))</formula>
    </cfRule>
    <cfRule type="containsText" dxfId="1319" priority="2082" operator="containsText" text="ATESTADO">
      <formula>NOT(ISERROR(SEARCH("ATESTADO",CP36)))</formula>
    </cfRule>
    <cfRule type="containsText" dxfId="1318" priority="2073" operator="containsText" text="FERIADO">
      <formula>NOT(ISERROR(SEARCH("FERIADO",CP36)))</formula>
    </cfRule>
    <cfRule type="containsText" dxfId="1317" priority="2079" operator="containsText" text="FERIADO">
      <formula>NOT(ISERROR(SEARCH("FERIADO",CP36)))</formula>
    </cfRule>
    <cfRule type="containsText" dxfId="1316" priority="2078" operator="containsText" text="SÁBADO">
      <formula>NOT(ISERROR(SEARCH("SÁBADO",CP36)))</formula>
    </cfRule>
    <cfRule type="containsText" dxfId="1315" priority="2071" operator="containsText" text="DOMINGO">
      <formula>NOT(ISERROR(SEARCH("DOMINGO",CP36)))</formula>
    </cfRule>
    <cfRule type="containsText" dxfId="1314" priority="2072" operator="containsText" text="SÁBADO">
      <formula>NOT(ISERROR(SEARCH("SÁBADO",CP36)))</formula>
    </cfRule>
  </conditionalFormatting>
  <conditionalFormatting sqref="CP39:CQ39">
    <cfRule type="containsText" dxfId="1313" priority="2047" operator="containsText" text="DOMINGO">
      <formula>NOT(ISERROR(SEARCH("DOMINGO",CP39)))</formula>
    </cfRule>
    <cfRule type="containsText" dxfId="1312" priority="2052" operator="containsText" text="ATESTADO">
      <formula>NOT(ISERROR(SEARCH("ATESTADO",CP39)))</formula>
    </cfRule>
    <cfRule type="containsText" dxfId="1311" priority="2051" operator="containsText" text="FALTOU">
      <formula>NOT(ISERROR(SEARCH("FALTOU",CP39)))</formula>
    </cfRule>
    <cfRule type="containsText" dxfId="1310" priority="2050" operator="containsText" text="DESCANSO">
      <formula>NOT(ISERROR(SEARCH("DESCANSO",CP39)))</formula>
    </cfRule>
    <cfRule type="containsText" dxfId="1309" priority="2049" operator="containsText" text="FERIADO">
      <formula>NOT(ISERROR(SEARCH("FERIADO",CP39)))</formula>
    </cfRule>
    <cfRule type="containsText" dxfId="1308" priority="2048" operator="containsText" text="SÁBADO">
      <formula>NOT(ISERROR(SEARCH("SÁBADO",CP39)))</formula>
    </cfRule>
  </conditionalFormatting>
  <conditionalFormatting sqref="CP10:CR21">
    <cfRule type="containsText" dxfId="1307" priority="2232" operator="containsText" text="ATESTADO">
      <formula>NOT(ISERROR(SEARCH("ATESTADO",CP10)))</formula>
    </cfRule>
    <cfRule type="containsText" dxfId="1306" priority="2227" operator="containsText" text="DOMINGO">
      <formula>NOT(ISERROR(SEARCH("DOMINGO",CP10)))</formula>
    </cfRule>
    <cfRule type="containsText" dxfId="1305" priority="2228" operator="containsText" text="SÁBADO">
      <formula>NOT(ISERROR(SEARCH("SÁBADO",CP10)))</formula>
    </cfRule>
    <cfRule type="containsText" dxfId="1304" priority="2229" operator="containsText" text="FERIADO">
      <formula>NOT(ISERROR(SEARCH("FERIADO",CP10)))</formula>
    </cfRule>
    <cfRule type="containsText" dxfId="1303" priority="2230" operator="containsText" text="DESCANSO">
      <formula>NOT(ISERROR(SEARCH("DESCANSO",CP10)))</formula>
    </cfRule>
    <cfRule type="containsText" dxfId="1302" priority="2231" operator="containsText" text="FALTOU">
      <formula>NOT(ISERROR(SEARCH("FALTOU",CP10)))</formula>
    </cfRule>
  </conditionalFormatting>
  <conditionalFormatting sqref="CP29:CR29">
    <cfRule type="containsText" dxfId="1301" priority="2190" operator="containsText" text="ATESTADO">
      <formula>NOT(ISERROR(SEARCH("ATESTADO",CP29)))</formula>
    </cfRule>
    <cfRule type="containsText" dxfId="1300" priority="2189" operator="containsText" text="FALTOU">
      <formula>NOT(ISERROR(SEARCH("FALTOU",CP29)))</formula>
    </cfRule>
    <cfRule type="containsText" dxfId="1299" priority="2188" operator="containsText" text="DESCANSO">
      <formula>NOT(ISERROR(SEARCH("DESCANSO",CP29)))</formula>
    </cfRule>
    <cfRule type="containsText" dxfId="1298" priority="2185" operator="containsText" text="DOMINGO">
      <formula>NOT(ISERROR(SEARCH("DOMINGO",CP29)))</formula>
    </cfRule>
    <cfRule type="containsText" dxfId="1297" priority="2186" operator="containsText" text="SÁBADO">
      <formula>NOT(ISERROR(SEARCH("SÁBADO",CP29)))</formula>
    </cfRule>
    <cfRule type="containsText" dxfId="1296" priority="2187" operator="containsText" text="FERIADO">
      <formula>NOT(ISERROR(SEARCH("FERIADO",CP29)))</formula>
    </cfRule>
  </conditionalFormatting>
  <conditionalFormatting sqref="CP30:CR30">
    <cfRule type="containsText" dxfId="1295" priority="2171" operator="containsText" text="FALTOU">
      <formula>NOT(ISERROR(SEARCH("FALTOU",CP30)))</formula>
    </cfRule>
    <cfRule type="containsText" dxfId="1294" priority="2168" operator="containsText" text="SÁBADO">
      <formula>NOT(ISERROR(SEARCH("SÁBADO",CP30)))</formula>
    </cfRule>
    <cfRule type="containsText" dxfId="1293" priority="2169" operator="containsText" text="FERIADO">
      <formula>NOT(ISERROR(SEARCH("FERIADO",CP30)))</formula>
    </cfRule>
    <cfRule type="containsText" dxfId="1292" priority="2170" operator="containsText" text="DESCANSO">
      <formula>NOT(ISERROR(SEARCH("DESCANSO",CP30)))</formula>
    </cfRule>
    <cfRule type="containsText" dxfId="1291" priority="2167" operator="containsText" text="DOMINGO">
      <formula>NOT(ISERROR(SEARCH("DOMINGO",CP30)))</formula>
    </cfRule>
    <cfRule type="containsText" dxfId="1290" priority="2172" operator="containsText" text="ATESTADO">
      <formula>NOT(ISERROR(SEARCH("ATESTADO",CP30)))</formula>
    </cfRule>
  </conditionalFormatting>
  <conditionalFormatting sqref="CP31:CR31">
    <cfRule type="containsText" dxfId="1289" priority="2137" operator="containsText" text="DOMINGO">
      <formula>NOT(ISERROR(SEARCH("DOMINGO",CP31)))</formula>
    </cfRule>
    <cfRule type="containsText" dxfId="1288" priority="2142" operator="containsText" text="ATESTADO">
      <formula>NOT(ISERROR(SEARCH("ATESTADO",CP31)))</formula>
    </cfRule>
    <cfRule type="containsText" dxfId="1287" priority="2138" operator="containsText" text="SÁBADO">
      <formula>NOT(ISERROR(SEARCH("SÁBADO",CP31)))</formula>
    </cfRule>
    <cfRule type="containsText" dxfId="1286" priority="2139" operator="containsText" text="FERIADO">
      <formula>NOT(ISERROR(SEARCH("FERIADO",CP31)))</formula>
    </cfRule>
    <cfRule type="containsText" dxfId="1285" priority="2140" operator="containsText" text="DESCANSO">
      <formula>NOT(ISERROR(SEARCH("DESCANSO",CP31)))</formula>
    </cfRule>
    <cfRule type="containsText" dxfId="1284" priority="2141" operator="containsText" text="FALTOU">
      <formula>NOT(ISERROR(SEARCH("FALTOU",CP31)))</formula>
    </cfRule>
  </conditionalFormatting>
  <conditionalFormatting sqref="CP33:CR33">
    <cfRule type="containsText" dxfId="1283" priority="2120" operator="containsText" text="SÁBADO">
      <formula>NOT(ISERROR(SEARCH("SÁBADO",CP33)))</formula>
    </cfRule>
    <cfRule type="containsText" dxfId="1282" priority="2121" operator="containsText" text="FERIADO">
      <formula>NOT(ISERROR(SEARCH("FERIADO",CP33)))</formula>
    </cfRule>
    <cfRule type="containsText" dxfId="1281" priority="2122" operator="containsText" text="DESCANSO">
      <formula>NOT(ISERROR(SEARCH("DESCANSO",CP33)))</formula>
    </cfRule>
    <cfRule type="containsText" dxfId="1280" priority="2123" operator="containsText" text="FALTOU">
      <formula>NOT(ISERROR(SEARCH("FALTOU",CP33)))</formula>
    </cfRule>
    <cfRule type="containsText" dxfId="1279" priority="2119" operator="containsText" text="DOMINGO">
      <formula>NOT(ISERROR(SEARCH("DOMINGO",CP33)))</formula>
    </cfRule>
    <cfRule type="containsText" dxfId="1278" priority="2124" operator="containsText" text="ATESTADO">
      <formula>NOT(ISERROR(SEARCH("ATESTADO",CP33)))</formula>
    </cfRule>
  </conditionalFormatting>
  <conditionalFormatting sqref="CP34:CR34">
    <cfRule type="containsText" dxfId="1277" priority="2100" operator="containsText" text="ATESTADO">
      <formula>NOT(ISERROR(SEARCH("ATESTADO",CP34)))</formula>
    </cfRule>
    <cfRule type="containsText" dxfId="1276" priority="2099" operator="containsText" text="FALTOU">
      <formula>NOT(ISERROR(SEARCH("FALTOU",CP34)))</formula>
    </cfRule>
    <cfRule type="containsText" dxfId="1275" priority="2098" operator="containsText" text="DESCANSO">
      <formula>NOT(ISERROR(SEARCH("DESCANSO",CP34)))</formula>
    </cfRule>
    <cfRule type="containsText" dxfId="1274" priority="2097" operator="containsText" text="FERIADO">
      <formula>NOT(ISERROR(SEARCH("FERIADO",CP34)))</formula>
    </cfRule>
    <cfRule type="containsText" dxfId="1273" priority="2096" operator="containsText" text="SÁBADO">
      <formula>NOT(ISERROR(SEARCH("SÁBADO",CP34)))</formula>
    </cfRule>
    <cfRule type="containsText" dxfId="1272" priority="2095" operator="containsText" text="DOMINGO">
      <formula>NOT(ISERROR(SEARCH("DOMINGO",CP34)))</formula>
    </cfRule>
  </conditionalFormatting>
  <conditionalFormatting sqref="CP1:CS1">
    <cfRule type="containsText" dxfId="1271" priority="2237" operator="containsText" text="DESCANSO">
      <formula>NOT(ISERROR(SEARCH("DESCANSO",CP1)))</formula>
    </cfRule>
    <cfRule type="containsText" dxfId="1270" priority="2238" operator="containsText" text="FALTOU">
      <formula>NOT(ISERROR(SEARCH("FALTOU",CP1)))</formula>
    </cfRule>
  </conditionalFormatting>
  <conditionalFormatting sqref="CP22:CS22">
    <cfRule type="containsText" dxfId="1269" priority="2226" operator="containsText" text="FALTOU">
      <formula>NOT(ISERROR(SEARCH("FALTOU",CP22)))</formula>
    </cfRule>
  </conditionalFormatting>
  <conditionalFormatting sqref="CP22:CS23">
    <cfRule type="containsText" dxfId="1268" priority="2216" operator="containsText" text="SÁBADO">
      <formula>NOT(ISERROR(SEARCH("SÁBADO",CP22)))</formula>
    </cfRule>
    <cfRule type="containsText" dxfId="1267" priority="2219" operator="containsText" text="DESCANSO">
      <formula>NOT(ISERROR(SEARCH("DESCANSO",CP22)))</formula>
    </cfRule>
    <cfRule type="containsText" dxfId="1266" priority="2217" operator="containsText" text="FERIADO">
      <formula>NOT(ISERROR(SEARCH("FERIADO",CP22)))</formula>
    </cfRule>
    <cfRule type="containsText" dxfId="1265" priority="2215" operator="containsText" text="DOMINGO">
      <formula>NOT(ISERROR(SEARCH("DOMINGO",CP22)))</formula>
    </cfRule>
    <cfRule type="containsText" dxfId="1264" priority="2218" operator="containsText" text="ATESTADO">
      <formula>NOT(ISERROR(SEARCH("ATESTADO",CP22)))</formula>
    </cfRule>
  </conditionalFormatting>
  <conditionalFormatting sqref="CP23:CS23">
    <cfRule type="containsText" dxfId="1263" priority="2220" operator="containsText" text="FALTOU">
      <formula>NOT(ISERROR(SEARCH("FALTOU",CP23)))</formula>
    </cfRule>
  </conditionalFormatting>
  <conditionalFormatting sqref="CP322:CS322">
    <cfRule type="containsText" dxfId="1262" priority="2239" operator="containsText" text="DESCANSO">
      <formula>NOT(ISERROR(SEARCH("DESCANSO",CP322)))</formula>
    </cfRule>
    <cfRule type="containsText" dxfId="1261" priority="2240" operator="containsText" text="FALTOU">
      <formula>NOT(ISERROR(SEARCH("FALTOU",CP322)))</formula>
    </cfRule>
  </conditionalFormatting>
  <conditionalFormatting sqref="CQ35:CS35 CS34">
    <cfRule type="containsText" dxfId="1260" priority="2154" operator="containsText" text="ATESTADO">
      <formula>NOT(ISERROR(SEARCH("ATESTADO",CQ34)))</formula>
    </cfRule>
  </conditionalFormatting>
  <conditionalFormatting sqref="CQ35:CS35">
    <cfRule type="containsText" dxfId="1259" priority="2152" operator="containsText" text="DESCANSO">
      <formula>NOT(ISERROR(SEARCH("DESCANSO",CQ35)))</formula>
    </cfRule>
    <cfRule type="containsText" dxfId="1258" priority="2153" operator="containsText" text="FALTOU">
      <formula>NOT(ISERROR(SEARCH("FALTOU",CQ35)))</formula>
    </cfRule>
    <cfRule type="containsText" dxfId="1257" priority="2149" operator="containsText" text="DOMINGO">
      <formula>NOT(ISERROR(SEARCH("DOMINGO",CQ35)))</formula>
    </cfRule>
    <cfRule type="containsText" dxfId="1256" priority="2151" operator="containsText" text="FERIADO">
      <formula>NOT(ISERROR(SEARCH("FERIADO",CQ35)))</formula>
    </cfRule>
    <cfRule type="containsText" dxfId="1255" priority="2150" operator="containsText" text="SÁBADO">
      <formula>NOT(ISERROR(SEARCH("SÁBADO",CQ35)))</formula>
    </cfRule>
  </conditionalFormatting>
  <conditionalFormatting sqref="CQ314:CS314">
    <cfRule type="containsText" dxfId="1254" priority="2236" operator="containsText" text="FALTOU">
      <formula>NOT(ISERROR(SEARCH("FALTOU",CQ314)))</formula>
    </cfRule>
    <cfRule type="containsText" dxfId="1253" priority="2235" operator="containsText" text="DESCANSO">
      <formula>NOT(ISERROR(SEARCH("DESCANSO",CQ314)))</formula>
    </cfRule>
    <cfRule type="containsText" dxfId="1252" priority="2234" operator="containsText" text="FALTOU">
      <formula>NOT(ISERROR(SEARCH("FALTOU",CQ314)))</formula>
    </cfRule>
    <cfRule type="containsText" dxfId="1251" priority="2233" operator="containsText" text="DESCANSO">
      <formula>NOT(ISERROR(SEARCH("DESCANSO",CQ314)))</formula>
    </cfRule>
  </conditionalFormatting>
  <conditionalFormatting sqref="CR36:CR40">
    <cfRule type="containsText" dxfId="1250" priority="1838" operator="containsText" text="SÁBADO">
      <formula>NOT(ISERROR(SEARCH("SÁBADO",CR36)))</formula>
    </cfRule>
    <cfRule type="containsText" dxfId="1249" priority="1837" operator="containsText" text="DOMINGO">
      <formula>NOT(ISERROR(SEARCH("DOMINGO",CR36)))</formula>
    </cfRule>
    <cfRule type="containsText" dxfId="1248" priority="1839" operator="containsText" text="FERIADO">
      <formula>NOT(ISERROR(SEARCH("FERIADO",CR36)))</formula>
    </cfRule>
    <cfRule type="containsText" dxfId="1247" priority="1840" operator="containsText" text="DESCANSO">
      <formula>NOT(ISERROR(SEARCH("DESCANSO",CR36)))</formula>
    </cfRule>
    <cfRule type="containsText" dxfId="1246" priority="1841" operator="containsText" text="FALTOU">
      <formula>NOT(ISERROR(SEARCH("FALTOU",CR36)))</formula>
    </cfRule>
    <cfRule type="containsText" dxfId="1245" priority="1842" operator="containsText" text="ATESTADO">
      <formula>NOT(ISERROR(SEARCH("ATESTADO",CR36)))</formula>
    </cfRule>
  </conditionalFormatting>
  <conditionalFormatting sqref="CS24:CS26">
    <cfRule type="containsText" dxfId="1244" priority="2214" operator="containsText" text="FALTOU">
      <formula>NOT(ISERROR(SEARCH("FALTOU",CS24)))</formula>
    </cfRule>
    <cfRule type="containsText" dxfId="1243" priority="2213" operator="containsText" text="DESCANSO">
      <formula>NOT(ISERROR(SEARCH("DESCANSO",CS24)))</formula>
    </cfRule>
    <cfRule type="containsText" dxfId="1242" priority="2212" operator="containsText" text="ATESTADO">
      <formula>NOT(ISERROR(SEARCH("ATESTADO",CS24)))</formula>
    </cfRule>
    <cfRule type="containsText" dxfId="1241" priority="2211" operator="containsText" text="FERIADO">
      <formula>NOT(ISERROR(SEARCH("FERIADO",CS24)))</formula>
    </cfRule>
    <cfRule type="containsText" dxfId="1240" priority="2210" operator="containsText" text="SÁBADO">
      <formula>NOT(ISERROR(SEARCH("SÁBADO",CS24)))</formula>
    </cfRule>
    <cfRule type="containsText" dxfId="1239" priority="2209" operator="containsText" text="DOMINGO">
      <formula>NOT(ISERROR(SEARCH("DOMINGO",CS24)))</formula>
    </cfRule>
  </conditionalFormatting>
  <conditionalFormatting sqref="CS29">
    <cfRule type="containsText" dxfId="1238" priority="2184" operator="containsText" text="FALTOU">
      <formula>NOT(ISERROR(SEARCH("FALTOU",CS29)))</formula>
    </cfRule>
  </conditionalFormatting>
  <conditionalFormatting sqref="CS29:CS31">
    <cfRule type="containsText" dxfId="1237" priority="2132" operator="containsText" text="SÁBADO">
      <formula>NOT(ISERROR(SEARCH("SÁBADO",CS29)))</formula>
    </cfRule>
    <cfRule type="containsText" dxfId="1236" priority="2133" operator="containsText" text="FERIADO">
      <formula>NOT(ISERROR(SEARCH("FERIADO",CS29)))</formula>
    </cfRule>
    <cfRule type="containsText" dxfId="1235" priority="2135" operator="containsText" text="DESCANSO">
      <formula>NOT(ISERROR(SEARCH("DESCANSO",CS29)))</formula>
    </cfRule>
    <cfRule type="containsText" dxfId="1234" priority="2134" operator="containsText" text="ATESTADO">
      <formula>NOT(ISERROR(SEARCH("ATESTADO",CS29)))</formula>
    </cfRule>
    <cfRule type="containsText" dxfId="1233" priority="2131" operator="containsText" text="DOMINGO">
      <formula>NOT(ISERROR(SEARCH("DOMINGO",CS29)))</formula>
    </cfRule>
  </conditionalFormatting>
  <conditionalFormatting sqref="CS30">
    <cfRule type="containsText" dxfId="1232" priority="2166" operator="containsText" text="FALTOU">
      <formula>NOT(ISERROR(SEARCH("FALTOU",CS30)))</formula>
    </cfRule>
  </conditionalFormatting>
  <conditionalFormatting sqref="CS31">
    <cfRule type="containsText" dxfId="1231" priority="2136" operator="containsText" text="FALTOU">
      <formula>NOT(ISERROR(SEARCH("FALTOU",CS31)))</formula>
    </cfRule>
  </conditionalFormatting>
  <conditionalFormatting sqref="CS33">
    <cfRule type="containsText" dxfId="1230" priority="2116" operator="containsText" text="ATESTADO">
      <formula>NOT(ISERROR(SEARCH("ATESTADO",CS33)))</formula>
    </cfRule>
  </conditionalFormatting>
  <conditionalFormatting sqref="CS33:CS34">
    <cfRule type="containsText" dxfId="1229" priority="2114" operator="containsText" text="SÁBADO">
      <formula>NOT(ISERROR(SEARCH("SÁBADO",CS33)))</formula>
    </cfRule>
    <cfRule type="containsText" dxfId="1228" priority="2113" operator="containsText" text="DOMINGO">
      <formula>NOT(ISERROR(SEARCH("DOMINGO",CS33)))</formula>
    </cfRule>
    <cfRule type="containsText" dxfId="1227" priority="2117" operator="containsText" text="DESCANSO">
      <formula>NOT(ISERROR(SEARCH("DESCANSO",CS33)))</formula>
    </cfRule>
    <cfRule type="containsText" dxfId="1226" priority="2118" operator="containsText" text="FALTOU">
      <formula>NOT(ISERROR(SEARCH("FALTOU",CS33)))</formula>
    </cfRule>
    <cfRule type="containsText" dxfId="1225" priority="2115" operator="containsText" text="FERIADO">
      <formula>NOT(ISERROR(SEARCH("FERIADO",CS33)))</formula>
    </cfRule>
  </conditionalFormatting>
  <conditionalFormatting sqref="CS36:CS38">
    <cfRule type="containsText" dxfId="1224" priority="2070" operator="containsText" text="FALTOU">
      <formula>NOT(ISERROR(SEARCH("FALTOU",CS36)))</formula>
    </cfRule>
  </conditionalFormatting>
  <conditionalFormatting sqref="CS36:CS40">
    <cfRule type="containsText" dxfId="1223" priority="1835" operator="containsText" text="DESCANSO">
      <formula>NOT(ISERROR(SEARCH("DESCANSO",CS36)))</formula>
    </cfRule>
    <cfRule type="containsText" dxfId="1222" priority="1834" operator="containsText" text="ATESTADO">
      <formula>NOT(ISERROR(SEARCH("ATESTADO",CS36)))</formula>
    </cfRule>
    <cfRule type="containsText" dxfId="1221" priority="1833" operator="containsText" text="FERIADO">
      <formula>NOT(ISERROR(SEARCH("FERIADO",CS36)))</formula>
    </cfRule>
    <cfRule type="containsText" dxfId="1220" priority="1832" operator="containsText" text="SÁBADO">
      <formula>NOT(ISERROR(SEARCH("SÁBADO",CS36)))</formula>
    </cfRule>
    <cfRule type="containsText" dxfId="1219" priority="1831" operator="containsText" text="DOMINGO">
      <formula>NOT(ISERROR(SEARCH("DOMINGO",CS36)))</formula>
    </cfRule>
  </conditionalFormatting>
  <conditionalFormatting sqref="CS39">
    <cfRule type="containsText" dxfId="1218" priority="2040" operator="containsText" text="FALTOU">
      <formula>NOT(ISERROR(SEARCH("FALTOU",CS39)))</formula>
    </cfRule>
  </conditionalFormatting>
  <conditionalFormatting sqref="CS40">
    <cfRule type="containsText" dxfId="1217" priority="1836" operator="containsText" text="FALTOU">
      <formula>NOT(ISERROR(SEARCH("FALTOU",CS40)))</formula>
    </cfRule>
  </conditionalFormatting>
  <conditionalFormatting sqref="CU32:CU46">
    <cfRule type="containsText" dxfId="1216" priority="1611" operator="containsText" text="DESCANSO">
      <formula>NOT(ISERROR(SEARCH("DESCANSO",CU32)))</formula>
    </cfRule>
    <cfRule type="containsText" dxfId="1215" priority="1610" operator="containsText" text="FERIADO">
      <formula>NOT(ISERROR(SEARCH("FERIADO",CU32)))</formula>
    </cfRule>
    <cfRule type="containsText" dxfId="1214" priority="1609" operator="containsText" text="SÁBADO">
      <formula>NOT(ISERROR(SEARCH("SÁBADO",CU32)))</formula>
    </cfRule>
    <cfRule type="containsText" dxfId="1213" priority="1608" operator="containsText" text="DOMINGO">
      <formula>NOT(ISERROR(SEARCH("DOMINGO",CU32)))</formula>
    </cfRule>
    <cfRule type="containsText" dxfId="1212" priority="1613" operator="containsText" text="ATESTADO">
      <formula>NOT(ISERROR(SEARCH("ATESTADO",CU32)))</formula>
    </cfRule>
    <cfRule type="containsText" dxfId="1211" priority="1612" operator="containsText" text="FALTOU">
      <formula>NOT(ISERROR(SEARCH("FALTOU",CU32)))</formula>
    </cfRule>
  </conditionalFormatting>
  <conditionalFormatting sqref="CU1:CV1">
    <cfRule type="containsText" dxfId="1210" priority="1798" operator="containsText" text="FALTOU">
      <formula>NOT(ISERROR(SEARCH("FALTOU",CU1)))</formula>
    </cfRule>
    <cfRule type="containsText" dxfId="1209" priority="1797" operator="containsText" text="DESCANSO">
      <formula>NOT(ISERROR(SEARCH("DESCANSO",CU1)))</formula>
    </cfRule>
    <cfRule type="containsText" dxfId="1208" priority="1796" operator="containsText" text="ATESTADO">
      <formula>NOT(ISERROR(SEARCH("ATESTADO",CU1)))</formula>
    </cfRule>
  </conditionalFormatting>
  <conditionalFormatting sqref="CU1:CZ4 CU5:CV5 CU6:CZ9 CU10:CV23 CZ12 CZ17:CZ21 CU24:CY26 CU27:CZ28 CU29:CV31 CV32:CZ32 CV38:CX38 CV39 CV40:CX40 CV41:CZ46 CU47:CZ56 CU57:CX61 CZ57:CZ61 CU62:CZ63 CU64:CX68 CZ64:CZ68 CU69:CZ70 CU71:CX75 CZ71:CZ75 CU76:CZ77 CU78:CX82 CU83:CZ84 CU85:CX89 CU90:CZ1048576">
    <cfRule type="containsText" dxfId="1207" priority="1804" operator="containsText" text="ATESTADO">
      <formula>NOT(ISERROR(SEARCH("ATESTADO",CU1)))</formula>
    </cfRule>
    <cfRule type="containsText" dxfId="1206" priority="1802" operator="containsText" text="DESCANSO">
      <formula>NOT(ISERROR(SEARCH("DESCANSO",CU1)))</formula>
    </cfRule>
  </conditionalFormatting>
  <conditionalFormatting sqref="CU1:CZ4 CU90:CZ1048576 CU24:CY26 CU5:CV5 CU6:CZ9 CU10:CV23 CZ12 CZ17:CZ21 CU27:CZ28 CU29:CV31 CV32:CZ32 CV38:CX38 CV39 CV40:CX40 CV41:CZ46 CU47:CZ56 CU57:CX61 CZ57:CZ61 CU62:CZ63 CU64:CX68 CZ64:CZ68 CU69:CZ70 CU71:CX75 CZ71:CZ75 CU76:CZ77 CU78:CX82 CU83:CZ84 CU85:CX89">
    <cfRule type="containsText" dxfId="1205" priority="1800" operator="containsText" text="SÁBADO">
      <formula>NOT(ISERROR(SEARCH("SÁBADO",CU1)))</formula>
    </cfRule>
    <cfRule type="containsText" dxfId="1204" priority="1799" operator="containsText" text="DOMINGO">
      <formula>NOT(ISERROR(SEARCH("DOMINGO",CU1)))</formula>
    </cfRule>
  </conditionalFormatting>
  <conditionalFormatting sqref="CU27:CZ28 CU1:CZ4 CU6:CZ9 CU5:CV5 CZ12 CZ17:CZ21 CU10:CV23 CU24:CY26 CV32:CZ32 CU29:CV31 CV38:CX38 CV40:CX40 CV39 CV41:CZ46 CZ57:CZ61 CU47:CZ56 CU57:CX61 CU62:CZ63 CU64:CX68 CZ64:CZ68 CU69:CZ70 CU71:CX75 CZ71:CZ75 CU76:CZ77 CU83:CZ84 CU78:CX82 CU90:CZ1048576 CU85:CX89">
    <cfRule type="containsText" dxfId="1203" priority="1803" operator="containsText" text="FALTOU">
      <formula>NOT(ISERROR(SEARCH("FALTOU",CU1)))</formula>
    </cfRule>
    <cfRule type="containsText" dxfId="1202" priority="1801" operator="containsText" text="FERIADO">
      <formula>NOT(ISERROR(SEARCH("FERIADO",CU1)))</formula>
    </cfRule>
  </conditionalFormatting>
  <conditionalFormatting sqref="CV33 CW35 CV36:CV37">
    <cfRule type="containsText" dxfId="1201" priority="1702" operator="containsText" text="FALTOU">
      <formula>NOT(ISERROR(SEARCH("FALTOU",CV33)))</formula>
    </cfRule>
    <cfRule type="containsText" dxfId="1200" priority="1700" operator="containsText" text="FERIADO">
      <formula>NOT(ISERROR(SEARCH("FERIADO",CV33)))</formula>
    </cfRule>
  </conditionalFormatting>
  <conditionalFormatting sqref="CV33:CV37">
    <cfRule type="containsText" dxfId="1199" priority="1614" operator="containsText" text="DOMINGO">
      <formula>NOT(ISERROR(SEARCH("DOMINGO",CV33)))</formula>
    </cfRule>
    <cfRule type="containsText" dxfId="1198" priority="1615" operator="containsText" text="SÁBADO">
      <formula>NOT(ISERROR(SEARCH("SÁBADO",CV33)))</formula>
    </cfRule>
    <cfRule type="containsText" dxfId="1197" priority="1617" operator="containsText" text="DESCANSO">
      <formula>NOT(ISERROR(SEARCH("DESCANSO",CV33)))</formula>
    </cfRule>
  </conditionalFormatting>
  <conditionalFormatting sqref="CV34">
    <cfRule type="containsText" dxfId="1196" priority="1658" operator="containsText" text="FERIADO">
      <formula>NOT(ISERROR(SEARCH("FERIADO",CV34)))</formula>
    </cfRule>
    <cfRule type="containsText" dxfId="1195" priority="1661" operator="containsText" text="ATESTADO">
      <formula>NOT(ISERROR(SEARCH("ATESTADO",CV34)))</formula>
    </cfRule>
    <cfRule type="containsText" dxfId="1194" priority="1660" operator="containsText" text="FALTOU">
      <formula>NOT(ISERROR(SEARCH("FALTOU",CV34)))</formula>
    </cfRule>
  </conditionalFormatting>
  <conditionalFormatting sqref="CV35">
    <cfRule type="containsText" dxfId="1193" priority="1616" operator="containsText" text="FERIADO">
      <formula>NOT(ISERROR(SEARCH("FERIADO",CV35)))</formula>
    </cfRule>
    <cfRule type="containsText" dxfId="1192" priority="1618" operator="containsText" text="FALTOU">
      <formula>NOT(ISERROR(SEARCH("FALTOU",CV35)))</formula>
    </cfRule>
    <cfRule type="containsText" dxfId="1191" priority="1619" operator="containsText" text="ATESTADO">
      <formula>NOT(ISERROR(SEARCH("ATESTADO",CV35)))</formula>
    </cfRule>
  </conditionalFormatting>
  <conditionalFormatting sqref="CW35 CV33 CV36:CV37">
    <cfRule type="containsText" dxfId="1190" priority="1703" operator="containsText" text="ATESTADO">
      <formula>NOT(ISERROR(SEARCH("ATESTADO",CV33)))</formula>
    </cfRule>
  </conditionalFormatting>
  <conditionalFormatting sqref="CW35">
    <cfRule type="containsText" dxfId="1189" priority="1701" operator="containsText" text="DESCANSO">
      <formula>NOT(ISERROR(SEARCH("DESCANSO",CW35)))</formula>
    </cfRule>
    <cfRule type="containsText" dxfId="1188" priority="1699" operator="containsText" text="SÁBADO">
      <formula>NOT(ISERROR(SEARCH("SÁBADO",CW35)))</formula>
    </cfRule>
    <cfRule type="containsText" dxfId="1187" priority="1698" operator="containsText" text="DOMINGO">
      <formula>NOT(ISERROR(SEARCH("DOMINGO",CW35)))</formula>
    </cfRule>
  </conditionalFormatting>
  <conditionalFormatting sqref="CW24:CX24">
    <cfRule type="containsText" dxfId="1186" priority="1761" operator="containsText" text="ATESTADO">
      <formula>NOT(ISERROR(SEARCH("ATESTADO",CW24)))</formula>
    </cfRule>
    <cfRule type="containsText" dxfId="1185" priority="1760" operator="containsText" text="FERIADO">
      <formula>NOT(ISERROR(SEARCH("FERIADO",CW24)))</formula>
    </cfRule>
    <cfRule type="containsText" dxfId="1184" priority="1763" operator="containsText" text="FALTOU">
      <formula>NOT(ISERROR(SEARCH("FALTOU",CW24)))</formula>
    </cfRule>
    <cfRule type="containsText" dxfId="1183" priority="1762" operator="containsText" text="DESCANSO">
      <formula>NOT(ISERROR(SEARCH("DESCANSO",CW24)))</formula>
    </cfRule>
  </conditionalFormatting>
  <conditionalFormatting sqref="CW24:CX26">
    <cfRule type="containsText" dxfId="1182" priority="1747" operator="containsText" text="SÁBADO">
      <formula>NOT(ISERROR(SEARCH("SÁBADO",CW24)))</formula>
    </cfRule>
    <cfRule type="containsText" dxfId="1181" priority="1746" operator="containsText" text="DOMINGO">
      <formula>NOT(ISERROR(SEARCH("DOMINGO",CW24)))</formula>
    </cfRule>
  </conditionalFormatting>
  <conditionalFormatting sqref="CW25:CX25">
    <cfRule type="containsText" dxfId="1180" priority="1757" operator="containsText" text="FALTOU">
      <formula>NOT(ISERROR(SEARCH("FALTOU",CW25)))</formula>
    </cfRule>
    <cfRule type="containsText" dxfId="1179" priority="1755" operator="containsText" text="ATESTADO">
      <formula>NOT(ISERROR(SEARCH("ATESTADO",CW25)))</formula>
    </cfRule>
    <cfRule type="containsText" dxfId="1178" priority="1754" operator="containsText" text="FERIADO">
      <formula>NOT(ISERROR(SEARCH("FERIADO",CW25)))</formula>
    </cfRule>
    <cfRule type="containsText" dxfId="1177" priority="1756" operator="containsText" text="DESCANSO">
      <formula>NOT(ISERROR(SEARCH("DESCANSO",CW25)))</formula>
    </cfRule>
  </conditionalFormatting>
  <conditionalFormatting sqref="CW26:CX26">
    <cfRule type="containsText" dxfId="1176" priority="1751" operator="containsText" text="FALTOU">
      <formula>NOT(ISERROR(SEARCH("FALTOU",CW26)))</formula>
    </cfRule>
    <cfRule type="containsText" dxfId="1175" priority="1748" operator="containsText" text="FERIADO">
      <formula>NOT(ISERROR(SEARCH("FERIADO",CW26)))</formula>
    </cfRule>
    <cfRule type="containsText" dxfId="1174" priority="1750" operator="containsText" text="DESCANSO">
      <formula>NOT(ISERROR(SEARCH("DESCANSO",CW26)))</formula>
    </cfRule>
    <cfRule type="containsText" dxfId="1173" priority="1749" operator="containsText" text="ATESTADO">
      <formula>NOT(ISERROR(SEARCH("ATESTADO",CW26)))</formula>
    </cfRule>
  </conditionalFormatting>
  <conditionalFormatting sqref="CW29:CX29">
    <cfRule type="containsText" dxfId="1172" priority="1730" operator="containsText" text="FERIADO">
      <formula>NOT(ISERROR(SEARCH("FERIADO",CW29)))</formula>
    </cfRule>
    <cfRule type="containsText" dxfId="1171" priority="1731" operator="containsText" text="ATESTADO">
      <formula>NOT(ISERROR(SEARCH("ATESTADO",CW29)))</formula>
    </cfRule>
    <cfRule type="containsText" dxfId="1170" priority="1732" operator="containsText" text="DESCANSO">
      <formula>NOT(ISERROR(SEARCH("DESCANSO",CW29)))</formula>
    </cfRule>
    <cfRule type="containsText" dxfId="1169" priority="1733" operator="containsText" text="FALTOU">
      <formula>NOT(ISERROR(SEARCH("FALTOU",CW29)))</formula>
    </cfRule>
  </conditionalFormatting>
  <conditionalFormatting sqref="CW29:CX31">
    <cfRule type="containsText" dxfId="1168" priority="1681" operator="containsText" text="SÁBADO">
      <formula>NOT(ISERROR(SEARCH("SÁBADO",CW29)))</formula>
    </cfRule>
    <cfRule type="containsText" dxfId="1167" priority="1680" operator="containsText" text="DOMINGO">
      <formula>NOT(ISERROR(SEARCH("DOMINGO",CW29)))</formula>
    </cfRule>
  </conditionalFormatting>
  <conditionalFormatting sqref="CW30:CX30">
    <cfRule type="containsText" dxfId="1166" priority="1715" operator="containsText" text="FALTOU">
      <formula>NOT(ISERROR(SEARCH("FALTOU",CW30)))</formula>
    </cfRule>
    <cfRule type="containsText" dxfId="1165" priority="1714" operator="containsText" text="DESCANSO">
      <formula>NOT(ISERROR(SEARCH("DESCANSO",CW30)))</formula>
    </cfRule>
    <cfRule type="containsText" dxfId="1164" priority="1713" operator="containsText" text="ATESTADO">
      <formula>NOT(ISERROR(SEARCH("ATESTADO",CW30)))</formula>
    </cfRule>
    <cfRule type="containsText" dxfId="1163" priority="1712" operator="containsText" text="FERIADO">
      <formula>NOT(ISERROR(SEARCH("FERIADO",CW30)))</formula>
    </cfRule>
  </conditionalFormatting>
  <conditionalFormatting sqref="CW31:CX31">
    <cfRule type="containsText" dxfId="1162" priority="1684" operator="containsText" text="DESCANSO">
      <formula>NOT(ISERROR(SEARCH("DESCANSO",CW31)))</formula>
    </cfRule>
    <cfRule type="containsText" dxfId="1161" priority="1685" operator="containsText" text="FALTOU">
      <formula>NOT(ISERROR(SEARCH("FALTOU",CW31)))</formula>
    </cfRule>
    <cfRule type="containsText" dxfId="1160" priority="1682" operator="containsText" text="FERIADO">
      <formula>NOT(ISERROR(SEARCH("FERIADO",CW31)))</formula>
    </cfRule>
    <cfRule type="containsText" dxfId="1159" priority="1683" operator="containsText" text="ATESTADO">
      <formula>NOT(ISERROR(SEARCH("ATESTADO",CW31)))</formula>
    </cfRule>
  </conditionalFormatting>
  <conditionalFormatting sqref="CW33:CX33">
    <cfRule type="containsText" dxfId="1158" priority="1664" operator="containsText" text="FERIADO">
      <formula>NOT(ISERROR(SEARCH("FERIADO",CW33)))</formula>
    </cfRule>
    <cfRule type="containsText" dxfId="1157" priority="1665" operator="containsText" text="ATESTADO">
      <formula>NOT(ISERROR(SEARCH("ATESTADO",CW33)))</formula>
    </cfRule>
    <cfRule type="containsText" dxfId="1156" priority="1666" operator="containsText" text="DESCANSO">
      <formula>NOT(ISERROR(SEARCH("DESCANSO",CW33)))</formula>
    </cfRule>
    <cfRule type="containsText" dxfId="1155" priority="1667" operator="containsText" text="FALTOU">
      <formula>NOT(ISERROR(SEARCH("FALTOU",CW33)))</formula>
    </cfRule>
  </conditionalFormatting>
  <conditionalFormatting sqref="CW33:CX34">
    <cfRule type="containsText" dxfId="1154" priority="1645" operator="containsText" text="SÁBADO">
      <formula>NOT(ISERROR(SEARCH("SÁBADO",CW33)))</formula>
    </cfRule>
    <cfRule type="containsText" dxfId="1153" priority="1644" operator="containsText" text="DOMINGO">
      <formula>NOT(ISERROR(SEARCH("DOMINGO",CW33)))</formula>
    </cfRule>
  </conditionalFormatting>
  <conditionalFormatting sqref="CW34:CX34">
    <cfRule type="containsText" dxfId="1152" priority="1649" operator="containsText" text="FALTOU">
      <formula>NOT(ISERROR(SEARCH("FALTOU",CW34)))</formula>
    </cfRule>
    <cfRule type="containsText" dxfId="1151" priority="1648" operator="containsText" text="DESCANSO">
      <formula>NOT(ISERROR(SEARCH("DESCANSO",CW34)))</formula>
    </cfRule>
    <cfRule type="containsText" dxfId="1150" priority="1646" operator="containsText" text="FERIADO">
      <formula>NOT(ISERROR(SEARCH("FERIADO",CW34)))</formula>
    </cfRule>
    <cfRule type="containsText" dxfId="1149" priority="1647" operator="containsText" text="ATESTADO">
      <formula>NOT(ISERROR(SEARCH("ATESTADO",CW34)))</formula>
    </cfRule>
  </conditionalFormatting>
  <conditionalFormatting sqref="CW36:CX37">
    <cfRule type="containsText" dxfId="1148" priority="1635" operator="containsText" text="DESCANSO">
      <formula>NOT(ISERROR(SEARCH("DESCANSO",CW36)))</formula>
    </cfRule>
    <cfRule type="containsText" dxfId="1147" priority="1627" operator="containsText" text="SÁBADO">
      <formula>NOT(ISERROR(SEARCH("SÁBADO",CW36)))</formula>
    </cfRule>
    <cfRule type="containsText" dxfId="1146" priority="1628" operator="containsText" text="FERIADO">
      <formula>NOT(ISERROR(SEARCH("FERIADO",CW36)))</formula>
    </cfRule>
    <cfRule type="containsText" dxfId="1145" priority="1633" operator="containsText" text="SÁBADO">
      <formula>NOT(ISERROR(SEARCH("SÁBADO",CW36)))</formula>
    </cfRule>
    <cfRule type="containsText" dxfId="1144" priority="1632" operator="containsText" text="DOMINGO">
      <formula>NOT(ISERROR(SEARCH("DOMINGO",CW36)))</formula>
    </cfRule>
    <cfRule type="containsText" dxfId="1143" priority="1637" operator="containsText" text="ATESTADO">
      <formula>NOT(ISERROR(SEARCH("ATESTADO",CW36)))</formula>
    </cfRule>
    <cfRule type="containsText" dxfId="1142" priority="1634" operator="containsText" text="FERIADO">
      <formula>NOT(ISERROR(SEARCH("FERIADO",CW36)))</formula>
    </cfRule>
    <cfRule type="containsText" dxfId="1141" priority="1630" operator="containsText" text="DESCANSO">
      <formula>NOT(ISERROR(SEARCH("DESCANSO",CW36)))</formula>
    </cfRule>
    <cfRule type="containsText" dxfId="1140" priority="1629" operator="containsText" text="ATESTADO">
      <formula>NOT(ISERROR(SEARCH("ATESTADO",CW36)))</formula>
    </cfRule>
    <cfRule type="containsText" dxfId="1139" priority="1636" operator="containsText" text="FALTOU">
      <formula>NOT(ISERROR(SEARCH("FALTOU",CW36)))</formula>
    </cfRule>
    <cfRule type="containsText" dxfId="1138" priority="1626" operator="containsText" text="DOMINGO">
      <formula>NOT(ISERROR(SEARCH("DOMINGO",CW36)))</formula>
    </cfRule>
    <cfRule type="containsText" dxfId="1137" priority="1631" operator="containsText" text="FALTOU">
      <formula>NOT(ISERROR(SEARCH("FALTOU",CW36)))</formula>
    </cfRule>
  </conditionalFormatting>
  <conditionalFormatting sqref="CW39:CX39">
    <cfRule type="containsText" dxfId="1136" priority="1606" operator="containsText" text="FALTOU">
      <formula>NOT(ISERROR(SEARCH("FALTOU",CW39)))</formula>
    </cfRule>
    <cfRule type="containsText" dxfId="1135" priority="1607" operator="containsText" text="ATESTADO">
      <formula>NOT(ISERROR(SEARCH("ATESTADO",CW39)))</formula>
    </cfRule>
    <cfRule type="containsText" dxfId="1134" priority="1603" operator="containsText" text="SÁBADO">
      <formula>NOT(ISERROR(SEARCH("SÁBADO",CW39)))</formula>
    </cfRule>
    <cfRule type="containsText" dxfId="1133" priority="1602" operator="containsText" text="DOMINGO">
      <formula>NOT(ISERROR(SEARCH("DOMINGO",CW39)))</formula>
    </cfRule>
    <cfRule type="containsText" dxfId="1132" priority="1604" operator="containsText" text="FERIADO">
      <formula>NOT(ISERROR(SEARCH("FERIADO",CW39)))</formula>
    </cfRule>
    <cfRule type="containsText" dxfId="1131" priority="1605" operator="containsText" text="DESCANSO">
      <formula>NOT(ISERROR(SEARCH("DESCANSO",CW39)))</formula>
    </cfRule>
  </conditionalFormatting>
  <conditionalFormatting sqref="CW10:CY21">
    <cfRule type="containsText" dxfId="1130" priority="1787" operator="containsText" text="ATESTADO">
      <formula>NOT(ISERROR(SEARCH("ATESTADO",CW10)))</formula>
    </cfRule>
    <cfRule type="containsText" dxfId="1129" priority="1782" operator="containsText" text="DOMINGO">
      <formula>NOT(ISERROR(SEARCH("DOMINGO",CW10)))</formula>
    </cfRule>
    <cfRule type="containsText" dxfId="1128" priority="1783" operator="containsText" text="SÁBADO">
      <formula>NOT(ISERROR(SEARCH("SÁBADO",CW10)))</formula>
    </cfRule>
    <cfRule type="containsText" dxfId="1127" priority="1784" operator="containsText" text="FERIADO">
      <formula>NOT(ISERROR(SEARCH("FERIADO",CW10)))</formula>
    </cfRule>
    <cfRule type="containsText" dxfId="1126" priority="1785" operator="containsText" text="DESCANSO">
      <formula>NOT(ISERROR(SEARCH("DESCANSO",CW10)))</formula>
    </cfRule>
    <cfRule type="containsText" dxfId="1125" priority="1786" operator="containsText" text="FALTOU">
      <formula>NOT(ISERROR(SEARCH("FALTOU",CW10)))</formula>
    </cfRule>
  </conditionalFormatting>
  <conditionalFormatting sqref="CW29:CY29">
    <cfRule type="containsText" dxfId="1124" priority="1741" operator="containsText" text="SÁBADO">
      <formula>NOT(ISERROR(SEARCH("SÁBADO",CW29)))</formula>
    </cfRule>
    <cfRule type="containsText" dxfId="1123" priority="1743" operator="containsText" text="DESCANSO">
      <formula>NOT(ISERROR(SEARCH("DESCANSO",CW29)))</formula>
    </cfRule>
    <cfRule type="containsText" dxfId="1122" priority="1744" operator="containsText" text="FALTOU">
      <formula>NOT(ISERROR(SEARCH("FALTOU",CW29)))</formula>
    </cfRule>
    <cfRule type="containsText" dxfId="1121" priority="1745" operator="containsText" text="ATESTADO">
      <formula>NOT(ISERROR(SEARCH("ATESTADO",CW29)))</formula>
    </cfRule>
    <cfRule type="containsText" dxfId="1120" priority="1740" operator="containsText" text="DOMINGO">
      <formula>NOT(ISERROR(SEARCH("DOMINGO",CW29)))</formula>
    </cfRule>
    <cfRule type="containsText" dxfId="1119" priority="1742" operator="containsText" text="FERIADO">
      <formula>NOT(ISERROR(SEARCH("FERIADO",CW29)))</formula>
    </cfRule>
  </conditionalFormatting>
  <conditionalFormatting sqref="CW30:CY30">
    <cfRule type="containsText" dxfId="1118" priority="1722" operator="containsText" text="DOMINGO">
      <formula>NOT(ISERROR(SEARCH("DOMINGO",CW30)))</formula>
    </cfRule>
    <cfRule type="containsText" dxfId="1117" priority="1723" operator="containsText" text="SÁBADO">
      <formula>NOT(ISERROR(SEARCH("SÁBADO",CW30)))</formula>
    </cfRule>
    <cfRule type="containsText" dxfId="1116" priority="1724" operator="containsText" text="FERIADO">
      <formula>NOT(ISERROR(SEARCH("FERIADO",CW30)))</formula>
    </cfRule>
    <cfRule type="containsText" dxfId="1115" priority="1725" operator="containsText" text="DESCANSO">
      <formula>NOT(ISERROR(SEARCH("DESCANSO",CW30)))</formula>
    </cfRule>
    <cfRule type="containsText" dxfId="1114" priority="1726" operator="containsText" text="FALTOU">
      <formula>NOT(ISERROR(SEARCH("FALTOU",CW30)))</formula>
    </cfRule>
    <cfRule type="containsText" dxfId="1113" priority="1727" operator="containsText" text="ATESTADO">
      <formula>NOT(ISERROR(SEARCH("ATESTADO",CW30)))</formula>
    </cfRule>
  </conditionalFormatting>
  <conditionalFormatting sqref="CW31:CY31">
    <cfRule type="containsText" dxfId="1112" priority="1697" operator="containsText" text="ATESTADO">
      <formula>NOT(ISERROR(SEARCH("ATESTADO",CW31)))</formula>
    </cfRule>
    <cfRule type="containsText" dxfId="1111" priority="1696" operator="containsText" text="FALTOU">
      <formula>NOT(ISERROR(SEARCH("FALTOU",CW31)))</formula>
    </cfRule>
    <cfRule type="containsText" dxfId="1110" priority="1695" operator="containsText" text="DESCANSO">
      <formula>NOT(ISERROR(SEARCH("DESCANSO",CW31)))</formula>
    </cfRule>
    <cfRule type="containsText" dxfId="1109" priority="1694" operator="containsText" text="FERIADO">
      <formula>NOT(ISERROR(SEARCH("FERIADO",CW31)))</formula>
    </cfRule>
    <cfRule type="containsText" dxfId="1108" priority="1693" operator="containsText" text="SÁBADO">
      <formula>NOT(ISERROR(SEARCH("SÁBADO",CW31)))</formula>
    </cfRule>
    <cfRule type="containsText" dxfId="1107" priority="1692" operator="containsText" text="DOMINGO">
      <formula>NOT(ISERROR(SEARCH("DOMINGO",CW31)))</formula>
    </cfRule>
  </conditionalFormatting>
  <conditionalFormatting sqref="CW33:CY33">
    <cfRule type="containsText" dxfId="1106" priority="1676" operator="containsText" text="FERIADO">
      <formula>NOT(ISERROR(SEARCH("FERIADO",CW33)))</formula>
    </cfRule>
    <cfRule type="containsText" dxfId="1105" priority="1679" operator="containsText" text="ATESTADO">
      <formula>NOT(ISERROR(SEARCH("ATESTADO",CW33)))</formula>
    </cfRule>
    <cfRule type="containsText" dxfId="1104" priority="1678" operator="containsText" text="FALTOU">
      <formula>NOT(ISERROR(SEARCH("FALTOU",CW33)))</formula>
    </cfRule>
    <cfRule type="containsText" dxfId="1103" priority="1677" operator="containsText" text="DESCANSO">
      <formula>NOT(ISERROR(SEARCH("DESCANSO",CW33)))</formula>
    </cfRule>
    <cfRule type="containsText" dxfId="1102" priority="1675" operator="containsText" text="SÁBADO">
      <formula>NOT(ISERROR(SEARCH("SÁBADO",CW33)))</formula>
    </cfRule>
    <cfRule type="containsText" dxfId="1101" priority="1674" operator="containsText" text="DOMINGO">
      <formula>NOT(ISERROR(SEARCH("DOMINGO",CW33)))</formula>
    </cfRule>
  </conditionalFormatting>
  <conditionalFormatting sqref="CW34:CY34">
    <cfRule type="containsText" dxfId="1100" priority="1651" operator="containsText" text="SÁBADO">
      <formula>NOT(ISERROR(SEARCH("SÁBADO",CW34)))</formula>
    </cfRule>
    <cfRule type="containsText" dxfId="1099" priority="1654" operator="containsText" text="FALTOU">
      <formula>NOT(ISERROR(SEARCH("FALTOU",CW34)))</formula>
    </cfRule>
    <cfRule type="containsText" dxfId="1098" priority="1653" operator="containsText" text="DESCANSO">
      <formula>NOT(ISERROR(SEARCH("DESCANSO",CW34)))</formula>
    </cfRule>
    <cfRule type="containsText" dxfId="1097" priority="1655" operator="containsText" text="ATESTADO">
      <formula>NOT(ISERROR(SEARCH("ATESTADO",CW34)))</formula>
    </cfRule>
    <cfRule type="containsText" dxfId="1096" priority="1650" operator="containsText" text="DOMINGO">
      <formula>NOT(ISERROR(SEARCH("DOMINGO",CW34)))</formula>
    </cfRule>
    <cfRule type="containsText" dxfId="1095" priority="1652" operator="containsText" text="FERIADO">
      <formula>NOT(ISERROR(SEARCH("FERIADO",CW34)))</formula>
    </cfRule>
  </conditionalFormatting>
  <conditionalFormatting sqref="CW1:CZ1">
    <cfRule type="containsText" dxfId="1094" priority="1793" operator="containsText" text="FALTOU">
      <formula>NOT(ISERROR(SEARCH("FALTOU",CW1)))</formula>
    </cfRule>
    <cfRule type="containsText" dxfId="1093" priority="1792" operator="containsText" text="DESCANSO">
      <formula>NOT(ISERROR(SEARCH("DESCANSO",CW1)))</formula>
    </cfRule>
  </conditionalFormatting>
  <conditionalFormatting sqref="CW22:CZ22">
    <cfRule type="containsText" dxfId="1092" priority="1781" operator="containsText" text="FALTOU">
      <formula>NOT(ISERROR(SEARCH("FALTOU",CW22)))</formula>
    </cfRule>
    <cfRule type="containsText" dxfId="1091" priority="1780" operator="containsText" text="DESCANSO">
      <formula>NOT(ISERROR(SEARCH("DESCANSO",CW22)))</formula>
    </cfRule>
    <cfRule type="containsText" dxfId="1090" priority="1779" operator="containsText" text="ATESTADO">
      <formula>NOT(ISERROR(SEARCH("ATESTADO",CW22)))</formula>
    </cfRule>
    <cfRule type="containsText" dxfId="1089" priority="1778" operator="containsText" text="FERIADO">
      <formula>NOT(ISERROR(SEARCH("FERIADO",CW22)))</formula>
    </cfRule>
  </conditionalFormatting>
  <conditionalFormatting sqref="CW22:CZ23">
    <cfRule type="containsText" dxfId="1088" priority="1771" operator="containsText" text="SÁBADO">
      <formula>NOT(ISERROR(SEARCH("SÁBADO",CW22)))</formula>
    </cfRule>
    <cfRule type="containsText" dxfId="1087" priority="1770" operator="containsText" text="DOMINGO">
      <formula>NOT(ISERROR(SEARCH("DOMINGO",CW22)))</formula>
    </cfRule>
  </conditionalFormatting>
  <conditionalFormatting sqref="CW23:CZ23">
    <cfRule type="containsText" dxfId="1086" priority="1775" operator="containsText" text="FALTOU">
      <formula>NOT(ISERROR(SEARCH("FALTOU",CW23)))</formula>
    </cfRule>
    <cfRule type="containsText" dxfId="1085" priority="1774" operator="containsText" text="DESCANSO">
      <formula>NOT(ISERROR(SEARCH("DESCANSO",CW23)))</formula>
    </cfRule>
    <cfRule type="containsText" dxfId="1084" priority="1772" operator="containsText" text="FERIADO">
      <formula>NOT(ISERROR(SEARCH("FERIADO",CW23)))</formula>
    </cfRule>
    <cfRule type="containsText" dxfId="1083" priority="1773" operator="containsText" text="ATESTADO">
      <formula>NOT(ISERROR(SEARCH("ATESTADO",CW23)))</formula>
    </cfRule>
  </conditionalFormatting>
  <conditionalFormatting sqref="CW322:CZ322">
    <cfRule type="containsText" dxfId="1082" priority="1795" operator="containsText" text="FALTOU">
      <formula>NOT(ISERROR(SEARCH("FALTOU",CW322)))</formula>
    </cfRule>
    <cfRule type="containsText" dxfId="1081" priority="1794" operator="containsText" text="DESCANSO">
      <formula>NOT(ISERROR(SEARCH("DESCANSO",CW322)))</formula>
    </cfRule>
  </conditionalFormatting>
  <conditionalFormatting sqref="CX35:CZ35 CZ34">
    <cfRule type="containsText" dxfId="1080" priority="1709" operator="containsText" text="ATESTADO">
      <formula>NOT(ISERROR(SEARCH("ATESTADO",CX34)))</formula>
    </cfRule>
    <cfRule type="containsText" dxfId="1079" priority="1708" operator="containsText" text="FALTOU">
      <formula>NOT(ISERROR(SEARCH("FALTOU",CX34)))</formula>
    </cfRule>
    <cfRule type="containsText" dxfId="1078" priority="1706" operator="containsText" text="FERIADO">
      <formula>NOT(ISERROR(SEARCH("FERIADO",CX34)))</formula>
    </cfRule>
  </conditionalFormatting>
  <conditionalFormatting sqref="CX35:CZ35">
    <cfRule type="containsText" dxfId="1077" priority="1705" operator="containsText" text="SÁBADO">
      <formula>NOT(ISERROR(SEARCH("SÁBADO",CX35)))</formula>
    </cfRule>
    <cfRule type="containsText" dxfId="1076" priority="1704" operator="containsText" text="DOMINGO">
      <formula>NOT(ISERROR(SEARCH("DOMINGO",CX35)))</formula>
    </cfRule>
    <cfRule type="containsText" dxfId="1075" priority="1707" operator="containsText" text="DESCANSO">
      <formula>NOT(ISERROR(SEARCH("DESCANSO",CX35)))</formula>
    </cfRule>
  </conditionalFormatting>
  <conditionalFormatting sqref="CX314:CZ314">
    <cfRule type="containsText" dxfId="1074" priority="1791" operator="containsText" text="FALTOU">
      <formula>NOT(ISERROR(SEARCH("FALTOU",CX314)))</formula>
    </cfRule>
    <cfRule type="containsText" dxfId="1073" priority="1789" operator="containsText" text="FALTOU">
      <formula>NOT(ISERROR(SEARCH("FALTOU",CX314)))</formula>
    </cfRule>
    <cfRule type="containsText" dxfId="1072" priority="1788" operator="containsText" text="DESCANSO">
      <formula>NOT(ISERROR(SEARCH("DESCANSO",CX314)))</formula>
    </cfRule>
    <cfRule type="containsText" dxfId="1071" priority="1790" operator="containsText" text="DESCANSO">
      <formula>NOT(ISERROR(SEARCH("DESCANSO",CX314)))</formula>
    </cfRule>
  </conditionalFormatting>
  <conditionalFormatting sqref="CY36:CY38">
    <cfRule type="containsText" dxfId="1070" priority="1640" operator="containsText" text="FERIADO">
      <formula>NOT(ISERROR(SEARCH("FERIADO",CY36)))</formula>
    </cfRule>
    <cfRule type="containsText" dxfId="1069" priority="1643" operator="containsText" text="ATESTADO">
      <formula>NOT(ISERROR(SEARCH("ATESTADO",CY36)))</formula>
    </cfRule>
    <cfRule type="containsText" dxfId="1068" priority="1642" operator="containsText" text="FALTOU">
      <formula>NOT(ISERROR(SEARCH("FALTOU",CY36)))</formula>
    </cfRule>
  </conditionalFormatting>
  <conditionalFormatting sqref="CY36:CY40">
    <cfRule type="containsText" dxfId="1067" priority="1584" operator="containsText" text="DOMINGO">
      <formula>NOT(ISERROR(SEARCH("DOMINGO",CY36)))</formula>
    </cfRule>
    <cfRule type="containsText" dxfId="1066" priority="1587" operator="containsText" text="DESCANSO">
      <formula>NOT(ISERROR(SEARCH("DESCANSO",CY36)))</formula>
    </cfRule>
    <cfRule type="containsText" dxfId="1065" priority="1585" operator="containsText" text="SÁBADO">
      <formula>NOT(ISERROR(SEARCH("SÁBADO",CY36)))</formula>
    </cfRule>
  </conditionalFormatting>
  <conditionalFormatting sqref="CY39">
    <cfRule type="containsText" dxfId="1064" priority="1598" operator="containsText" text="FERIADO">
      <formula>NOT(ISERROR(SEARCH("FERIADO",CY39)))</formula>
    </cfRule>
    <cfRule type="containsText" dxfId="1063" priority="1600" operator="containsText" text="FALTOU">
      <formula>NOT(ISERROR(SEARCH("FALTOU",CY39)))</formula>
    </cfRule>
    <cfRule type="containsText" dxfId="1062" priority="1601" operator="containsText" text="ATESTADO">
      <formula>NOT(ISERROR(SEARCH("ATESTADO",CY39)))</formula>
    </cfRule>
  </conditionalFormatting>
  <conditionalFormatting sqref="CY40">
    <cfRule type="containsText" dxfId="1061" priority="1588" operator="containsText" text="FALTOU">
      <formula>NOT(ISERROR(SEARCH("FALTOU",CY40)))</formula>
    </cfRule>
    <cfRule type="containsText" dxfId="1060" priority="1589" operator="containsText" text="ATESTADO">
      <formula>NOT(ISERROR(SEARCH("ATESTADO",CY40)))</formula>
    </cfRule>
    <cfRule type="containsText" dxfId="1059" priority="1586" operator="containsText" text="FERIADO">
      <formula>NOT(ISERROR(SEARCH("FERIADO",CY40)))</formula>
    </cfRule>
  </conditionalFormatting>
  <conditionalFormatting sqref="CY57:CY61">
    <cfRule type="containsText" dxfId="1058" priority="952" operator="containsText" text="DOMINGO">
      <formula>NOT(ISERROR(SEARCH("DOMINGO",CY57)))</formula>
    </cfRule>
    <cfRule type="containsText" dxfId="1057" priority="957" operator="containsText" text="ATESTADO">
      <formula>NOT(ISERROR(SEARCH("ATESTADO",CY57)))</formula>
    </cfRule>
    <cfRule type="containsText" dxfId="1056" priority="956" operator="containsText" text="FALTOU">
      <formula>NOT(ISERROR(SEARCH("FALTOU",CY57)))</formula>
    </cfRule>
    <cfRule type="containsText" dxfId="1055" priority="955" operator="containsText" text="DESCANSO">
      <formula>NOT(ISERROR(SEARCH("DESCANSO",CY57)))</formula>
    </cfRule>
    <cfRule type="containsText" dxfId="1054" priority="954" operator="containsText" text="FERIADO">
      <formula>NOT(ISERROR(SEARCH("FERIADO",CY57)))</formula>
    </cfRule>
    <cfRule type="containsText" dxfId="1053" priority="953" operator="containsText" text="SÁBADO">
      <formula>NOT(ISERROR(SEARCH("SÁBADO",CY57)))</formula>
    </cfRule>
  </conditionalFormatting>
  <conditionalFormatting sqref="CY64:CY68">
    <cfRule type="containsText" dxfId="1052" priority="228" operator="containsText" text="ATESTADO">
      <formula>NOT(ISERROR(SEARCH("ATESTADO",CY64)))</formula>
    </cfRule>
    <cfRule type="containsText" dxfId="1051" priority="227" operator="containsText" text="FALTOU">
      <formula>NOT(ISERROR(SEARCH("FALTOU",CY64)))</formula>
    </cfRule>
    <cfRule type="containsText" dxfId="1050" priority="223" operator="containsText" text="DOMINGO">
      <formula>NOT(ISERROR(SEARCH("DOMINGO",CY64)))</formula>
    </cfRule>
    <cfRule type="containsText" dxfId="1049" priority="226" operator="containsText" text="DESCANSO">
      <formula>NOT(ISERROR(SEARCH("DESCANSO",CY64)))</formula>
    </cfRule>
    <cfRule type="containsText" dxfId="1048" priority="225" operator="containsText" text="FERIADO">
      <formula>NOT(ISERROR(SEARCH("FERIADO",CY64)))</formula>
    </cfRule>
    <cfRule type="containsText" dxfId="1047" priority="224" operator="containsText" text="SÁBADO">
      <formula>NOT(ISERROR(SEARCH("SÁBADO",CY64)))</formula>
    </cfRule>
  </conditionalFormatting>
  <conditionalFormatting sqref="CY71:CY75">
    <cfRule type="containsText" dxfId="1046" priority="218" operator="containsText" text="SÁBADO">
      <formula>NOT(ISERROR(SEARCH("SÁBADO",CY71)))</formula>
    </cfRule>
    <cfRule type="containsText" dxfId="1045" priority="219" operator="containsText" text="FERIADO">
      <formula>NOT(ISERROR(SEARCH("FERIADO",CY71)))</formula>
    </cfRule>
    <cfRule type="containsText" dxfId="1044" priority="220" operator="containsText" text="DESCANSO">
      <formula>NOT(ISERROR(SEARCH("DESCANSO",CY71)))</formula>
    </cfRule>
    <cfRule type="containsText" dxfId="1043" priority="221" operator="containsText" text="FALTOU">
      <formula>NOT(ISERROR(SEARCH("FALTOU",CY71)))</formula>
    </cfRule>
    <cfRule type="containsText" dxfId="1042" priority="222" operator="containsText" text="ATESTADO">
      <formula>NOT(ISERROR(SEARCH("ATESTADO",CY71)))</formula>
    </cfRule>
    <cfRule type="containsText" dxfId="1041" priority="217" operator="containsText" text="DOMINGO">
      <formula>NOT(ISERROR(SEARCH("DOMINGO",CY71)))</formula>
    </cfRule>
  </conditionalFormatting>
  <conditionalFormatting sqref="CY78:CY82">
    <cfRule type="containsText" dxfId="1040" priority="91" operator="containsText" text="DOMINGO">
      <formula>NOT(ISERROR(SEARCH("DOMINGO",CY78)))</formula>
    </cfRule>
    <cfRule type="containsText" dxfId="1039" priority="92" operator="containsText" text="SÁBADO">
      <formula>NOT(ISERROR(SEARCH("SÁBADO",CY78)))</formula>
    </cfRule>
    <cfRule type="containsText" dxfId="1038" priority="94" operator="containsText" text="DESCANSO">
      <formula>NOT(ISERROR(SEARCH("DESCANSO",CY78)))</formula>
    </cfRule>
    <cfRule type="containsText" dxfId="1037" priority="95" operator="containsText" text="FALTOU">
      <formula>NOT(ISERROR(SEARCH("FALTOU",CY78)))</formula>
    </cfRule>
    <cfRule type="containsText" dxfId="1036" priority="96" operator="containsText" text="ATESTADO">
      <formula>NOT(ISERROR(SEARCH("ATESTADO",CY78)))</formula>
    </cfRule>
    <cfRule type="containsText" dxfId="1035" priority="93" operator="containsText" text="FERIADO">
      <formula>NOT(ISERROR(SEARCH("FERIADO",CY78)))</formula>
    </cfRule>
  </conditionalFormatting>
  <conditionalFormatting sqref="CY85">
    <cfRule type="containsText" dxfId="1034" priority="79" operator="containsText" text="DOMINGO">
      <formula>NOT(ISERROR(SEARCH("DOMINGO",CY85)))</formula>
    </cfRule>
    <cfRule type="containsText" dxfId="1033" priority="84" operator="containsText" text="ATESTADO">
      <formula>NOT(ISERROR(SEARCH("ATESTADO",CY85)))</formula>
    </cfRule>
    <cfRule type="containsText" dxfId="1032" priority="83" operator="containsText" text="FALTOU">
      <formula>NOT(ISERROR(SEARCH("FALTOU",CY85)))</formula>
    </cfRule>
    <cfRule type="containsText" dxfId="1031" priority="82" operator="containsText" text="DESCANSO">
      <formula>NOT(ISERROR(SEARCH("DESCANSO",CY85)))</formula>
    </cfRule>
    <cfRule type="containsText" dxfId="1030" priority="81" operator="containsText" text="FERIADO">
      <formula>NOT(ISERROR(SEARCH("FERIADO",CY85)))</formula>
    </cfRule>
  </conditionalFormatting>
  <conditionalFormatting sqref="CY85:CY89">
    <cfRule type="containsText" dxfId="1029" priority="68" operator="containsText" text="SÁBADO">
      <formula>NOT(ISERROR(SEARCH("SÁBADO",CY85)))</formula>
    </cfRule>
  </conditionalFormatting>
  <conditionalFormatting sqref="CY86:CY89">
    <cfRule type="containsText" dxfId="1028" priority="67" operator="containsText" text="DOMINGO">
      <formula>NOT(ISERROR(SEARCH("DOMINGO",CY86)))</formula>
    </cfRule>
    <cfRule type="containsText" dxfId="1027" priority="69" operator="containsText" text="FERIADO">
      <formula>NOT(ISERROR(SEARCH("FERIADO",CY86)))</formula>
    </cfRule>
    <cfRule type="containsText" dxfId="1026" priority="70" operator="containsText" text="DESCANSO">
      <formula>NOT(ISERROR(SEARCH("DESCANSO",CY86)))</formula>
    </cfRule>
    <cfRule type="containsText" dxfId="1025" priority="72" operator="containsText" text="ATESTADO">
      <formula>NOT(ISERROR(SEARCH("ATESTADO",CY86)))</formula>
    </cfRule>
    <cfRule type="containsText" dxfId="1024" priority="71" operator="containsText" text="FALTOU">
      <formula>NOT(ISERROR(SEARCH("FALTOU",CY86)))</formula>
    </cfRule>
  </conditionalFormatting>
  <conditionalFormatting sqref="CZ24:CZ26">
    <cfRule type="containsText" dxfId="1023" priority="1769" operator="containsText" text="FALTOU">
      <formula>NOT(ISERROR(SEARCH("FALTOU",CZ24)))</formula>
    </cfRule>
    <cfRule type="containsText" dxfId="1022" priority="1765" operator="containsText" text="SÁBADO">
      <formula>NOT(ISERROR(SEARCH("SÁBADO",CZ24)))</formula>
    </cfRule>
    <cfRule type="containsText" dxfId="1021" priority="1768" operator="containsText" text="DESCANSO">
      <formula>NOT(ISERROR(SEARCH("DESCANSO",CZ24)))</formula>
    </cfRule>
    <cfRule type="containsText" dxfId="1020" priority="1766" operator="containsText" text="FERIADO">
      <formula>NOT(ISERROR(SEARCH("FERIADO",CZ24)))</formula>
    </cfRule>
    <cfRule type="containsText" dxfId="1019" priority="1764" operator="containsText" text="DOMINGO">
      <formula>NOT(ISERROR(SEARCH("DOMINGO",CZ24)))</formula>
    </cfRule>
    <cfRule type="containsText" dxfId="1018" priority="1767" operator="containsText" text="ATESTADO">
      <formula>NOT(ISERROR(SEARCH("ATESTADO",CZ24)))</formula>
    </cfRule>
  </conditionalFormatting>
  <conditionalFormatting sqref="CZ29">
    <cfRule type="containsText" dxfId="1017" priority="1736" operator="containsText" text="FERIADO">
      <formula>NOT(ISERROR(SEARCH("FERIADO",CZ29)))</formula>
    </cfRule>
    <cfRule type="containsText" dxfId="1016" priority="1737" operator="containsText" text="ATESTADO">
      <formula>NOT(ISERROR(SEARCH("ATESTADO",CZ29)))</formula>
    </cfRule>
    <cfRule type="containsText" dxfId="1015" priority="1738" operator="containsText" text="DESCANSO">
      <formula>NOT(ISERROR(SEARCH("DESCANSO",CZ29)))</formula>
    </cfRule>
    <cfRule type="containsText" dxfId="1014" priority="1739" operator="containsText" text="FALTOU">
      <formula>NOT(ISERROR(SEARCH("FALTOU",CZ29)))</formula>
    </cfRule>
  </conditionalFormatting>
  <conditionalFormatting sqref="CZ29:CZ31">
    <cfRule type="containsText" dxfId="1013" priority="1687" operator="containsText" text="SÁBADO">
      <formula>NOT(ISERROR(SEARCH("SÁBADO",CZ29)))</formula>
    </cfRule>
    <cfRule type="containsText" dxfId="1012" priority="1686" operator="containsText" text="DOMINGO">
      <formula>NOT(ISERROR(SEARCH("DOMINGO",CZ29)))</formula>
    </cfRule>
  </conditionalFormatting>
  <conditionalFormatting sqref="CZ30">
    <cfRule type="containsText" dxfId="1011" priority="1721" operator="containsText" text="FALTOU">
      <formula>NOT(ISERROR(SEARCH("FALTOU",CZ30)))</formula>
    </cfRule>
    <cfRule type="containsText" dxfId="1010" priority="1719" operator="containsText" text="ATESTADO">
      <formula>NOT(ISERROR(SEARCH("ATESTADO",CZ30)))</formula>
    </cfRule>
    <cfRule type="containsText" dxfId="1009" priority="1718" operator="containsText" text="FERIADO">
      <formula>NOT(ISERROR(SEARCH("FERIADO",CZ30)))</formula>
    </cfRule>
    <cfRule type="containsText" dxfId="1008" priority="1720" operator="containsText" text="DESCANSO">
      <formula>NOT(ISERROR(SEARCH("DESCANSO",CZ30)))</formula>
    </cfRule>
  </conditionalFormatting>
  <conditionalFormatting sqref="CZ31">
    <cfRule type="containsText" dxfId="1007" priority="1690" operator="containsText" text="DESCANSO">
      <formula>NOT(ISERROR(SEARCH("DESCANSO",CZ31)))</formula>
    </cfRule>
    <cfRule type="containsText" dxfId="1006" priority="1691" operator="containsText" text="FALTOU">
      <formula>NOT(ISERROR(SEARCH("FALTOU",CZ31)))</formula>
    </cfRule>
    <cfRule type="containsText" dxfId="1005" priority="1688" operator="containsText" text="FERIADO">
      <formula>NOT(ISERROR(SEARCH("FERIADO",CZ31)))</formula>
    </cfRule>
    <cfRule type="containsText" dxfId="1004" priority="1689" operator="containsText" text="ATESTADO">
      <formula>NOT(ISERROR(SEARCH("ATESTADO",CZ31)))</formula>
    </cfRule>
  </conditionalFormatting>
  <conditionalFormatting sqref="CZ33">
    <cfRule type="containsText" dxfId="1003" priority="1670" operator="containsText" text="FERIADO">
      <formula>NOT(ISERROR(SEARCH("FERIADO",CZ33)))</formula>
    </cfRule>
    <cfRule type="containsText" dxfId="1002" priority="1673" operator="containsText" text="FALTOU">
      <formula>NOT(ISERROR(SEARCH("FALTOU",CZ33)))</formula>
    </cfRule>
    <cfRule type="containsText" dxfId="1001" priority="1671" operator="containsText" text="ATESTADO">
      <formula>NOT(ISERROR(SEARCH("ATESTADO",CZ33)))</formula>
    </cfRule>
  </conditionalFormatting>
  <conditionalFormatting sqref="CZ33:CZ34">
    <cfRule type="containsText" dxfId="1000" priority="1672" operator="containsText" text="DESCANSO">
      <formula>NOT(ISERROR(SEARCH("DESCANSO",CZ33)))</formula>
    </cfRule>
    <cfRule type="containsText" dxfId="999" priority="1668" operator="containsText" text="DOMINGO">
      <formula>NOT(ISERROR(SEARCH("DOMINGO",CZ33)))</formula>
    </cfRule>
    <cfRule type="containsText" dxfId="998" priority="1669" operator="containsText" text="SÁBADO">
      <formula>NOT(ISERROR(SEARCH("SÁBADO",CZ33)))</formula>
    </cfRule>
  </conditionalFormatting>
  <conditionalFormatting sqref="CZ36:CZ38">
    <cfRule type="containsText" dxfId="997" priority="1625" operator="containsText" text="FALTOU">
      <formula>NOT(ISERROR(SEARCH("FALTOU",CZ36)))</formula>
    </cfRule>
    <cfRule type="containsText" dxfId="996" priority="1622" operator="containsText" text="FERIADO">
      <formula>NOT(ISERROR(SEARCH("FERIADO",CZ36)))</formula>
    </cfRule>
    <cfRule type="containsText" dxfId="995" priority="1623" operator="containsText" text="ATESTADO">
      <formula>NOT(ISERROR(SEARCH("ATESTADO",CZ36)))</formula>
    </cfRule>
    <cfRule type="containsText" dxfId="994" priority="1624" operator="containsText" text="DESCANSO">
      <formula>NOT(ISERROR(SEARCH("DESCANSO",CZ36)))</formula>
    </cfRule>
  </conditionalFormatting>
  <conditionalFormatting sqref="CZ36:CZ40">
    <cfRule type="containsText" dxfId="993" priority="1578" operator="containsText" text="DOMINGO">
      <formula>NOT(ISERROR(SEARCH("DOMINGO",CZ36)))</formula>
    </cfRule>
    <cfRule type="containsText" dxfId="992" priority="1579" operator="containsText" text="SÁBADO">
      <formula>NOT(ISERROR(SEARCH("SÁBADO",CZ36)))</formula>
    </cfRule>
  </conditionalFormatting>
  <conditionalFormatting sqref="CZ39">
    <cfRule type="containsText" dxfId="991" priority="1592" operator="containsText" text="FERIADO">
      <formula>NOT(ISERROR(SEARCH("FERIADO",CZ39)))</formula>
    </cfRule>
    <cfRule type="containsText" dxfId="990" priority="1593" operator="containsText" text="ATESTADO">
      <formula>NOT(ISERROR(SEARCH("ATESTADO",CZ39)))</formula>
    </cfRule>
    <cfRule type="containsText" dxfId="989" priority="1594" operator="containsText" text="DESCANSO">
      <formula>NOT(ISERROR(SEARCH("DESCANSO",CZ39)))</formula>
    </cfRule>
    <cfRule type="containsText" dxfId="988" priority="1595" operator="containsText" text="FALTOU">
      <formula>NOT(ISERROR(SEARCH("FALTOU",CZ39)))</formula>
    </cfRule>
  </conditionalFormatting>
  <conditionalFormatting sqref="CZ40">
    <cfRule type="containsText" dxfId="987" priority="1582" operator="containsText" text="DESCANSO">
      <formula>NOT(ISERROR(SEARCH("DESCANSO",CZ40)))</formula>
    </cfRule>
    <cfRule type="containsText" dxfId="986" priority="1581" operator="containsText" text="ATESTADO">
      <formula>NOT(ISERROR(SEARCH("ATESTADO",CZ40)))</formula>
    </cfRule>
    <cfRule type="containsText" dxfId="985" priority="1583" operator="containsText" text="FALTOU">
      <formula>NOT(ISERROR(SEARCH("FALTOU",CZ40)))</formula>
    </cfRule>
    <cfRule type="containsText" dxfId="984" priority="1580" operator="containsText" text="FERIADO">
      <formula>NOT(ISERROR(SEARCH("FERIADO",CZ40)))</formula>
    </cfRule>
  </conditionalFormatting>
  <conditionalFormatting sqref="CZ78:CZ82">
    <cfRule type="containsText" dxfId="983" priority="97" operator="containsText" text="DOMINGO">
      <formula>NOT(ISERROR(SEARCH("DOMINGO",CZ78)))</formula>
    </cfRule>
    <cfRule type="containsText" dxfId="982" priority="98" operator="containsText" text="SÁBADO">
      <formula>NOT(ISERROR(SEARCH("SÁBADO",CZ78)))</formula>
    </cfRule>
    <cfRule type="containsText" dxfId="981" priority="99" operator="containsText" text="FERIADO">
      <formula>NOT(ISERROR(SEARCH("FERIADO",CZ78)))</formula>
    </cfRule>
    <cfRule type="containsText" dxfId="980" priority="102" operator="containsText" text="ATESTADO">
      <formula>NOT(ISERROR(SEARCH("ATESTADO",CZ78)))</formula>
    </cfRule>
    <cfRule type="containsText" dxfId="979" priority="101" operator="containsText" text="FALTOU">
      <formula>NOT(ISERROR(SEARCH("FALTOU",CZ78)))</formula>
    </cfRule>
    <cfRule type="containsText" dxfId="978" priority="100" operator="containsText" text="DESCANSO">
      <formula>NOT(ISERROR(SEARCH("DESCANSO",CZ78)))</formula>
    </cfRule>
  </conditionalFormatting>
  <conditionalFormatting sqref="CZ85">
    <cfRule type="containsText" dxfId="977" priority="87" operator="containsText" text="FERIADO">
      <formula>NOT(ISERROR(SEARCH("FERIADO",CZ85)))</formula>
    </cfRule>
    <cfRule type="containsText" dxfId="976" priority="88" operator="containsText" text="DESCANSO">
      <formula>NOT(ISERROR(SEARCH("DESCANSO",CZ85)))</formula>
    </cfRule>
    <cfRule type="containsText" dxfId="975" priority="89" operator="containsText" text="FALTOU">
      <formula>NOT(ISERROR(SEARCH("FALTOU",CZ85)))</formula>
    </cfRule>
    <cfRule type="containsText" dxfId="974" priority="90" operator="containsText" text="ATESTADO">
      <formula>NOT(ISERROR(SEARCH("ATESTADO",CZ85)))</formula>
    </cfRule>
    <cfRule type="containsText" dxfId="973" priority="85" operator="containsText" text="DOMINGO">
      <formula>NOT(ISERROR(SEARCH("DOMINGO",CZ85)))</formula>
    </cfRule>
  </conditionalFormatting>
  <conditionalFormatting sqref="CZ85:CZ89">
    <cfRule type="containsText" dxfId="972" priority="74" operator="containsText" text="SÁBADO">
      <formula>NOT(ISERROR(SEARCH("SÁBADO",CZ85)))</formula>
    </cfRule>
  </conditionalFormatting>
  <conditionalFormatting sqref="CZ86:CZ89">
    <cfRule type="containsText" dxfId="971" priority="73" operator="containsText" text="DOMINGO">
      <formula>NOT(ISERROR(SEARCH("DOMINGO",CZ86)))</formula>
    </cfRule>
    <cfRule type="containsText" dxfId="970" priority="78" operator="containsText" text="ATESTADO">
      <formula>NOT(ISERROR(SEARCH("ATESTADO",CZ86)))</formula>
    </cfRule>
    <cfRule type="containsText" dxfId="969" priority="77" operator="containsText" text="FALTOU">
      <formula>NOT(ISERROR(SEARCH("FALTOU",CZ86)))</formula>
    </cfRule>
    <cfRule type="containsText" dxfId="968" priority="76" operator="containsText" text="DESCANSO">
      <formula>NOT(ISERROR(SEARCH("DESCANSO",CZ86)))</formula>
    </cfRule>
    <cfRule type="containsText" dxfId="967" priority="75" operator="containsText" text="FERIADO">
      <formula>NOT(ISERROR(SEARCH("FERIADO",CZ86)))</formula>
    </cfRule>
  </conditionalFormatting>
  <conditionalFormatting sqref="DB32:DB46">
    <cfRule type="containsText" dxfId="966" priority="1383" operator="containsText" text="FERIADO">
      <formula>NOT(ISERROR(SEARCH("FERIADO",DB32)))</formula>
    </cfRule>
    <cfRule type="containsText" dxfId="965" priority="1384" operator="containsText" text="DESCANSO">
      <formula>NOT(ISERROR(SEARCH("DESCANSO",DB32)))</formula>
    </cfRule>
    <cfRule type="containsText" dxfId="964" priority="1385" operator="containsText" text="FALTOU">
      <formula>NOT(ISERROR(SEARCH("FALTOU",DB32)))</formula>
    </cfRule>
    <cfRule type="containsText" dxfId="963" priority="1382" operator="containsText" text="SÁBADO">
      <formula>NOT(ISERROR(SEARCH("SÁBADO",DB32)))</formula>
    </cfRule>
    <cfRule type="containsText" dxfId="962" priority="1381" operator="containsText" text="DOMINGO">
      <formula>NOT(ISERROR(SEARCH("DOMINGO",DB32)))</formula>
    </cfRule>
    <cfRule type="containsText" dxfId="961" priority="1386" operator="containsText" text="ATESTADO">
      <formula>NOT(ISERROR(SEARCH("ATESTADO",DB32)))</formula>
    </cfRule>
  </conditionalFormatting>
  <conditionalFormatting sqref="DB1:DC1">
    <cfRule type="containsText" dxfId="960" priority="1569" operator="containsText" text="ATESTADO">
      <formula>NOT(ISERROR(SEARCH("ATESTADO",DB1)))</formula>
    </cfRule>
    <cfRule type="containsText" dxfId="959" priority="1570" operator="containsText" text="DESCANSO">
      <formula>NOT(ISERROR(SEARCH("DESCANSO",DB1)))</formula>
    </cfRule>
    <cfRule type="containsText" dxfId="958" priority="1571" operator="containsText" text="FALTOU">
      <formula>NOT(ISERROR(SEARCH("FALTOU",DB1)))</formula>
    </cfRule>
  </conditionalFormatting>
  <conditionalFormatting sqref="DB72:DC72">
    <cfRule type="containsText" dxfId="957" priority="127" operator="containsText" text="FALTOU">
      <formula>NOT(ISERROR(SEARCH("FALTOU",DB72)))</formula>
    </cfRule>
    <cfRule type="containsText" dxfId="956" priority="128" operator="containsText" text="ATESTADO">
      <formula>NOT(ISERROR(SEARCH("ATESTADO",DB72)))</formula>
    </cfRule>
    <cfRule type="containsText" dxfId="955" priority="126" operator="containsText" text="DESCANSO">
      <formula>NOT(ISERROR(SEARCH("DESCANSO",DB72)))</formula>
    </cfRule>
    <cfRule type="containsText" dxfId="954" priority="123" operator="containsText" text="DOMINGO">
      <formula>NOT(ISERROR(SEARCH("DOMINGO",DB72)))</formula>
    </cfRule>
    <cfRule type="containsText" dxfId="953" priority="124" operator="containsText" text="SÁBADO">
      <formula>NOT(ISERROR(SEARCH("SÁBADO",DB72)))</formula>
    </cfRule>
    <cfRule type="containsText" dxfId="952" priority="125" operator="containsText" text="FERIADO">
      <formula>NOT(ISERROR(SEARCH("FERIADO",DB72)))</formula>
    </cfRule>
  </conditionalFormatting>
  <conditionalFormatting sqref="DB74:DC74">
    <cfRule type="containsText" dxfId="951" priority="141" operator="containsText" text="DOMINGO">
      <formula>NOT(ISERROR(SEARCH("DOMINGO",DB74)))</formula>
    </cfRule>
    <cfRule type="containsText" dxfId="950" priority="142" operator="containsText" text="SÁBADO">
      <formula>NOT(ISERROR(SEARCH("SÁBADO",DB74)))</formula>
    </cfRule>
    <cfRule type="containsText" dxfId="949" priority="144" operator="containsText" text="DESCANSO">
      <formula>NOT(ISERROR(SEARCH("DESCANSO",DB74)))</formula>
    </cfRule>
    <cfRule type="containsText" dxfId="948" priority="145" operator="containsText" text="FALTOU">
      <formula>NOT(ISERROR(SEARCH("FALTOU",DB74)))</formula>
    </cfRule>
    <cfRule type="containsText" dxfId="947" priority="146" operator="containsText" text="ATESTADO">
      <formula>NOT(ISERROR(SEARCH("ATESTADO",DB74)))</formula>
    </cfRule>
    <cfRule type="containsText" dxfId="946" priority="143" operator="containsText" text="FERIADO">
      <formula>NOT(ISERROR(SEARCH("FERIADO",DB74)))</formula>
    </cfRule>
  </conditionalFormatting>
  <conditionalFormatting sqref="DB73:DD73 DF72:DG73">
    <cfRule type="containsText" dxfId="945" priority="133" operator="containsText" text="FALTOU">
      <formula>NOT(ISERROR(SEARCH("FALTOU",DB72)))</formula>
    </cfRule>
    <cfRule type="containsText" dxfId="944" priority="129" operator="containsText" text="DOMINGO">
      <formula>NOT(ISERROR(SEARCH("DOMINGO",DB72)))</formula>
    </cfRule>
    <cfRule type="containsText" dxfId="943" priority="131" operator="containsText" text="FERIADO">
      <formula>NOT(ISERROR(SEARCH("FERIADO",DB72)))</formula>
    </cfRule>
  </conditionalFormatting>
  <conditionalFormatting sqref="DB1:DG4 DB5:DC5 DB6:DG9 DB10:DC23 DG12 DG17:DG21 DB24:DF26 DB27:DG28 DB29:DC31 DC32:DG32 DC38:DE38 DC39 DC40:DE40 DC41:DG44 DC45:DD46 DF45:DG47 DB47:DD47">
    <cfRule type="containsText" dxfId="942" priority="1577" operator="containsText" text="ATESTADO">
      <formula>NOT(ISERROR(SEARCH("ATESTADO",DB1)))</formula>
    </cfRule>
    <cfRule type="containsText" dxfId="941" priority="1575" operator="containsText" text="DESCANSO">
      <formula>NOT(ISERROR(SEARCH("DESCANSO",DB1)))</formula>
    </cfRule>
  </conditionalFormatting>
  <conditionalFormatting sqref="DB1:DG4 DB24:DF26 DB5:DC5 DB6:DG9 DB10:DC23 DG12 DG17:DG21 DB27:DG28 DB29:DC31 DC32:DG32 DC38:DE38 DC39 DC40:DE40 DC41:DG44 DC45:DD46 DF45:DG47 DB47:DD47">
    <cfRule type="containsText" dxfId="940" priority="1572" operator="containsText" text="DOMINGO">
      <formula>NOT(ISERROR(SEARCH("DOMINGO",DB1)))</formula>
    </cfRule>
    <cfRule type="containsText" dxfId="939" priority="1573" operator="containsText" text="SÁBADO">
      <formula>NOT(ISERROR(SEARCH("SÁBADO",DB1)))</formula>
    </cfRule>
  </conditionalFormatting>
  <conditionalFormatting sqref="DB27:DG28 DB1:DG4 DB6:DG9 DB5:DC5 DG12 DG17:DG21 DB10:DC23 DB24:DF26 DC32:DG32 DB29:DC31 DC38:DE38 DC40:DE40 DC39 DC41:DG44 DB47:DD47 DC45:DD46 DF45:DG47">
    <cfRule type="containsText" dxfId="938" priority="1574" operator="containsText" text="FERIADO">
      <formula>NOT(ISERROR(SEARCH("FERIADO",DB1)))</formula>
    </cfRule>
    <cfRule type="containsText" dxfId="937" priority="1576" operator="containsText" text="FALTOU">
      <formula>NOT(ISERROR(SEARCH("FALTOU",DB1)))</formula>
    </cfRule>
  </conditionalFormatting>
  <conditionalFormatting sqref="DC33 DD35 DC36:DC37">
    <cfRule type="containsText" dxfId="936" priority="1475" operator="containsText" text="FALTOU">
      <formula>NOT(ISERROR(SEARCH("FALTOU",DC33)))</formula>
    </cfRule>
    <cfRule type="containsText" dxfId="935" priority="1473" operator="containsText" text="FERIADO">
      <formula>NOT(ISERROR(SEARCH("FERIADO",DC33)))</formula>
    </cfRule>
  </conditionalFormatting>
  <conditionalFormatting sqref="DC33:DC37">
    <cfRule type="containsText" dxfId="934" priority="1390" operator="containsText" text="DESCANSO">
      <formula>NOT(ISERROR(SEARCH("DESCANSO",DC33)))</formula>
    </cfRule>
    <cfRule type="containsText" dxfId="933" priority="1388" operator="containsText" text="SÁBADO">
      <formula>NOT(ISERROR(SEARCH("SÁBADO",DC33)))</formula>
    </cfRule>
    <cfRule type="containsText" dxfId="932" priority="1387" operator="containsText" text="DOMINGO">
      <formula>NOT(ISERROR(SEARCH("DOMINGO",DC33)))</formula>
    </cfRule>
  </conditionalFormatting>
  <conditionalFormatting sqref="DC34">
    <cfRule type="containsText" dxfId="931" priority="1431" operator="containsText" text="FERIADO">
      <formula>NOT(ISERROR(SEARCH("FERIADO",DC34)))</formula>
    </cfRule>
    <cfRule type="containsText" dxfId="930" priority="1433" operator="containsText" text="FALTOU">
      <formula>NOT(ISERROR(SEARCH("FALTOU",DC34)))</formula>
    </cfRule>
    <cfRule type="containsText" dxfId="929" priority="1434" operator="containsText" text="ATESTADO">
      <formula>NOT(ISERROR(SEARCH("ATESTADO",DC34)))</formula>
    </cfRule>
  </conditionalFormatting>
  <conditionalFormatting sqref="DC35">
    <cfRule type="containsText" dxfId="928" priority="1391" operator="containsText" text="FALTOU">
      <formula>NOT(ISERROR(SEARCH("FALTOU",DC35)))</formula>
    </cfRule>
    <cfRule type="containsText" dxfId="927" priority="1392" operator="containsText" text="ATESTADO">
      <formula>NOT(ISERROR(SEARCH("ATESTADO",DC35)))</formula>
    </cfRule>
    <cfRule type="containsText" dxfId="926" priority="1389" operator="containsText" text="FERIADO">
      <formula>NOT(ISERROR(SEARCH("FERIADO",DC35)))</formula>
    </cfRule>
  </conditionalFormatting>
  <conditionalFormatting sqref="DD35 DC33 DC36:DC37">
    <cfRule type="containsText" dxfId="925" priority="1476" operator="containsText" text="ATESTADO">
      <formula>NOT(ISERROR(SEARCH("ATESTADO",DC33)))</formula>
    </cfRule>
  </conditionalFormatting>
  <conditionalFormatting sqref="DD35">
    <cfRule type="containsText" dxfId="924" priority="1472" operator="containsText" text="SÁBADO">
      <formula>NOT(ISERROR(SEARCH("SÁBADO",DD35)))</formula>
    </cfRule>
    <cfRule type="containsText" dxfId="923" priority="1471" operator="containsText" text="DOMINGO">
      <formula>NOT(ISERROR(SEARCH("DOMINGO",DD35)))</formula>
    </cfRule>
    <cfRule type="containsText" dxfId="922" priority="1474" operator="containsText" text="DESCANSO">
      <formula>NOT(ISERROR(SEARCH("DESCANSO",DD35)))</formula>
    </cfRule>
  </conditionalFormatting>
  <conditionalFormatting sqref="DD72">
    <cfRule type="containsText" dxfId="921" priority="117" operator="containsText" text="DOMINGO">
      <formula>NOT(ISERROR(SEARCH("DOMINGO",DD72)))</formula>
    </cfRule>
    <cfRule type="containsText" dxfId="920" priority="120" operator="containsText" text="DESCANSO">
      <formula>NOT(ISERROR(SEARCH("DESCANSO",DD72)))</formula>
    </cfRule>
    <cfRule type="containsText" dxfId="919" priority="122" operator="containsText" text="ATESTADO">
      <formula>NOT(ISERROR(SEARCH("ATESTADO",DD72)))</formula>
    </cfRule>
    <cfRule type="containsText" dxfId="918" priority="121" operator="containsText" text="FALTOU">
      <formula>NOT(ISERROR(SEARCH("FALTOU",DD72)))</formula>
    </cfRule>
    <cfRule type="containsText" dxfId="917" priority="119" operator="containsText" text="FERIADO">
      <formula>NOT(ISERROR(SEARCH("FERIADO",DD72)))</formula>
    </cfRule>
    <cfRule type="containsText" dxfId="916" priority="118" operator="containsText" text="SÁBADO">
      <formula>NOT(ISERROR(SEARCH("SÁBADO",DD72)))</formula>
    </cfRule>
  </conditionalFormatting>
  <conditionalFormatting sqref="DD74">
    <cfRule type="containsText" dxfId="915" priority="138" operator="containsText" text="DESCANSO">
      <formula>NOT(ISERROR(SEARCH("DESCANSO",DD74)))</formula>
    </cfRule>
    <cfRule type="containsText" dxfId="914" priority="137" operator="containsText" text="FERIADO">
      <formula>NOT(ISERROR(SEARCH("FERIADO",DD74)))</formula>
    </cfRule>
    <cfRule type="containsText" dxfId="913" priority="135" operator="containsText" text="DOMINGO">
      <formula>NOT(ISERROR(SEARCH("DOMINGO",DD74)))</formula>
    </cfRule>
    <cfRule type="containsText" dxfId="912" priority="140" operator="containsText" text="ATESTADO">
      <formula>NOT(ISERROR(SEARCH("ATESTADO",DD74)))</formula>
    </cfRule>
    <cfRule type="containsText" dxfId="911" priority="139" operator="containsText" text="FALTOU">
      <formula>NOT(ISERROR(SEARCH("FALTOU",DD74)))</formula>
    </cfRule>
    <cfRule type="containsText" dxfId="910" priority="136" operator="containsText" text="SÁBADO">
      <formula>NOT(ISERROR(SEARCH("SÁBADO",DD74)))</formula>
    </cfRule>
  </conditionalFormatting>
  <conditionalFormatting sqref="DD24:DE24">
    <cfRule type="containsText" dxfId="909" priority="1535" operator="containsText" text="DESCANSO">
      <formula>NOT(ISERROR(SEARCH("DESCANSO",DD24)))</formula>
    </cfRule>
    <cfRule type="containsText" dxfId="908" priority="1533" operator="containsText" text="FERIADO">
      <formula>NOT(ISERROR(SEARCH("FERIADO",DD24)))</formula>
    </cfRule>
    <cfRule type="containsText" dxfId="907" priority="1534" operator="containsText" text="ATESTADO">
      <formula>NOT(ISERROR(SEARCH("ATESTADO",DD24)))</formula>
    </cfRule>
    <cfRule type="containsText" dxfId="906" priority="1536" operator="containsText" text="FALTOU">
      <formula>NOT(ISERROR(SEARCH("FALTOU",DD24)))</formula>
    </cfRule>
  </conditionalFormatting>
  <conditionalFormatting sqref="DD24:DE26">
    <cfRule type="containsText" dxfId="905" priority="1519" operator="containsText" text="DOMINGO">
      <formula>NOT(ISERROR(SEARCH("DOMINGO",DD24)))</formula>
    </cfRule>
    <cfRule type="containsText" dxfId="904" priority="1520" operator="containsText" text="SÁBADO">
      <formula>NOT(ISERROR(SEARCH("SÁBADO",DD24)))</formula>
    </cfRule>
  </conditionalFormatting>
  <conditionalFormatting sqref="DD25:DE25">
    <cfRule type="containsText" dxfId="903" priority="1530" operator="containsText" text="FALTOU">
      <formula>NOT(ISERROR(SEARCH("FALTOU",DD25)))</formula>
    </cfRule>
    <cfRule type="containsText" dxfId="902" priority="1527" operator="containsText" text="FERIADO">
      <formula>NOT(ISERROR(SEARCH("FERIADO",DD25)))</formula>
    </cfRule>
    <cfRule type="containsText" dxfId="901" priority="1528" operator="containsText" text="ATESTADO">
      <formula>NOT(ISERROR(SEARCH("ATESTADO",DD25)))</formula>
    </cfRule>
    <cfRule type="containsText" dxfId="900" priority="1529" operator="containsText" text="DESCANSO">
      <formula>NOT(ISERROR(SEARCH("DESCANSO",DD25)))</formula>
    </cfRule>
  </conditionalFormatting>
  <conditionalFormatting sqref="DD26:DE26">
    <cfRule type="containsText" dxfId="899" priority="1521" operator="containsText" text="FERIADO">
      <formula>NOT(ISERROR(SEARCH("FERIADO",DD26)))</formula>
    </cfRule>
    <cfRule type="containsText" dxfId="898" priority="1523" operator="containsText" text="DESCANSO">
      <formula>NOT(ISERROR(SEARCH("DESCANSO",DD26)))</formula>
    </cfRule>
    <cfRule type="containsText" dxfId="897" priority="1524" operator="containsText" text="FALTOU">
      <formula>NOT(ISERROR(SEARCH("FALTOU",DD26)))</formula>
    </cfRule>
    <cfRule type="containsText" dxfId="896" priority="1522" operator="containsText" text="ATESTADO">
      <formula>NOT(ISERROR(SEARCH("ATESTADO",DD26)))</formula>
    </cfRule>
  </conditionalFormatting>
  <conditionalFormatting sqref="DD29:DE29">
    <cfRule type="containsText" dxfId="895" priority="1505" operator="containsText" text="DESCANSO">
      <formula>NOT(ISERROR(SEARCH("DESCANSO",DD29)))</formula>
    </cfRule>
    <cfRule type="containsText" dxfId="894" priority="1504" operator="containsText" text="ATESTADO">
      <formula>NOT(ISERROR(SEARCH("ATESTADO",DD29)))</formula>
    </cfRule>
    <cfRule type="containsText" dxfId="893" priority="1506" operator="containsText" text="FALTOU">
      <formula>NOT(ISERROR(SEARCH("FALTOU",DD29)))</formula>
    </cfRule>
    <cfRule type="containsText" dxfId="892" priority="1503" operator="containsText" text="FERIADO">
      <formula>NOT(ISERROR(SEARCH("FERIADO",DD29)))</formula>
    </cfRule>
  </conditionalFormatting>
  <conditionalFormatting sqref="DD29:DE31">
    <cfRule type="containsText" dxfId="891" priority="1453" operator="containsText" text="DOMINGO">
      <formula>NOT(ISERROR(SEARCH("DOMINGO",DD29)))</formula>
    </cfRule>
    <cfRule type="containsText" dxfId="890" priority="1454" operator="containsText" text="SÁBADO">
      <formula>NOT(ISERROR(SEARCH("SÁBADO",DD29)))</formula>
    </cfRule>
  </conditionalFormatting>
  <conditionalFormatting sqref="DD30:DE30">
    <cfRule type="containsText" dxfId="889" priority="1485" operator="containsText" text="FERIADO">
      <formula>NOT(ISERROR(SEARCH("FERIADO",DD30)))</formula>
    </cfRule>
    <cfRule type="containsText" dxfId="888" priority="1486" operator="containsText" text="ATESTADO">
      <formula>NOT(ISERROR(SEARCH("ATESTADO",DD30)))</formula>
    </cfRule>
    <cfRule type="containsText" dxfId="887" priority="1487" operator="containsText" text="DESCANSO">
      <formula>NOT(ISERROR(SEARCH("DESCANSO",DD30)))</formula>
    </cfRule>
    <cfRule type="containsText" dxfId="886" priority="1488" operator="containsText" text="FALTOU">
      <formula>NOT(ISERROR(SEARCH("FALTOU",DD30)))</formula>
    </cfRule>
  </conditionalFormatting>
  <conditionalFormatting sqref="DD31:DE31">
    <cfRule type="containsText" dxfId="885" priority="1455" operator="containsText" text="FERIADO">
      <formula>NOT(ISERROR(SEARCH("FERIADO",DD31)))</formula>
    </cfRule>
    <cfRule type="containsText" dxfId="884" priority="1456" operator="containsText" text="ATESTADO">
      <formula>NOT(ISERROR(SEARCH("ATESTADO",DD31)))</formula>
    </cfRule>
    <cfRule type="containsText" dxfId="883" priority="1457" operator="containsText" text="DESCANSO">
      <formula>NOT(ISERROR(SEARCH("DESCANSO",DD31)))</formula>
    </cfRule>
    <cfRule type="containsText" dxfId="882" priority="1458" operator="containsText" text="FALTOU">
      <formula>NOT(ISERROR(SEARCH("FALTOU",DD31)))</formula>
    </cfRule>
  </conditionalFormatting>
  <conditionalFormatting sqref="DD33:DE33">
    <cfRule type="containsText" dxfId="881" priority="1439" operator="containsText" text="DESCANSO">
      <formula>NOT(ISERROR(SEARCH("DESCANSO",DD33)))</formula>
    </cfRule>
    <cfRule type="containsText" dxfId="880" priority="1440" operator="containsText" text="FALTOU">
      <formula>NOT(ISERROR(SEARCH("FALTOU",DD33)))</formula>
    </cfRule>
    <cfRule type="containsText" dxfId="879" priority="1437" operator="containsText" text="FERIADO">
      <formula>NOT(ISERROR(SEARCH("FERIADO",DD33)))</formula>
    </cfRule>
    <cfRule type="containsText" dxfId="878" priority="1438" operator="containsText" text="ATESTADO">
      <formula>NOT(ISERROR(SEARCH("ATESTADO",DD33)))</formula>
    </cfRule>
  </conditionalFormatting>
  <conditionalFormatting sqref="DD33:DE34">
    <cfRule type="containsText" dxfId="877" priority="1417" operator="containsText" text="DOMINGO">
      <formula>NOT(ISERROR(SEARCH("DOMINGO",DD33)))</formula>
    </cfRule>
    <cfRule type="containsText" dxfId="876" priority="1418" operator="containsText" text="SÁBADO">
      <formula>NOT(ISERROR(SEARCH("SÁBADO",DD33)))</formula>
    </cfRule>
  </conditionalFormatting>
  <conditionalFormatting sqref="DD34:DE34">
    <cfRule type="containsText" dxfId="875" priority="1419" operator="containsText" text="FERIADO">
      <formula>NOT(ISERROR(SEARCH("FERIADO",DD34)))</formula>
    </cfRule>
    <cfRule type="containsText" dxfId="874" priority="1422" operator="containsText" text="FALTOU">
      <formula>NOT(ISERROR(SEARCH("FALTOU",DD34)))</formula>
    </cfRule>
    <cfRule type="containsText" dxfId="873" priority="1421" operator="containsText" text="DESCANSO">
      <formula>NOT(ISERROR(SEARCH("DESCANSO",DD34)))</formula>
    </cfRule>
    <cfRule type="containsText" dxfId="872" priority="1420" operator="containsText" text="ATESTADO">
      <formula>NOT(ISERROR(SEARCH("ATESTADO",DD34)))</formula>
    </cfRule>
  </conditionalFormatting>
  <conditionalFormatting sqref="DD36:DE37">
    <cfRule type="containsText" dxfId="871" priority="1402" operator="containsText" text="ATESTADO">
      <formula>NOT(ISERROR(SEARCH("ATESTADO",DD36)))</formula>
    </cfRule>
    <cfRule type="containsText" dxfId="870" priority="1410" operator="containsText" text="ATESTADO">
      <formula>NOT(ISERROR(SEARCH("ATESTADO",DD36)))</formula>
    </cfRule>
    <cfRule type="containsText" dxfId="869" priority="1404" operator="containsText" text="FALTOU">
      <formula>NOT(ISERROR(SEARCH("FALTOU",DD36)))</formula>
    </cfRule>
    <cfRule type="containsText" dxfId="868" priority="1409" operator="containsText" text="FALTOU">
      <formula>NOT(ISERROR(SEARCH("FALTOU",DD36)))</formula>
    </cfRule>
    <cfRule type="containsText" dxfId="867" priority="1408" operator="containsText" text="DESCANSO">
      <formula>NOT(ISERROR(SEARCH("DESCANSO",DD36)))</formula>
    </cfRule>
    <cfRule type="containsText" dxfId="866" priority="1407" operator="containsText" text="FERIADO">
      <formula>NOT(ISERROR(SEARCH("FERIADO",DD36)))</formula>
    </cfRule>
    <cfRule type="containsText" dxfId="865" priority="1399" operator="containsText" text="DOMINGO">
      <formula>NOT(ISERROR(SEARCH("DOMINGO",DD36)))</formula>
    </cfRule>
    <cfRule type="containsText" dxfId="864" priority="1400" operator="containsText" text="SÁBADO">
      <formula>NOT(ISERROR(SEARCH("SÁBADO",DD36)))</formula>
    </cfRule>
    <cfRule type="containsText" dxfId="863" priority="1403" operator="containsText" text="DESCANSO">
      <formula>NOT(ISERROR(SEARCH("DESCANSO",DD36)))</formula>
    </cfRule>
    <cfRule type="containsText" dxfId="862" priority="1401" operator="containsText" text="FERIADO">
      <formula>NOT(ISERROR(SEARCH("FERIADO",DD36)))</formula>
    </cfRule>
    <cfRule type="containsText" dxfId="861" priority="1406" operator="containsText" text="SÁBADO">
      <formula>NOT(ISERROR(SEARCH("SÁBADO",DD36)))</formula>
    </cfRule>
    <cfRule type="containsText" dxfId="860" priority="1405" operator="containsText" text="DOMINGO">
      <formula>NOT(ISERROR(SEARCH("DOMINGO",DD36)))</formula>
    </cfRule>
  </conditionalFormatting>
  <conditionalFormatting sqref="DD39:DE39">
    <cfRule type="containsText" dxfId="859" priority="1376" operator="containsText" text="SÁBADO">
      <formula>NOT(ISERROR(SEARCH("SÁBADO",DD39)))</formula>
    </cfRule>
    <cfRule type="containsText" dxfId="858" priority="1377" operator="containsText" text="FERIADO">
      <formula>NOT(ISERROR(SEARCH("FERIADO",DD39)))</formula>
    </cfRule>
    <cfRule type="containsText" dxfId="857" priority="1378" operator="containsText" text="DESCANSO">
      <formula>NOT(ISERROR(SEARCH("DESCANSO",DD39)))</formula>
    </cfRule>
    <cfRule type="containsText" dxfId="856" priority="1379" operator="containsText" text="FALTOU">
      <formula>NOT(ISERROR(SEARCH("FALTOU",DD39)))</formula>
    </cfRule>
    <cfRule type="containsText" dxfId="855" priority="1380" operator="containsText" text="ATESTADO">
      <formula>NOT(ISERROR(SEARCH("ATESTADO",DD39)))</formula>
    </cfRule>
    <cfRule type="containsText" dxfId="854" priority="1375" operator="containsText" text="DOMINGO">
      <formula>NOT(ISERROR(SEARCH("DOMINGO",DD39)))</formula>
    </cfRule>
  </conditionalFormatting>
  <conditionalFormatting sqref="DD10:DF21">
    <cfRule type="containsText" dxfId="853" priority="1556" operator="containsText" text="SÁBADO">
      <formula>NOT(ISERROR(SEARCH("SÁBADO",DD10)))</formula>
    </cfRule>
    <cfRule type="containsText" dxfId="852" priority="1558" operator="containsText" text="DESCANSO">
      <formula>NOT(ISERROR(SEARCH("DESCANSO",DD10)))</formula>
    </cfRule>
    <cfRule type="containsText" dxfId="851" priority="1560" operator="containsText" text="ATESTADO">
      <formula>NOT(ISERROR(SEARCH("ATESTADO",DD10)))</formula>
    </cfRule>
    <cfRule type="containsText" dxfId="850" priority="1559" operator="containsText" text="FALTOU">
      <formula>NOT(ISERROR(SEARCH("FALTOU",DD10)))</formula>
    </cfRule>
    <cfRule type="containsText" dxfId="849" priority="1557" operator="containsText" text="FERIADO">
      <formula>NOT(ISERROR(SEARCH("FERIADO",DD10)))</formula>
    </cfRule>
    <cfRule type="containsText" dxfId="848" priority="1555" operator="containsText" text="DOMINGO">
      <formula>NOT(ISERROR(SEARCH("DOMINGO",DD10)))</formula>
    </cfRule>
  </conditionalFormatting>
  <conditionalFormatting sqref="DD29:DF29">
    <cfRule type="containsText" dxfId="847" priority="1513" operator="containsText" text="DOMINGO">
      <formula>NOT(ISERROR(SEARCH("DOMINGO",DD29)))</formula>
    </cfRule>
    <cfRule type="containsText" dxfId="846" priority="1514" operator="containsText" text="SÁBADO">
      <formula>NOT(ISERROR(SEARCH("SÁBADO",DD29)))</formula>
    </cfRule>
    <cfRule type="containsText" dxfId="845" priority="1515" operator="containsText" text="FERIADO">
      <formula>NOT(ISERROR(SEARCH("FERIADO",DD29)))</formula>
    </cfRule>
    <cfRule type="containsText" dxfId="844" priority="1516" operator="containsText" text="DESCANSO">
      <formula>NOT(ISERROR(SEARCH("DESCANSO",DD29)))</formula>
    </cfRule>
    <cfRule type="containsText" dxfId="843" priority="1517" operator="containsText" text="FALTOU">
      <formula>NOT(ISERROR(SEARCH("FALTOU",DD29)))</formula>
    </cfRule>
    <cfRule type="containsText" dxfId="842" priority="1518" operator="containsText" text="ATESTADO">
      <formula>NOT(ISERROR(SEARCH("ATESTADO",DD29)))</formula>
    </cfRule>
  </conditionalFormatting>
  <conditionalFormatting sqref="DD30:DF30">
    <cfRule type="containsText" dxfId="841" priority="1500" operator="containsText" text="ATESTADO">
      <formula>NOT(ISERROR(SEARCH("ATESTADO",DD30)))</formula>
    </cfRule>
    <cfRule type="containsText" dxfId="840" priority="1497" operator="containsText" text="FERIADO">
      <formula>NOT(ISERROR(SEARCH("FERIADO",DD30)))</formula>
    </cfRule>
    <cfRule type="containsText" dxfId="839" priority="1495" operator="containsText" text="DOMINGO">
      <formula>NOT(ISERROR(SEARCH("DOMINGO",DD30)))</formula>
    </cfRule>
    <cfRule type="containsText" dxfId="838" priority="1498" operator="containsText" text="DESCANSO">
      <formula>NOT(ISERROR(SEARCH("DESCANSO",DD30)))</formula>
    </cfRule>
    <cfRule type="containsText" dxfId="837" priority="1496" operator="containsText" text="SÁBADO">
      <formula>NOT(ISERROR(SEARCH("SÁBADO",DD30)))</formula>
    </cfRule>
    <cfRule type="containsText" dxfId="836" priority="1499" operator="containsText" text="FALTOU">
      <formula>NOT(ISERROR(SEARCH("FALTOU",DD30)))</formula>
    </cfRule>
  </conditionalFormatting>
  <conditionalFormatting sqref="DD31:DF31">
    <cfRule type="containsText" dxfId="835" priority="1465" operator="containsText" text="DOMINGO">
      <formula>NOT(ISERROR(SEARCH("DOMINGO",DD31)))</formula>
    </cfRule>
    <cfRule type="containsText" dxfId="834" priority="1469" operator="containsText" text="FALTOU">
      <formula>NOT(ISERROR(SEARCH("FALTOU",DD31)))</formula>
    </cfRule>
    <cfRule type="containsText" dxfId="833" priority="1468" operator="containsText" text="DESCANSO">
      <formula>NOT(ISERROR(SEARCH("DESCANSO",DD31)))</formula>
    </cfRule>
    <cfRule type="containsText" dxfId="832" priority="1467" operator="containsText" text="FERIADO">
      <formula>NOT(ISERROR(SEARCH("FERIADO",DD31)))</formula>
    </cfRule>
    <cfRule type="containsText" dxfId="831" priority="1466" operator="containsText" text="SÁBADO">
      <formula>NOT(ISERROR(SEARCH("SÁBADO",DD31)))</formula>
    </cfRule>
    <cfRule type="containsText" dxfId="830" priority="1470" operator="containsText" text="ATESTADO">
      <formula>NOT(ISERROR(SEARCH("ATESTADO",DD31)))</formula>
    </cfRule>
  </conditionalFormatting>
  <conditionalFormatting sqref="DD33:DF33">
    <cfRule type="containsText" dxfId="829" priority="1452" operator="containsText" text="ATESTADO">
      <formula>NOT(ISERROR(SEARCH("ATESTADO",DD33)))</formula>
    </cfRule>
    <cfRule type="containsText" dxfId="828" priority="1448" operator="containsText" text="SÁBADO">
      <formula>NOT(ISERROR(SEARCH("SÁBADO",DD33)))</formula>
    </cfRule>
    <cfRule type="containsText" dxfId="827" priority="1447" operator="containsText" text="DOMINGO">
      <formula>NOT(ISERROR(SEARCH("DOMINGO",DD33)))</formula>
    </cfRule>
    <cfRule type="containsText" dxfId="826" priority="1449" operator="containsText" text="FERIADO">
      <formula>NOT(ISERROR(SEARCH("FERIADO",DD33)))</formula>
    </cfRule>
    <cfRule type="containsText" dxfId="825" priority="1450" operator="containsText" text="DESCANSO">
      <formula>NOT(ISERROR(SEARCH("DESCANSO",DD33)))</formula>
    </cfRule>
    <cfRule type="containsText" dxfId="824" priority="1451" operator="containsText" text="FALTOU">
      <formula>NOT(ISERROR(SEARCH("FALTOU",DD33)))</formula>
    </cfRule>
  </conditionalFormatting>
  <conditionalFormatting sqref="DD34:DF34">
    <cfRule type="containsText" dxfId="823" priority="1428" operator="containsText" text="ATESTADO">
      <formula>NOT(ISERROR(SEARCH("ATESTADO",DD34)))</formula>
    </cfRule>
    <cfRule type="containsText" dxfId="822" priority="1427" operator="containsText" text="FALTOU">
      <formula>NOT(ISERROR(SEARCH("FALTOU",DD34)))</formula>
    </cfRule>
    <cfRule type="containsText" dxfId="821" priority="1426" operator="containsText" text="DESCANSO">
      <formula>NOT(ISERROR(SEARCH("DESCANSO",DD34)))</formula>
    </cfRule>
    <cfRule type="containsText" dxfId="820" priority="1425" operator="containsText" text="FERIADO">
      <formula>NOT(ISERROR(SEARCH("FERIADO",DD34)))</formula>
    </cfRule>
    <cfRule type="containsText" dxfId="819" priority="1424" operator="containsText" text="SÁBADO">
      <formula>NOT(ISERROR(SEARCH("SÁBADO",DD34)))</formula>
    </cfRule>
    <cfRule type="containsText" dxfId="818" priority="1423" operator="containsText" text="DOMINGO">
      <formula>NOT(ISERROR(SEARCH("DOMINGO",DD34)))</formula>
    </cfRule>
  </conditionalFormatting>
  <conditionalFormatting sqref="DD1:DG1">
    <cfRule type="containsText" dxfId="817" priority="1565" operator="containsText" text="DESCANSO">
      <formula>NOT(ISERROR(SEARCH("DESCANSO",DD1)))</formula>
    </cfRule>
    <cfRule type="containsText" dxfId="816" priority="1566" operator="containsText" text="FALTOU">
      <formula>NOT(ISERROR(SEARCH("FALTOU",DD1)))</formula>
    </cfRule>
  </conditionalFormatting>
  <conditionalFormatting sqref="DD22:DG22">
    <cfRule type="containsText" dxfId="815" priority="1551" operator="containsText" text="FERIADO">
      <formula>NOT(ISERROR(SEARCH("FERIADO",DD22)))</formula>
    </cfRule>
    <cfRule type="containsText" dxfId="814" priority="1552" operator="containsText" text="ATESTADO">
      <formula>NOT(ISERROR(SEARCH("ATESTADO",DD22)))</formula>
    </cfRule>
    <cfRule type="containsText" dxfId="813" priority="1553" operator="containsText" text="DESCANSO">
      <formula>NOT(ISERROR(SEARCH("DESCANSO",DD22)))</formula>
    </cfRule>
    <cfRule type="containsText" dxfId="812" priority="1554" operator="containsText" text="FALTOU">
      <formula>NOT(ISERROR(SEARCH("FALTOU",DD22)))</formula>
    </cfRule>
  </conditionalFormatting>
  <conditionalFormatting sqref="DD22:DG23">
    <cfRule type="containsText" dxfId="811" priority="1544" operator="containsText" text="SÁBADO">
      <formula>NOT(ISERROR(SEARCH("SÁBADO",DD22)))</formula>
    </cfRule>
    <cfRule type="containsText" dxfId="810" priority="1543" operator="containsText" text="DOMINGO">
      <formula>NOT(ISERROR(SEARCH("DOMINGO",DD22)))</formula>
    </cfRule>
  </conditionalFormatting>
  <conditionalFormatting sqref="DD23:DG23">
    <cfRule type="containsText" dxfId="809" priority="1547" operator="containsText" text="DESCANSO">
      <formula>NOT(ISERROR(SEARCH("DESCANSO",DD23)))</formula>
    </cfRule>
    <cfRule type="containsText" dxfId="808" priority="1548" operator="containsText" text="FALTOU">
      <formula>NOT(ISERROR(SEARCH("FALTOU",DD23)))</formula>
    </cfRule>
    <cfRule type="containsText" dxfId="807" priority="1545" operator="containsText" text="FERIADO">
      <formula>NOT(ISERROR(SEARCH("FERIADO",DD23)))</formula>
    </cfRule>
    <cfRule type="containsText" dxfId="806" priority="1546" operator="containsText" text="ATESTADO">
      <formula>NOT(ISERROR(SEARCH("ATESTADO",DD23)))</formula>
    </cfRule>
  </conditionalFormatting>
  <conditionalFormatting sqref="DD324:DG324">
    <cfRule type="containsText" dxfId="805" priority="1567" operator="containsText" text="DESCANSO">
      <formula>NOT(ISERROR(SEARCH("DESCANSO",DD324)))</formula>
    </cfRule>
    <cfRule type="containsText" dxfId="804" priority="1568" operator="containsText" text="FALTOU">
      <formula>NOT(ISERROR(SEARCH("FALTOU",DD324)))</formula>
    </cfRule>
  </conditionalFormatting>
  <conditionalFormatting sqref="DE45:DE47">
    <cfRule type="containsText" dxfId="803" priority="216" operator="containsText" text="ATESTADO">
      <formula>NOT(ISERROR(SEARCH("ATESTADO",DE45)))</formula>
    </cfRule>
    <cfRule type="containsText" dxfId="802" priority="213" operator="containsText" text="FERIADO">
      <formula>NOT(ISERROR(SEARCH("FERIADO",DE45)))</formula>
    </cfRule>
    <cfRule type="containsText" dxfId="801" priority="214" operator="containsText" text="DESCANSO">
      <formula>NOT(ISERROR(SEARCH("DESCANSO",DE45)))</formula>
    </cfRule>
    <cfRule type="containsText" dxfId="800" priority="215" operator="containsText" text="FALTOU">
      <formula>NOT(ISERROR(SEARCH("FALTOU",DE45)))</formula>
    </cfRule>
    <cfRule type="containsText" dxfId="799" priority="211" operator="containsText" text="DOMINGO">
      <formula>NOT(ISERROR(SEARCH("DOMINGO",DE45)))</formula>
    </cfRule>
    <cfRule type="containsText" dxfId="798" priority="212" operator="containsText" text="SÁBADO">
      <formula>NOT(ISERROR(SEARCH("SÁBADO",DE45)))</formula>
    </cfRule>
  </conditionalFormatting>
  <conditionalFormatting sqref="DE71:DE77">
    <cfRule type="containsText" dxfId="797" priority="62" operator="containsText" text="SÁBADO">
      <formula>NOT(ISERROR(SEARCH("SÁBADO",DE71)))</formula>
    </cfRule>
    <cfRule type="containsText" dxfId="796" priority="64" operator="containsText" text="DESCANSO">
      <formula>NOT(ISERROR(SEARCH("DESCANSO",DE71)))</formula>
    </cfRule>
    <cfRule type="containsText" dxfId="795" priority="66" operator="containsText" text="ATESTADO">
      <formula>NOT(ISERROR(SEARCH("ATESTADO",DE71)))</formula>
    </cfRule>
    <cfRule type="containsText" dxfId="794" priority="65" operator="containsText" text="FALTOU">
      <formula>NOT(ISERROR(SEARCH("FALTOU",DE71)))</formula>
    </cfRule>
    <cfRule type="containsText" dxfId="793" priority="61" operator="containsText" text="DOMINGO">
      <formula>NOT(ISERROR(SEARCH("DOMINGO",DE71)))</formula>
    </cfRule>
    <cfRule type="containsText" dxfId="792" priority="63" operator="containsText" text="FERIADO">
      <formula>NOT(ISERROR(SEARCH("FERIADO",DE71)))</formula>
    </cfRule>
  </conditionalFormatting>
  <conditionalFormatting sqref="DE35:DG35 DG34">
    <cfRule type="containsText" dxfId="791" priority="1479" operator="containsText" text="FERIADO">
      <formula>NOT(ISERROR(SEARCH("FERIADO",DE34)))</formula>
    </cfRule>
    <cfRule type="containsText" dxfId="790" priority="1481" operator="containsText" text="FALTOU">
      <formula>NOT(ISERROR(SEARCH("FALTOU",DE34)))</formula>
    </cfRule>
    <cfRule type="containsText" dxfId="789" priority="1482" operator="containsText" text="ATESTADO">
      <formula>NOT(ISERROR(SEARCH("ATESTADO",DE34)))</formula>
    </cfRule>
  </conditionalFormatting>
  <conditionalFormatting sqref="DE35:DG35">
    <cfRule type="containsText" dxfId="788" priority="1477" operator="containsText" text="DOMINGO">
      <formula>NOT(ISERROR(SEARCH("DOMINGO",DE35)))</formula>
    </cfRule>
    <cfRule type="containsText" dxfId="787" priority="1480" operator="containsText" text="DESCANSO">
      <formula>NOT(ISERROR(SEARCH("DESCANSO",DE35)))</formula>
    </cfRule>
    <cfRule type="containsText" dxfId="786" priority="1478" operator="containsText" text="SÁBADO">
      <formula>NOT(ISERROR(SEARCH("SÁBADO",DE35)))</formula>
    </cfRule>
  </conditionalFormatting>
  <conditionalFormatting sqref="DE316:DG316">
    <cfRule type="containsText" dxfId="785" priority="1564" operator="containsText" text="FALTOU">
      <formula>NOT(ISERROR(SEARCH("FALTOU",DE316)))</formula>
    </cfRule>
    <cfRule type="containsText" dxfId="784" priority="1563" operator="containsText" text="DESCANSO">
      <formula>NOT(ISERROR(SEARCH("DESCANSO",DE316)))</formula>
    </cfRule>
    <cfRule type="containsText" dxfId="783" priority="1562" operator="containsText" text="FALTOU">
      <formula>NOT(ISERROR(SEARCH("FALTOU",DE316)))</formula>
    </cfRule>
    <cfRule type="containsText" dxfId="782" priority="1561" operator="containsText" text="DESCANSO">
      <formula>NOT(ISERROR(SEARCH("DESCANSO",DE316)))</formula>
    </cfRule>
  </conditionalFormatting>
  <conditionalFormatting sqref="DF36:DF38">
    <cfRule type="containsText" dxfId="781" priority="1413" operator="containsText" text="FERIADO">
      <formula>NOT(ISERROR(SEARCH("FERIADO",DF36)))</formula>
    </cfRule>
    <cfRule type="containsText" dxfId="780" priority="1415" operator="containsText" text="FALTOU">
      <formula>NOT(ISERROR(SEARCH("FALTOU",DF36)))</formula>
    </cfRule>
    <cfRule type="containsText" dxfId="779" priority="1416" operator="containsText" text="ATESTADO">
      <formula>NOT(ISERROR(SEARCH("ATESTADO",DF36)))</formula>
    </cfRule>
  </conditionalFormatting>
  <conditionalFormatting sqref="DF36:DF40">
    <cfRule type="containsText" dxfId="778" priority="1360" operator="containsText" text="DESCANSO">
      <formula>NOT(ISERROR(SEARCH("DESCANSO",DF36)))</formula>
    </cfRule>
    <cfRule type="containsText" dxfId="777" priority="1357" operator="containsText" text="DOMINGO">
      <formula>NOT(ISERROR(SEARCH("DOMINGO",DF36)))</formula>
    </cfRule>
    <cfRule type="containsText" dxfId="776" priority="1358" operator="containsText" text="SÁBADO">
      <formula>NOT(ISERROR(SEARCH("SÁBADO",DF36)))</formula>
    </cfRule>
  </conditionalFormatting>
  <conditionalFormatting sqref="DF39">
    <cfRule type="containsText" dxfId="775" priority="1371" operator="containsText" text="FERIADO">
      <formula>NOT(ISERROR(SEARCH("FERIADO",DF39)))</formula>
    </cfRule>
    <cfRule type="containsText" dxfId="774" priority="1374" operator="containsText" text="ATESTADO">
      <formula>NOT(ISERROR(SEARCH("ATESTADO",DF39)))</formula>
    </cfRule>
    <cfRule type="containsText" dxfId="773" priority="1373" operator="containsText" text="FALTOU">
      <formula>NOT(ISERROR(SEARCH("FALTOU",DF39)))</formula>
    </cfRule>
  </conditionalFormatting>
  <conditionalFormatting sqref="DF40">
    <cfRule type="containsText" dxfId="772" priority="1362" operator="containsText" text="ATESTADO">
      <formula>NOT(ISERROR(SEARCH("ATESTADO",DF40)))</formula>
    </cfRule>
    <cfRule type="containsText" dxfId="771" priority="1361" operator="containsText" text="FALTOU">
      <formula>NOT(ISERROR(SEARCH("FALTOU",DF40)))</formula>
    </cfRule>
    <cfRule type="containsText" dxfId="770" priority="1359" operator="containsText" text="FERIADO">
      <formula>NOT(ISERROR(SEARCH("FERIADO",DF40)))</formula>
    </cfRule>
  </conditionalFormatting>
  <conditionalFormatting sqref="DF71:DG77 DB73:DD73">
    <cfRule type="containsText" dxfId="769" priority="130" operator="containsText" text="SÁBADO">
      <formula>NOT(ISERROR(SEARCH("SÁBADO",DB71)))</formula>
    </cfRule>
  </conditionalFormatting>
  <conditionalFormatting sqref="DF72:DG73 DB73:DD73">
    <cfRule type="containsText" dxfId="768" priority="134" operator="containsText" text="ATESTADO">
      <formula>NOT(ISERROR(SEARCH("ATESTADO",DB72)))</formula>
    </cfRule>
    <cfRule type="containsText" dxfId="767" priority="132" operator="containsText" text="DESCANSO">
      <formula>NOT(ISERROR(SEARCH("DESCANSO",DB72)))</formula>
    </cfRule>
  </conditionalFormatting>
  <conditionalFormatting sqref="DG24:DG26">
    <cfRule type="containsText" dxfId="766" priority="1538" operator="containsText" text="SÁBADO">
      <formula>NOT(ISERROR(SEARCH("SÁBADO",DG24)))</formula>
    </cfRule>
    <cfRule type="containsText" dxfId="765" priority="1541" operator="containsText" text="DESCANSO">
      <formula>NOT(ISERROR(SEARCH("DESCANSO",DG24)))</formula>
    </cfRule>
    <cfRule type="containsText" dxfId="764" priority="1539" operator="containsText" text="FERIADO">
      <formula>NOT(ISERROR(SEARCH("FERIADO",DG24)))</formula>
    </cfRule>
    <cfRule type="containsText" dxfId="763" priority="1540" operator="containsText" text="ATESTADO">
      <formula>NOT(ISERROR(SEARCH("ATESTADO",DG24)))</formula>
    </cfRule>
    <cfRule type="containsText" dxfId="762" priority="1542" operator="containsText" text="FALTOU">
      <formula>NOT(ISERROR(SEARCH("FALTOU",DG24)))</formula>
    </cfRule>
    <cfRule type="containsText" dxfId="761" priority="1537" operator="containsText" text="DOMINGO">
      <formula>NOT(ISERROR(SEARCH("DOMINGO",DG24)))</formula>
    </cfRule>
  </conditionalFormatting>
  <conditionalFormatting sqref="DG29">
    <cfRule type="containsText" dxfId="760" priority="1509" operator="containsText" text="FERIADO">
      <formula>NOT(ISERROR(SEARCH("FERIADO",DG29)))</formula>
    </cfRule>
    <cfRule type="containsText" dxfId="759" priority="1510" operator="containsText" text="ATESTADO">
      <formula>NOT(ISERROR(SEARCH("ATESTADO",DG29)))</formula>
    </cfRule>
    <cfRule type="containsText" dxfId="758" priority="1511" operator="containsText" text="DESCANSO">
      <formula>NOT(ISERROR(SEARCH("DESCANSO",DG29)))</formula>
    </cfRule>
    <cfRule type="containsText" dxfId="757" priority="1512" operator="containsText" text="FALTOU">
      <formula>NOT(ISERROR(SEARCH("FALTOU",DG29)))</formula>
    </cfRule>
  </conditionalFormatting>
  <conditionalFormatting sqref="DG29:DG31">
    <cfRule type="containsText" dxfId="756" priority="1460" operator="containsText" text="SÁBADO">
      <formula>NOT(ISERROR(SEARCH("SÁBADO",DG29)))</formula>
    </cfRule>
    <cfRule type="containsText" dxfId="755" priority="1459" operator="containsText" text="DOMINGO">
      <formula>NOT(ISERROR(SEARCH("DOMINGO",DG29)))</formula>
    </cfRule>
  </conditionalFormatting>
  <conditionalFormatting sqref="DG30">
    <cfRule type="containsText" dxfId="754" priority="1494" operator="containsText" text="FALTOU">
      <formula>NOT(ISERROR(SEARCH("FALTOU",DG30)))</formula>
    </cfRule>
    <cfRule type="containsText" dxfId="753" priority="1492" operator="containsText" text="ATESTADO">
      <formula>NOT(ISERROR(SEARCH("ATESTADO",DG30)))</formula>
    </cfRule>
    <cfRule type="containsText" dxfId="752" priority="1491" operator="containsText" text="FERIADO">
      <formula>NOT(ISERROR(SEARCH("FERIADO",DG30)))</formula>
    </cfRule>
    <cfRule type="containsText" dxfId="751" priority="1493" operator="containsText" text="DESCANSO">
      <formula>NOT(ISERROR(SEARCH("DESCANSO",DG30)))</formula>
    </cfRule>
  </conditionalFormatting>
  <conditionalFormatting sqref="DG31">
    <cfRule type="containsText" dxfId="750" priority="1463" operator="containsText" text="DESCANSO">
      <formula>NOT(ISERROR(SEARCH("DESCANSO",DG31)))</formula>
    </cfRule>
    <cfRule type="containsText" dxfId="749" priority="1462" operator="containsText" text="ATESTADO">
      <formula>NOT(ISERROR(SEARCH("ATESTADO",DG31)))</formula>
    </cfRule>
    <cfRule type="containsText" dxfId="748" priority="1461" operator="containsText" text="FERIADO">
      <formula>NOT(ISERROR(SEARCH("FERIADO",DG31)))</formula>
    </cfRule>
    <cfRule type="containsText" dxfId="747" priority="1464" operator="containsText" text="FALTOU">
      <formula>NOT(ISERROR(SEARCH("FALTOU",DG31)))</formula>
    </cfRule>
  </conditionalFormatting>
  <conditionalFormatting sqref="DG33">
    <cfRule type="containsText" dxfId="746" priority="1443" operator="containsText" text="FERIADO">
      <formula>NOT(ISERROR(SEARCH("FERIADO",DG33)))</formula>
    </cfRule>
    <cfRule type="containsText" dxfId="745" priority="1444" operator="containsText" text="ATESTADO">
      <formula>NOT(ISERROR(SEARCH("ATESTADO",DG33)))</formula>
    </cfRule>
    <cfRule type="containsText" dxfId="744" priority="1446" operator="containsText" text="FALTOU">
      <formula>NOT(ISERROR(SEARCH("FALTOU",DG33)))</formula>
    </cfRule>
  </conditionalFormatting>
  <conditionalFormatting sqref="DG33:DG34">
    <cfRule type="containsText" dxfId="743" priority="1441" operator="containsText" text="DOMINGO">
      <formula>NOT(ISERROR(SEARCH("DOMINGO",DG33)))</formula>
    </cfRule>
    <cfRule type="containsText" dxfId="742" priority="1442" operator="containsText" text="SÁBADO">
      <formula>NOT(ISERROR(SEARCH("SÁBADO",DG33)))</formula>
    </cfRule>
    <cfRule type="containsText" dxfId="741" priority="1445" operator="containsText" text="DESCANSO">
      <formula>NOT(ISERROR(SEARCH("DESCANSO",DG33)))</formula>
    </cfRule>
  </conditionalFormatting>
  <conditionalFormatting sqref="DG36:DG38">
    <cfRule type="containsText" dxfId="740" priority="1395" operator="containsText" text="FERIADO">
      <formula>NOT(ISERROR(SEARCH("FERIADO",DG36)))</formula>
    </cfRule>
    <cfRule type="containsText" dxfId="739" priority="1397" operator="containsText" text="DESCANSO">
      <formula>NOT(ISERROR(SEARCH("DESCANSO",DG36)))</formula>
    </cfRule>
    <cfRule type="containsText" dxfId="738" priority="1396" operator="containsText" text="ATESTADO">
      <formula>NOT(ISERROR(SEARCH("ATESTADO",DG36)))</formula>
    </cfRule>
    <cfRule type="containsText" dxfId="737" priority="1398" operator="containsText" text="FALTOU">
      <formula>NOT(ISERROR(SEARCH("FALTOU",DG36)))</formula>
    </cfRule>
  </conditionalFormatting>
  <conditionalFormatting sqref="DG36:DG40">
    <cfRule type="containsText" dxfId="736" priority="1351" operator="containsText" text="DOMINGO">
      <formula>NOT(ISERROR(SEARCH("DOMINGO",DG36)))</formula>
    </cfRule>
    <cfRule type="containsText" dxfId="735" priority="1352" operator="containsText" text="SÁBADO">
      <formula>NOT(ISERROR(SEARCH("SÁBADO",DG36)))</formula>
    </cfRule>
  </conditionalFormatting>
  <conditionalFormatting sqref="DG39">
    <cfRule type="containsText" dxfId="734" priority="1366" operator="containsText" text="ATESTADO">
      <formula>NOT(ISERROR(SEARCH("ATESTADO",DG39)))</formula>
    </cfRule>
    <cfRule type="containsText" dxfId="733" priority="1365" operator="containsText" text="FERIADO">
      <formula>NOT(ISERROR(SEARCH("FERIADO",DG39)))</formula>
    </cfRule>
    <cfRule type="containsText" dxfId="732" priority="1367" operator="containsText" text="DESCANSO">
      <formula>NOT(ISERROR(SEARCH("DESCANSO",DG39)))</formula>
    </cfRule>
    <cfRule type="containsText" dxfId="731" priority="1368" operator="containsText" text="FALTOU">
      <formula>NOT(ISERROR(SEARCH("FALTOU",DG39)))</formula>
    </cfRule>
  </conditionalFormatting>
  <conditionalFormatting sqref="DG40">
    <cfRule type="containsText" dxfId="730" priority="1356" operator="containsText" text="FALTOU">
      <formula>NOT(ISERROR(SEARCH("FALTOU",DG40)))</formula>
    </cfRule>
    <cfRule type="containsText" dxfId="729" priority="1355" operator="containsText" text="DESCANSO">
      <formula>NOT(ISERROR(SEARCH("DESCANSO",DG40)))</formula>
    </cfRule>
    <cfRule type="containsText" dxfId="728" priority="1354" operator="containsText" text="ATESTADO">
      <formula>NOT(ISERROR(SEARCH("ATESTADO",DG40)))</formula>
    </cfRule>
    <cfRule type="containsText" dxfId="727" priority="1353" operator="containsText" text="FERIADO">
      <formula>NOT(ISERROR(SEARCH("FERIADO",DG40)))</formula>
    </cfRule>
  </conditionalFormatting>
  <conditionalFormatting sqref="DI32:DI46">
    <cfRule type="containsText" dxfId="726" priority="1158" operator="containsText" text="FALTOU">
      <formula>NOT(ISERROR(SEARCH("FALTOU",DI32)))</formula>
    </cfRule>
    <cfRule type="containsText" dxfId="725" priority="1155" operator="containsText" text="SÁBADO">
      <formula>NOT(ISERROR(SEARCH("SÁBADO",DI32)))</formula>
    </cfRule>
    <cfRule type="containsText" dxfId="724" priority="1159" operator="containsText" text="ATESTADO">
      <formula>NOT(ISERROR(SEARCH("ATESTADO",DI32)))</formula>
    </cfRule>
    <cfRule type="containsText" dxfId="723" priority="1154" operator="containsText" text="DOMINGO">
      <formula>NOT(ISERROR(SEARCH("DOMINGO",DI32)))</formula>
    </cfRule>
    <cfRule type="containsText" dxfId="722" priority="1156" operator="containsText" text="FERIADO">
      <formula>NOT(ISERROR(SEARCH("FERIADO",DI32)))</formula>
    </cfRule>
    <cfRule type="containsText" dxfId="721" priority="1157" operator="containsText" text="DESCANSO">
      <formula>NOT(ISERROR(SEARCH("DESCANSO",DI32)))</formula>
    </cfRule>
  </conditionalFormatting>
  <conditionalFormatting sqref="DI1:DJ1">
    <cfRule type="containsText" dxfId="720" priority="1342" operator="containsText" text="ATESTADO">
      <formula>NOT(ISERROR(SEARCH("ATESTADO",DI1)))</formula>
    </cfRule>
    <cfRule type="containsText" dxfId="719" priority="1344" operator="containsText" text="FALTOU">
      <formula>NOT(ISERROR(SEARCH("FALTOU",DI1)))</formula>
    </cfRule>
    <cfRule type="containsText" dxfId="718" priority="1343" operator="containsText" text="DESCANSO">
      <formula>NOT(ISERROR(SEARCH("DESCANSO",DI1)))</formula>
    </cfRule>
  </conditionalFormatting>
  <conditionalFormatting sqref="DI1:DN4 DI5:DJ5 DI6:DN9 DI10:DJ23 DN12 DN17:DN21 DI24:DM26 DI27:DN28 DI29:DJ31 DJ32:DN32 DJ38:DL38 DJ39 DJ40:DL40 DJ41:DN46 DI47:DN56 DI57:DM61 DI62:DN1048576">
    <cfRule type="containsText" dxfId="717" priority="1348" operator="containsText" text="DESCANSO">
      <formula>NOT(ISERROR(SEARCH("DESCANSO",DI1)))</formula>
    </cfRule>
    <cfRule type="containsText" dxfId="716" priority="1350" operator="containsText" text="ATESTADO">
      <formula>NOT(ISERROR(SEARCH("ATESTADO",DI1)))</formula>
    </cfRule>
  </conditionalFormatting>
  <conditionalFormatting sqref="DI1:DN4 DI62:DN1048576 DI24:DM26 DI5:DJ5 DI6:DN9 DI10:DJ23 DN12 DN17:DN21 DI27:DN28 DI29:DJ31 DJ32:DN32 DJ38:DL38 DJ39 DJ40:DL40 DJ41:DN46 DI47:DN56 DI57:DM61">
    <cfRule type="containsText" dxfId="715" priority="1346" operator="containsText" text="SÁBADO">
      <formula>NOT(ISERROR(SEARCH("SÁBADO",DI1)))</formula>
    </cfRule>
    <cfRule type="containsText" dxfId="714" priority="1345" operator="containsText" text="DOMINGO">
      <formula>NOT(ISERROR(SEARCH("DOMINGO",DI1)))</formula>
    </cfRule>
  </conditionalFormatting>
  <conditionalFormatting sqref="DI27:DN28 DI1:DN4 DI6:DN9 DI5:DJ5 DN12 DN17:DN21 DI10:DJ23 DI24:DM26 DJ32:DN32 DI29:DJ31 DJ38:DL38 DJ40:DL40 DJ39 DJ41:DN46 DI62:DN1048576 DI57:DM61 DI47:DN56">
    <cfRule type="containsText" dxfId="713" priority="1349" operator="containsText" text="FALTOU">
      <formula>NOT(ISERROR(SEARCH("FALTOU",DI1)))</formula>
    </cfRule>
    <cfRule type="containsText" dxfId="712" priority="1347" operator="containsText" text="FERIADO">
      <formula>NOT(ISERROR(SEARCH("FERIADO",DI1)))</formula>
    </cfRule>
  </conditionalFormatting>
  <conditionalFormatting sqref="DJ33 DK35 DJ36:DJ37">
    <cfRule type="containsText" dxfId="711" priority="1249" operator="containsText" text="ATESTADO">
      <formula>NOT(ISERROR(SEARCH("ATESTADO",DJ33)))</formula>
    </cfRule>
    <cfRule type="containsText" dxfId="710" priority="1248" operator="containsText" text="FALTOU">
      <formula>NOT(ISERROR(SEARCH("FALTOU",DJ33)))</formula>
    </cfRule>
    <cfRule type="containsText" dxfId="709" priority="1246" operator="containsText" text="FERIADO">
      <formula>NOT(ISERROR(SEARCH("FERIADO",DJ33)))</formula>
    </cfRule>
  </conditionalFormatting>
  <conditionalFormatting sqref="DJ33:DJ37">
    <cfRule type="containsText" dxfId="708" priority="1161" operator="containsText" text="SÁBADO">
      <formula>NOT(ISERROR(SEARCH("SÁBADO",DJ33)))</formula>
    </cfRule>
    <cfRule type="containsText" dxfId="707" priority="1160" operator="containsText" text="DOMINGO">
      <formula>NOT(ISERROR(SEARCH("DOMINGO",DJ33)))</formula>
    </cfRule>
  </conditionalFormatting>
  <conditionalFormatting sqref="DJ34">
    <cfRule type="containsText" dxfId="706" priority="1206" operator="containsText" text="FALTOU">
      <formula>NOT(ISERROR(SEARCH("FALTOU",DJ34)))</formula>
    </cfRule>
    <cfRule type="containsText" dxfId="705" priority="1204" operator="containsText" text="FERIADO">
      <formula>NOT(ISERROR(SEARCH("FERIADO",DJ34)))</formula>
    </cfRule>
    <cfRule type="containsText" dxfId="704" priority="1205" operator="containsText" text="DESCANSO">
      <formula>NOT(ISERROR(SEARCH("DESCANSO",DJ34)))</formula>
    </cfRule>
    <cfRule type="containsText" dxfId="703" priority="1207" operator="containsText" text="ATESTADO">
      <formula>NOT(ISERROR(SEARCH("ATESTADO",DJ34)))</formula>
    </cfRule>
  </conditionalFormatting>
  <conditionalFormatting sqref="DJ35">
    <cfRule type="containsText" dxfId="702" priority="1163" operator="containsText" text="DESCANSO">
      <formula>NOT(ISERROR(SEARCH("DESCANSO",DJ35)))</formula>
    </cfRule>
    <cfRule type="containsText" dxfId="701" priority="1165" operator="containsText" text="ATESTADO">
      <formula>NOT(ISERROR(SEARCH("ATESTADO",DJ35)))</formula>
    </cfRule>
    <cfRule type="containsText" dxfId="700" priority="1164" operator="containsText" text="FALTOU">
      <formula>NOT(ISERROR(SEARCH("FALTOU",DJ35)))</formula>
    </cfRule>
    <cfRule type="containsText" dxfId="699" priority="1162" operator="containsText" text="FERIADO">
      <formula>NOT(ISERROR(SEARCH("FERIADO",DJ35)))</formula>
    </cfRule>
  </conditionalFormatting>
  <conditionalFormatting sqref="DK35 DJ33 DJ36:DJ37">
    <cfRule type="containsText" dxfId="698" priority="1247" operator="containsText" text="DESCANSO">
      <formula>NOT(ISERROR(SEARCH("DESCANSO",DJ33)))</formula>
    </cfRule>
  </conditionalFormatting>
  <conditionalFormatting sqref="DK35">
    <cfRule type="containsText" dxfId="697" priority="1245" operator="containsText" text="SÁBADO">
      <formula>NOT(ISERROR(SEARCH("SÁBADO",DK35)))</formula>
    </cfRule>
    <cfRule type="containsText" dxfId="696" priority="1244" operator="containsText" text="DOMINGO">
      <formula>NOT(ISERROR(SEARCH("DOMINGO",DK35)))</formula>
    </cfRule>
  </conditionalFormatting>
  <conditionalFormatting sqref="DK24:DL24">
    <cfRule type="containsText" dxfId="695" priority="1309" operator="containsText" text="FALTOU">
      <formula>NOT(ISERROR(SEARCH("FALTOU",DK24)))</formula>
    </cfRule>
    <cfRule type="containsText" dxfId="694" priority="1308" operator="containsText" text="DESCANSO">
      <formula>NOT(ISERROR(SEARCH("DESCANSO",DK24)))</formula>
    </cfRule>
    <cfRule type="containsText" dxfId="693" priority="1307" operator="containsText" text="ATESTADO">
      <formula>NOT(ISERROR(SEARCH("ATESTADO",DK24)))</formula>
    </cfRule>
    <cfRule type="containsText" dxfId="692" priority="1306" operator="containsText" text="FERIADO">
      <formula>NOT(ISERROR(SEARCH("FERIADO",DK24)))</formula>
    </cfRule>
  </conditionalFormatting>
  <conditionalFormatting sqref="DK24:DL26">
    <cfRule type="containsText" dxfId="691" priority="1293" operator="containsText" text="SÁBADO">
      <formula>NOT(ISERROR(SEARCH("SÁBADO",DK24)))</formula>
    </cfRule>
    <cfRule type="containsText" dxfId="690" priority="1292" operator="containsText" text="DOMINGO">
      <formula>NOT(ISERROR(SEARCH("DOMINGO",DK24)))</formula>
    </cfRule>
  </conditionalFormatting>
  <conditionalFormatting sqref="DK25:DL25">
    <cfRule type="containsText" dxfId="689" priority="1303" operator="containsText" text="FALTOU">
      <formula>NOT(ISERROR(SEARCH("FALTOU",DK25)))</formula>
    </cfRule>
    <cfRule type="containsText" dxfId="688" priority="1301" operator="containsText" text="ATESTADO">
      <formula>NOT(ISERROR(SEARCH("ATESTADO",DK25)))</formula>
    </cfRule>
    <cfRule type="containsText" dxfId="687" priority="1300" operator="containsText" text="FERIADO">
      <formula>NOT(ISERROR(SEARCH("FERIADO",DK25)))</formula>
    </cfRule>
    <cfRule type="containsText" dxfId="686" priority="1302" operator="containsText" text="DESCANSO">
      <formula>NOT(ISERROR(SEARCH("DESCANSO",DK25)))</formula>
    </cfRule>
  </conditionalFormatting>
  <conditionalFormatting sqref="DK26:DL26">
    <cfRule type="containsText" dxfId="685" priority="1296" operator="containsText" text="DESCANSO">
      <formula>NOT(ISERROR(SEARCH("DESCANSO",DK26)))</formula>
    </cfRule>
    <cfRule type="containsText" dxfId="684" priority="1297" operator="containsText" text="FALTOU">
      <formula>NOT(ISERROR(SEARCH("FALTOU",DK26)))</formula>
    </cfRule>
    <cfRule type="containsText" dxfId="683" priority="1295" operator="containsText" text="ATESTADO">
      <formula>NOT(ISERROR(SEARCH("ATESTADO",DK26)))</formula>
    </cfRule>
    <cfRule type="containsText" dxfId="682" priority="1294" operator="containsText" text="FERIADO">
      <formula>NOT(ISERROR(SEARCH("FERIADO",DK26)))</formula>
    </cfRule>
  </conditionalFormatting>
  <conditionalFormatting sqref="DK29:DL29">
    <cfRule type="containsText" dxfId="681" priority="1278" operator="containsText" text="DESCANSO">
      <formula>NOT(ISERROR(SEARCH("DESCANSO",DK29)))</formula>
    </cfRule>
    <cfRule type="containsText" dxfId="680" priority="1279" operator="containsText" text="FALTOU">
      <formula>NOT(ISERROR(SEARCH("FALTOU",DK29)))</formula>
    </cfRule>
    <cfRule type="containsText" dxfId="679" priority="1277" operator="containsText" text="ATESTADO">
      <formula>NOT(ISERROR(SEARCH("ATESTADO",DK29)))</formula>
    </cfRule>
    <cfRule type="containsText" dxfId="678" priority="1276" operator="containsText" text="FERIADO">
      <formula>NOT(ISERROR(SEARCH("FERIADO",DK29)))</formula>
    </cfRule>
  </conditionalFormatting>
  <conditionalFormatting sqref="DK29:DL31">
    <cfRule type="containsText" dxfId="677" priority="1226" operator="containsText" text="DOMINGO">
      <formula>NOT(ISERROR(SEARCH("DOMINGO",DK29)))</formula>
    </cfRule>
    <cfRule type="containsText" dxfId="676" priority="1227" operator="containsText" text="SÁBADO">
      <formula>NOT(ISERROR(SEARCH("SÁBADO",DK29)))</formula>
    </cfRule>
  </conditionalFormatting>
  <conditionalFormatting sqref="DK30:DL30">
    <cfRule type="containsText" dxfId="675" priority="1258" operator="containsText" text="FERIADO">
      <formula>NOT(ISERROR(SEARCH("FERIADO",DK30)))</formula>
    </cfRule>
    <cfRule type="containsText" dxfId="674" priority="1259" operator="containsText" text="ATESTADO">
      <formula>NOT(ISERROR(SEARCH("ATESTADO",DK30)))</formula>
    </cfRule>
    <cfRule type="containsText" dxfId="673" priority="1261" operator="containsText" text="FALTOU">
      <formula>NOT(ISERROR(SEARCH("FALTOU",DK30)))</formula>
    </cfRule>
    <cfRule type="containsText" dxfId="672" priority="1260" operator="containsText" text="DESCANSO">
      <formula>NOT(ISERROR(SEARCH("DESCANSO",DK30)))</formula>
    </cfRule>
  </conditionalFormatting>
  <conditionalFormatting sqref="DK31:DL31">
    <cfRule type="containsText" dxfId="671" priority="1231" operator="containsText" text="FALTOU">
      <formula>NOT(ISERROR(SEARCH("FALTOU",DK31)))</formula>
    </cfRule>
    <cfRule type="containsText" dxfId="670" priority="1230" operator="containsText" text="DESCANSO">
      <formula>NOT(ISERROR(SEARCH("DESCANSO",DK31)))</formula>
    </cfRule>
    <cfRule type="containsText" dxfId="669" priority="1229" operator="containsText" text="ATESTADO">
      <formula>NOT(ISERROR(SEARCH("ATESTADO",DK31)))</formula>
    </cfRule>
    <cfRule type="containsText" dxfId="668" priority="1228" operator="containsText" text="FERIADO">
      <formula>NOT(ISERROR(SEARCH("FERIADO",DK31)))</formula>
    </cfRule>
  </conditionalFormatting>
  <conditionalFormatting sqref="DK33:DL33">
    <cfRule type="containsText" dxfId="667" priority="1212" operator="containsText" text="DESCANSO">
      <formula>NOT(ISERROR(SEARCH("DESCANSO",DK33)))</formula>
    </cfRule>
    <cfRule type="containsText" dxfId="666" priority="1213" operator="containsText" text="FALTOU">
      <formula>NOT(ISERROR(SEARCH("FALTOU",DK33)))</formula>
    </cfRule>
    <cfRule type="containsText" dxfId="665" priority="1211" operator="containsText" text="ATESTADO">
      <formula>NOT(ISERROR(SEARCH("ATESTADO",DK33)))</formula>
    </cfRule>
    <cfRule type="containsText" dxfId="664" priority="1210" operator="containsText" text="FERIADO">
      <formula>NOT(ISERROR(SEARCH("FERIADO",DK33)))</formula>
    </cfRule>
  </conditionalFormatting>
  <conditionalFormatting sqref="DK33:DL34">
    <cfRule type="containsText" dxfId="663" priority="1191" operator="containsText" text="SÁBADO">
      <formula>NOT(ISERROR(SEARCH("SÁBADO",DK33)))</formula>
    </cfRule>
    <cfRule type="containsText" dxfId="662" priority="1190" operator="containsText" text="DOMINGO">
      <formula>NOT(ISERROR(SEARCH("DOMINGO",DK33)))</formula>
    </cfRule>
  </conditionalFormatting>
  <conditionalFormatting sqref="DK34:DL34">
    <cfRule type="containsText" dxfId="661" priority="1193" operator="containsText" text="ATESTADO">
      <formula>NOT(ISERROR(SEARCH("ATESTADO",DK34)))</formula>
    </cfRule>
    <cfRule type="containsText" dxfId="660" priority="1192" operator="containsText" text="FERIADO">
      <formula>NOT(ISERROR(SEARCH("FERIADO",DK34)))</formula>
    </cfRule>
    <cfRule type="containsText" dxfId="659" priority="1195" operator="containsText" text="FALTOU">
      <formula>NOT(ISERROR(SEARCH("FALTOU",DK34)))</formula>
    </cfRule>
    <cfRule type="containsText" dxfId="658" priority="1194" operator="containsText" text="DESCANSO">
      <formula>NOT(ISERROR(SEARCH("DESCANSO",DK34)))</formula>
    </cfRule>
  </conditionalFormatting>
  <conditionalFormatting sqref="DK36:DL37">
    <cfRule type="containsText" dxfId="657" priority="1173" operator="containsText" text="SÁBADO">
      <formula>NOT(ISERROR(SEARCH("SÁBADO",DK36)))</formula>
    </cfRule>
    <cfRule type="containsText" dxfId="656" priority="1174" operator="containsText" text="FERIADO">
      <formula>NOT(ISERROR(SEARCH("FERIADO",DK36)))</formula>
    </cfRule>
    <cfRule type="containsText" dxfId="655" priority="1175" operator="containsText" text="ATESTADO">
      <formula>NOT(ISERROR(SEARCH("ATESTADO",DK36)))</formula>
    </cfRule>
    <cfRule type="containsText" dxfId="654" priority="1180" operator="containsText" text="FERIADO">
      <formula>NOT(ISERROR(SEARCH("FERIADO",DK36)))</formula>
    </cfRule>
    <cfRule type="containsText" dxfId="653" priority="1176" operator="containsText" text="DESCANSO">
      <formula>NOT(ISERROR(SEARCH("DESCANSO",DK36)))</formula>
    </cfRule>
    <cfRule type="containsText" dxfId="652" priority="1177" operator="containsText" text="FALTOU">
      <formula>NOT(ISERROR(SEARCH("FALTOU",DK36)))</formula>
    </cfRule>
    <cfRule type="containsText" dxfId="651" priority="1183" operator="containsText" text="ATESTADO">
      <formula>NOT(ISERROR(SEARCH("ATESTADO",DK36)))</formula>
    </cfRule>
    <cfRule type="containsText" dxfId="650" priority="1182" operator="containsText" text="FALTOU">
      <formula>NOT(ISERROR(SEARCH("FALTOU",DK36)))</formula>
    </cfRule>
    <cfRule type="containsText" dxfId="649" priority="1181" operator="containsText" text="DESCANSO">
      <formula>NOT(ISERROR(SEARCH("DESCANSO",DK36)))</formula>
    </cfRule>
    <cfRule type="containsText" dxfId="648" priority="1178" operator="containsText" text="DOMINGO">
      <formula>NOT(ISERROR(SEARCH("DOMINGO",DK36)))</formula>
    </cfRule>
    <cfRule type="containsText" dxfId="647" priority="1179" operator="containsText" text="SÁBADO">
      <formula>NOT(ISERROR(SEARCH("SÁBADO",DK36)))</formula>
    </cfRule>
    <cfRule type="containsText" dxfId="646" priority="1172" operator="containsText" text="DOMINGO">
      <formula>NOT(ISERROR(SEARCH("DOMINGO",DK36)))</formula>
    </cfRule>
  </conditionalFormatting>
  <conditionalFormatting sqref="DK39:DL39">
    <cfRule type="containsText" dxfId="645" priority="1149" operator="containsText" text="SÁBADO">
      <formula>NOT(ISERROR(SEARCH("SÁBADO",DK39)))</formula>
    </cfRule>
    <cfRule type="containsText" dxfId="644" priority="1148" operator="containsText" text="DOMINGO">
      <formula>NOT(ISERROR(SEARCH("DOMINGO",DK39)))</formula>
    </cfRule>
    <cfRule type="containsText" dxfId="643" priority="1153" operator="containsText" text="ATESTADO">
      <formula>NOT(ISERROR(SEARCH("ATESTADO",DK39)))</formula>
    </cfRule>
    <cfRule type="containsText" dxfId="642" priority="1152" operator="containsText" text="FALTOU">
      <formula>NOT(ISERROR(SEARCH("FALTOU",DK39)))</formula>
    </cfRule>
    <cfRule type="containsText" dxfId="641" priority="1150" operator="containsText" text="FERIADO">
      <formula>NOT(ISERROR(SEARCH("FERIADO",DK39)))</formula>
    </cfRule>
    <cfRule type="containsText" dxfId="640" priority="1151" operator="containsText" text="DESCANSO">
      <formula>NOT(ISERROR(SEARCH("DESCANSO",DK39)))</formula>
    </cfRule>
  </conditionalFormatting>
  <conditionalFormatting sqref="DK10:DM21">
    <cfRule type="containsText" dxfId="639" priority="1331" operator="containsText" text="DESCANSO">
      <formula>NOT(ISERROR(SEARCH("DESCANSO",DK10)))</formula>
    </cfRule>
    <cfRule type="containsText" dxfId="638" priority="1328" operator="containsText" text="DOMINGO">
      <formula>NOT(ISERROR(SEARCH("DOMINGO",DK10)))</formula>
    </cfRule>
    <cfRule type="containsText" dxfId="637" priority="1329" operator="containsText" text="SÁBADO">
      <formula>NOT(ISERROR(SEARCH("SÁBADO",DK10)))</formula>
    </cfRule>
    <cfRule type="containsText" dxfId="636" priority="1330" operator="containsText" text="FERIADO">
      <formula>NOT(ISERROR(SEARCH("FERIADO",DK10)))</formula>
    </cfRule>
    <cfRule type="containsText" dxfId="635" priority="1332" operator="containsText" text="FALTOU">
      <formula>NOT(ISERROR(SEARCH("FALTOU",DK10)))</formula>
    </cfRule>
    <cfRule type="containsText" dxfId="634" priority="1333" operator="containsText" text="ATESTADO">
      <formula>NOT(ISERROR(SEARCH("ATESTADO",DK10)))</formula>
    </cfRule>
  </conditionalFormatting>
  <conditionalFormatting sqref="DK29:DM29">
    <cfRule type="containsText" dxfId="633" priority="1287" operator="containsText" text="SÁBADO">
      <formula>NOT(ISERROR(SEARCH("SÁBADO",DK29)))</formula>
    </cfRule>
    <cfRule type="containsText" dxfId="632" priority="1286" operator="containsText" text="DOMINGO">
      <formula>NOT(ISERROR(SEARCH("DOMINGO",DK29)))</formula>
    </cfRule>
    <cfRule type="containsText" dxfId="631" priority="1288" operator="containsText" text="FERIADO">
      <formula>NOT(ISERROR(SEARCH("FERIADO",DK29)))</formula>
    </cfRule>
    <cfRule type="containsText" dxfId="630" priority="1289" operator="containsText" text="DESCANSO">
      <formula>NOT(ISERROR(SEARCH("DESCANSO",DK29)))</formula>
    </cfRule>
    <cfRule type="containsText" dxfId="629" priority="1290" operator="containsText" text="FALTOU">
      <formula>NOT(ISERROR(SEARCH("FALTOU",DK29)))</formula>
    </cfRule>
    <cfRule type="containsText" dxfId="628" priority="1291" operator="containsText" text="ATESTADO">
      <formula>NOT(ISERROR(SEARCH("ATESTADO",DK29)))</formula>
    </cfRule>
  </conditionalFormatting>
  <conditionalFormatting sqref="DK30:DM30">
    <cfRule type="containsText" dxfId="627" priority="1273" operator="containsText" text="ATESTADO">
      <formula>NOT(ISERROR(SEARCH("ATESTADO",DK30)))</formula>
    </cfRule>
    <cfRule type="containsText" dxfId="626" priority="1269" operator="containsText" text="SÁBADO">
      <formula>NOT(ISERROR(SEARCH("SÁBADO",DK30)))</formula>
    </cfRule>
    <cfRule type="containsText" dxfId="625" priority="1272" operator="containsText" text="FALTOU">
      <formula>NOT(ISERROR(SEARCH("FALTOU",DK30)))</formula>
    </cfRule>
    <cfRule type="containsText" dxfId="624" priority="1271" operator="containsText" text="DESCANSO">
      <formula>NOT(ISERROR(SEARCH("DESCANSO",DK30)))</formula>
    </cfRule>
    <cfRule type="containsText" dxfId="623" priority="1270" operator="containsText" text="FERIADO">
      <formula>NOT(ISERROR(SEARCH("FERIADO",DK30)))</formula>
    </cfRule>
    <cfRule type="containsText" dxfId="622" priority="1268" operator="containsText" text="DOMINGO">
      <formula>NOT(ISERROR(SEARCH("DOMINGO",DK30)))</formula>
    </cfRule>
  </conditionalFormatting>
  <conditionalFormatting sqref="DK31:DM31">
    <cfRule type="containsText" dxfId="621" priority="1242" operator="containsText" text="FALTOU">
      <formula>NOT(ISERROR(SEARCH("FALTOU",DK31)))</formula>
    </cfRule>
    <cfRule type="containsText" dxfId="620" priority="1241" operator="containsText" text="DESCANSO">
      <formula>NOT(ISERROR(SEARCH("DESCANSO",DK31)))</formula>
    </cfRule>
    <cfRule type="containsText" dxfId="619" priority="1238" operator="containsText" text="DOMINGO">
      <formula>NOT(ISERROR(SEARCH("DOMINGO",DK31)))</formula>
    </cfRule>
    <cfRule type="containsText" dxfId="618" priority="1240" operator="containsText" text="FERIADO">
      <formula>NOT(ISERROR(SEARCH("FERIADO",DK31)))</formula>
    </cfRule>
    <cfRule type="containsText" dxfId="617" priority="1239" operator="containsText" text="SÁBADO">
      <formula>NOT(ISERROR(SEARCH("SÁBADO",DK31)))</formula>
    </cfRule>
    <cfRule type="containsText" dxfId="616" priority="1243" operator="containsText" text="ATESTADO">
      <formula>NOT(ISERROR(SEARCH("ATESTADO",DK31)))</formula>
    </cfRule>
  </conditionalFormatting>
  <conditionalFormatting sqref="DK33:DM33">
    <cfRule type="containsText" dxfId="615" priority="1221" operator="containsText" text="SÁBADO">
      <formula>NOT(ISERROR(SEARCH("SÁBADO",DK33)))</formula>
    </cfRule>
    <cfRule type="containsText" dxfId="614" priority="1220" operator="containsText" text="DOMINGO">
      <formula>NOT(ISERROR(SEARCH("DOMINGO",DK33)))</formula>
    </cfRule>
    <cfRule type="containsText" dxfId="613" priority="1225" operator="containsText" text="ATESTADO">
      <formula>NOT(ISERROR(SEARCH("ATESTADO",DK33)))</formula>
    </cfRule>
    <cfRule type="containsText" dxfId="612" priority="1222" operator="containsText" text="FERIADO">
      <formula>NOT(ISERROR(SEARCH("FERIADO",DK33)))</formula>
    </cfRule>
    <cfRule type="containsText" dxfId="611" priority="1223" operator="containsText" text="DESCANSO">
      <formula>NOT(ISERROR(SEARCH("DESCANSO",DK33)))</formula>
    </cfRule>
    <cfRule type="containsText" dxfId="610" priority="1224" operator="containsText" text="FALTOU">
      <formula>NOT(ISERROR(SEARCH("FALTOU",DK33)))</formula>
    </cfRule>
  </conditionalFormatting>
  <conditionalFormatting sqref="DK34:DM34">
    <cfRule type="containsText" dxfId="609" priority="1196" operator="containsText" text="DOMINGO">
      <formula>NOT(ISERROR(SEARCH("DOMINGO",DK34)))</formula>
    </cfRule>
    <cfRule type="containsText" dxfId="608" priority="1197" operator="containsText" text="SÁBADO">
      <formula>NOT(ISERROR(SEARCH("SÁBADO",DK34)))</formula>
    </cfRule>
    <cfRule type="containsText" dxfId="607" priority="1198" operator="containsText" text="FERIADO">
      <formula>NOT(ISERROR(SEARCH("FERIADO",DK34)))</formula>
    </cfRule>
    <cfRule type="containsText" dxfId="606" priority="1199" operator="containsText" text="DESCANSO">
      <formula>NOT(ISERROR(SEARCH("DESCANSO",DK34)))</formula>
    </cfRule>
    <cfRule type="containsText" dxfId="605" priority="1200" operator="containsText" text="FALTOU">
      <formula>NOT(ISERROR(SEARCH("FALTOU",DK34)))</formula>
    </cfRule>
    <cfRule type="containsText" dxfId="604" priority="1201" operator="containsText" text="ATESTADO">
      <formula>NOT(ISERROR(SEARCH("ATESTADO",DK34)))</formula>
    </cfRule>
  </conditionalFormatting>
  <conditionalFormatting sqref="DK1:DN1">
    <cfRule type="containsText" dxfId="603" priority="1338" operator="containsText" text="DESCANSO">
      <formula>NOT(ISERROR(SEARCH("DESCANSO",DK1)))</formula>
    </cfRule>
    <cfRule type="containsText" dxfId="602" priority="1339" operator="containsText" text="FALTOU">
      <formula>NOT(ISERROR(SEARCH("FALTOU",DK1)))</formula>
    </cfRule>
  </conditionalFormatting>
  <conditionalFormatting sqref="DK22:DN22">
    <cfRule type="containsText" dxfId="601" priority="1324" operator="containsText" text="FERIADO">
      <formula>NOT(ISERROR(SEARCH("FERIADO",DK22)))</formula>
    </cfRule>
    <cfRule type="containsText" dxfId="600" priority="1325" operator="containsText" text="ATESTADO">
      <formula>NOT(ISERROR(SEARCH("ATESTADO",DK22)))</formula>
    </cfRule>
    <cfRule type="containsText" dxfId="599" priority="1326" operator="containsText" text="DESCANSO">
      <formula>NOT(ISERROR(SEARCH("DESCANSO",DK22)))</formula>
    </cfRule>
    <cfRule type="containsText" dxfId="598" priority="1327" operator="containsText" text="FALTOU">
      <formula>NOT(ISERROR(SEARCH("FALTOU",DK22)))</formula>
    </cfRule>
  </conditionalFormatting>
  <conditionalFormatting sqref="DK22:DN23">
    <cfRule type="containsText" dxfId="597" priority="1317" operator="containsText" text="SÁBADO">
      <formula>NOT(ISERROR(SEARCH("SÁBADO",DK22)))</formula>
    </cfRule>
    <cfRule type="containsText" dxfId="596" priority="1316" operator="containsText" text="DOMINGO">
      <formula>NOT(ISERROR(SEARCH("DOMINGO",DK22)))</formula>
    </cfRule>
  </conditionalFormatting>
  <conditionalFormatting sqref="DK23:DN23">
    <cfRule type="containsText" dxfId="595" priority="1319" operator="containsText" text="ATESTADO">
      <formula>NOT(ISERROR(SEARCH("ATESTADO",DK23)))</formula>
    </cfRule>
    <cfRule type="containsText" dxfId="594" priority="1320" operator="containsText" text="DESCANSO">
      <formula>NOT(ISERROR(SEARCH("DESCANSO",DK23)))</formula>
    </cfRule>
    <cfRule type="containsText" dxfId="593" priority="1318" operator="containsText" text="FERIADO">
      <formula>NOT(ISERROR(SEARCH("FERIADO",DK23)))</formula>
    </cfRule>
    <cfRule type="containsText" dxfId="592" priority="1321" operator="containsText" text="FALTOU">
      <formula>NOT(ISERROR(SEARCH("FALTOU",DK23)))</formula>
    </cfRule>
  </conditionalFormatting>
  <conditionalFormatting sqref="DK322:DN322">
    <cfRule type="containsText" dxfId="591" priority="1341" operator="containsText" text="FALTOU">
      <formula>NOT(ISERROR(SEARCH("FALTOU",DK322)))</formula>
    </cfRule>
    <cfRule type="containsText" dxfId="590" priority="1340" operator="containsText" text="DESCANSO">
      <formula>NOT(ISERROR(SEARCH("DESCANSO",DK322)))</formula>
    </cfRule>
  </conditionalFormatting>
  <conditionalFormatting sqref="DL35:DN35 DN34">
    <cfRule type="containsText" dxfId="589" priority="1253" operator="containsText" text="DESCANSO">
      <formula>NOT(ISERROR(SEARCH("DESCANSO",DL34)))</formula>
    </cfRule>
    <cfRule type="containsText" dxfId="588" priority="1254" operator="containsText" text="FALTOU">
      <formula>NOT(ISERROR(SEARCH("FALTOU",DL34)))</formula>
    </cfRule>
    <cfRule type="containsText" dxfId="587" priority="1252" operator="containsText" text="FERIADO">
      <formula>NOT(ISERROR(SEARCH("FERIADO",DL34)))</formula>
    </cfRule>
  </conditionalFormatting>
  <conditionalFormatting sqref="DL35:DN35">
    <cfRule type="containsText" dxfId="586" priority="1250" operator="containsText" text="DOMINGO">
      <formula>NOT(ISERROR(SEARCH("DOMINGO",DL35)))</formula>
    </cfRule>
    <cfRule type="containsText" dxfId="585" priority="1251" operator="containsText" text="SÁBADO">
      <formula>NOT(ISERROR(SEARCH("SÁBADO",DL35)))</formula>
    </cfRule>
  </conditionalFormatting>
  <conditionalFormatting sqref="DL314:DN314">
    <cfRule type="containsText" dxfId="584" priority="1335" operator="containsText" text="FALTOU">
      <formula>NOT(ISERROR(SEARCH("FALTOU",DL314)))</formula>
    </cfRule>
    <cfRule type="containsText" dxfId="583" priority="1336" operator="containsText" text="DESCANSO">
      <formula>NOT(ISERROR(SEARCH("DESCANSO",DL314)))</formula>
    </cfRule>
    <cfRule type="containsText" dxfId="582" priority="1337" operator="containsText" text="FALTOU">
      <formula>NOT(ISERROR(SEARCH("FALTOU",DL314)))</formula>
    </cfRule>
    <cfRule type="containsText" dxfId="581" priority="1334" operator="containsText" text="DESCANSO">
      <formula>NOT(ISERROR(SEARCH("DESCANSO",DL314)))</formula>
    </cfRule>
  </conditionalFormatting>
  <conditionalFormatting sqref="DM36:DM38">
    <cfRule type="containsText" dxfId="580" priority="1186" operator="containsText" text="FERIADO">
      <formula>NOT(ISERROR(SEARCH("FERIADO",DM36)))</formula>
    </cfRule>
    <cfRule type="containsText" dxfId="579" priority="1187" operator="containsText" text="DESCANSO">
      <formula>NOT(ISERROR(SEARCH("DESCANSO",DM36)))</formula>
    </cfRule>
    <cfRule type="containsText" dxfId="578" priority="1188" operator="containsText" text="FALTOU">
      <formula>NOT(ISERROR(SEARCH("FALTOU",DM36)))</formula>
    </cfRule>
    <cfRule type="containsText" dxfId="577" priority="1189" operator="containsText" text="ATESTADO">
      <formula>NOT(ISERROR(SEARCH("ATESTADO",DM36)))</formula>
    </cfRule>
  </conditionalFormatting>
  <conditionalFormatting sqref="DM36:DM40">
    <cfRule type="containsText" dxfId="576" priority="1130" operator="containsText" text="DOMINGO">
      <formula>NOT(ISERROR(SEARCH("DOMINGO",DM36)))</formula>
    </cfRule>
    <cfRule type="containsText" dxfId="575" priority="1131" operator="containsText" text="SÁBADO">
      <formula>NOT(ISERROR(SEARCH("SÁBADO",DM36)))</formula>
    </cfRule>
  </conditionalFormatting>
  <conditionalFormatting sqref="DM39">
    <cfRule type="containsText" dxfId="574" priority="1147" operator="containsText" text="ATESTADO">
      <formula>NOT(ISERROR(SEARCH("ATESTADO",DM39)))</formula>
    </cfRule>
    <cfRule type="containsText" dxfId="573" priority="1144" operator="containsText" text="FERIADO">
      <formula>NOT(ISERROR(SEARCH("FERIADO",DM39)))</formula>
    </cfRule>
    <cfRule type="containsText" dxfId="572" priority="1145" operator="containsText" text="DESCANSO">
      <formula>NOT(ISERROR(SEARCH("DESCANSO",DM39)))</formula>
    </cfRule>
    <cfRule type="containsText" dxfId="571" priority="1146" operator="containsText" text="FALTOU">
      <formula>NOT(ISERROR(SEARCH("FALTOU",DM39)))</formula>
    </cfRule>
  </conditionalFormatting>
  <conditionalFormatting sqref="DM40">
    <cfRule type="containsText" dxfId="570" priority="1135" operator="containsText" text="ATESTADO">
      <formula>NOT(ISERROR(SEARCH("ATESTADO",DM40)))</formula>
    </cfRule>
    <cfRule type="containsText" dxfId="569" priority="1132" operator="containsText" text="FERIADO">
      <formula>NOT(ISERROR(SEARCH("FERIADO",DM40)))</formula>
    </cfRule>
    <cfRule type="containsText" dxfId="568" priority="1133" operator="containsText" text="DESCANSO">
      <formula>NOT(ISERROR(SEARCH("DESCANSO",DM40)))</formula>
    </cfRule>
    <cfRule type="containsText" dxfId="567" priority="1134" operator="containsText" text="FALTOU">
      <formula>NOT(ISERROR(SEARCH("FALTOU",DM40)))</formula>
    </cfRule>
  </conditionalFormatting>
  <conditionalFormatting sqref="DN24:DN26">
    <cfRule type="containsText" dxfId="566" priority="1310" operator="containsText" text="DOMINGO">
      <formula>NOT(ISERROR(SEARCH("DOMINGO",DN24)))</formula>
    </cfRule>
    <cfRule type="containsText" dxfId="565" priority="1311" operator="containsText" text="SÁBADO">
      <formula>NOT(ISERROR(SEARCH("SÁBADO",DN24)))</formula>
    </cfRule>
    <cfRule type="containsText" dxfId="564" priority="1312" operator="containsText" text="FERIADO">
      <formula>NOT(ISERROR(SEARCH("FERIADO",DN24)))</formula>
    </cfRule>
    <cfRule type="containsText" dxfId="563" priority="1313" operator="containsText" text="ATESTADO">
      <formula>NOT(ISERROR(SEARCH("ATESTADO",DN24)))</formula>
    </cfRule>
    <cfRule type="containsText" dxfId="562" priority="1314" operator="containsText" text="DESCANSO">
      <formula>NOT(ISERROR(SEARCH("DESCANSO",DN24)))</formula>
    </cfRule>
    <cfRule type="containsText" dxfId="561" priority="1315" operator="containsText" text="FALTOU">
      <formula>NOT(ISERROR(SEARCH("FALTOU",DN24)))</formula>
    </cfRule>
  </conditionalFormatting>
  <conditionalFormatting sqref="DN29">
    <cfRule type="containsText" dxfId="560" priority="1284" operator="containsText" text="DESCANSO">
      <formula>NOT(ISERROR(SEARCH("DESCANSO",DN29)))</formula>
    </cfRule>
    <cfRule type="containsText" dxfId="559" priority="1285" operator="containsText" text="FALTOU">
      <formula>NOT(ISERROR(SEARCH("FALTOU",DN29)))</formula>
    </cfRule>
    <cfRule type="containsText" dxfId="558" priority="1282" operator="containsText" text="FERIADO">
      <formula>NOT(ISERROR(SEARCH("FERIADO",DN29)))</formula>
    </cfRule>
    <cfRule type="containsText" dxfId="557" priority="1283" operator="containsText" text="ATESTADO">
      <formula>NOT(ISERROR(SEARCH("ATESTADO",DN29)))</formula>
    </cfRule>
  </conditionalFormatting>
  <conditionalFormatting sqref="DN29:DN31">
    <cfRule type="containsText" dxfId="556" priority="1232" operator="containsText" text="DOMINGO">
      <formula>NOT(ISERROR(SEARCH("DOMINGO",DN29)))</formula>
    </cfRule>
    <cfRule type="containsText" dxfId="555" priority="1233" operator="containsText" text="SÁBADO">
      <formula>NOT(ISERROR(SEARCH("SÁBADO",DN29)))</formula>
    </cfRule>
  </conditionalFormatting>
  <conditionalFormatting sqref="DN30">
    <cfRule type="containsText" dxfId="554" priority="1267" operator="containsText" text="FALTOU">
      <formula>NOT(ISERROR(SEARCH("FALTOU",DN30)))</formula>
    </cfRule>
    <cfRule type="containsText" dxfId="553" priority="1266" operator="containsText" text="DESCANSO">
      <formula>NOT(ISERROR(SEARCH("DESCANSO",DN30)))</formula>
    </cfRule>
    <cfRule type="containsText" dxfId="552" priority="1265" operator="containsText" text="ATESTADO">
      <formula>NOT(ISERROR(SEARCH("ATESTADO",DN30)))</formula>
    </cfRule>
    <cfRule type="containsText" dxfId="551" priority="1264" operator="containsText" text="FERIADO">
      <formula>NOT(ISERROR(SEARCH("FERIADO",DN30)))</formula>
    </cfRule>
  </conditionalFormatting>
  <conditionalFormatting sqref="DN31">
    <cfRule type="containsText" dxfId="550" priority="1234" operator="containsText" text="FERIADO">
      <formula>NOT(ISERROR(SEARCH("FERIADO",DN31)))</formula>
    </cfRule>
    <cfRule type="containsText" dxfId="549" priority="1235" operator="containsText" text="ATESTADO">
      <formula>NOT(ISERROR(SEARCH("ATESTADO",DN31)))</formula>
    </cfRule>
    <cfRule type="containsText" dxfId="548" priority="1236" operator="containsText" text="DESCANSO">
      <formula>NOT(ISERROR(SEARCH("DESCANSO",DN31)))</formula>
    </cfRule>
    <cfRule type="containsText" dxfId="547" priority="1237" operator="containsText" text="FALTOU">
      <formula>NOT(ISERROR(SEARCH("FALTOU",DN31)))</formula>
    </cfRule>
  </conditionalFormatting>
  <conditionalFormatting sqref="DN33">
    <cfRule type="containsText" dxfId="546" priority="1216" operator="containsText" text="FERIADO">
      <formula>NOT(ISERROR(SEARCH("FERIADO",DN33)))</formula>
    </cfRule>
    <cfRule type="containsText" dxfId="545" priority="1217" operator="containsText" text="ATESTADO">
      <formula>NOT(ISERROR(SEARCH("ATESTADO",DN33)))</formula>
    </cfRule>
    <cfRule type="containsText" dxfId="544" priority="1219" operator="containsText" text="FALTOU">
      <formula>NOT(ISERROR(SEARCH("FALTOU",DN33)))</formula>
    </cfRule>
    <cfRule type="containsText" dxfId="543" priority="1218" operator="containsText" text="DESCANSO">
      <formula>NOT(ISERROR(SEARCH("DESCANSO",DN33)))</formula>
    </cfRule>
  </conditionalFormatting>
  <conditionalFormatting sqref="DN33:DN34">
    <cfRule type="containsText" dxfId="542" priority="1215" operator="containsText" text="SÁBADO">
      <formula>NOT(ISERROR(SEARCH("SÁBADO",DN33)))</formula>
    </cfRule>
    <cfRule type="containsText" dxfId="541" priority="1214" operator="containsText" text="DOMINGO">
      <formula>NOT(ISERROR(SEARCH("DOMINGO",DN33)))</formula>
    </cfRule>
  </conditionalFormatting>
  <conditionalFormatting sqref="DN34 DL35:DN35">
    <cfRule type="containsText" dxfId="540" priority="1255" operator="containsText" text="ATESTADO">
      <formula>NOT(ISERROR(SEARCH("ATESTADO",DL34)))</formula>
    </cfRule>
  </conditionalFormatting>
  <conditionalFormatting sqref="DN36:DN38">
    <cfRule type="containsText" dxfId="539" priority="1171" operator="containsText" text="FALTOU">
      <formula>NOT(ISERROR(SEARCH("FALTOU",DN36)))</formula>
    </cfRule>
    <cfRule type="containsText" dxfId="538" priority="1168" operator="containsText" text="FERIADO">
      <formula>NOT(ISERROR(SEARCH("FERIADO",DN36)))</formula>
    </cfRule>
    <cfRule type="containsText" dxfId="537" priority="1169" operator="containsText" text="ATESTADO">
      <formula>NOT(ISERROR(SEARCH("ATESTADO",DN36)))</formula>
    </cfRule>
    <cfRule type="containsText" dxfId="536" priority="1170" operator="containsText" text="DESCANSO">
      <formula>NOT(ISERROR(SEARCH("DESCANSO",DN36)))</formula>
    </cfRule>
  </conditionalFormatting>
  <conditionalFormatting sqref="DN36:DN40">
    <cfRule type="containsText" dxfId="535" priority="1124" operator="containsText" text="DOMINGO">
      <formula>NOT(ISERROR(SEARCH("DOMINGO",DN36)))</formula>
    </cfRule>
    <cfRule type="containsText" dxfId="534" priority="1125" operator="containsText" text="SÁBADO">
      <formula>NOT(ISERROR(SEARCH("SÁBADO",DN36)))</formula>
    </cfRule>
  </conditionalFormatting>
  <conditionalFormatting sqref="DN39">
    <cfRule type="containsText" dxfId="533" priority="1141" operator="containsText" text="FALTOU">
      <formula>NOT(ISERROR(SEARCH("FALTOU",DN39)))</formula>
    </cfRule>
    <cfRule type="containsText" dxfId="532" priority="1140" operator="containsText" text="DESCANSO">
      <formula>NOT(ISERROR(SEARCH("DESCANSO",DN39)))</formula>
    </cfRule>
    <cfRule type="containsText" dxfId="531" priority="1139" operator="containsText" text="ATESTADO">
      <formula>NOT(ISERROR(SEARCH("ATESTADO",DN39)))</formula>
    </cfRule>
    <cfRule type="containsText" dxfId="530" priority="1138" operator="containsText" text="FERIADO">
      <formula>NOT(ISERROR(SEARCH("FERIADO",DN39)))</formula>
    </cfRule>
  </conditionalFormatting>
  <conditionalFormatting sqref="DN40">
    <cfRule type="containsText" dxfId="529" priority="1129" operator="containsText" text="FALTOU">
      <formula>NOT(ISERROR(SEARCH("FALTOU",DN40)))</formula>
    </cfRule>
    <cfRule type="containsText" dxfId="528" priority="1128" operator="containsText" text="DESCANSO">
      <formula>NOT(ISERROR(SEARCH("DESCANSO",DN40)))</formula>
    </cfRule>
    <cfRule type="containsText" dxfId="527" priority="1127" operator="containsText" text="ATESTADO">
      <formula>NOT(ISERROR(SEARCH("ATESTADO",DN40)))</formula>
    </cfRule>
    <cfRule type="containsText" dxfId="526" priority="1126" operator="containsText" text="FERIADO">
      <formula>NOT(ISERROR(SEARCH("FERIADO",DN40)))</formula>
    </cfRule>
  </conditionalFormatting>
  <conditionalFormatting sqref="DN57:DN61">
    <cfRule type="containsText" dxfId="525" priority="958" operator="containsText" text="DOMINGO">
      <formula>NOT(ISERROR(SEARCH("DOMINGO",DN57)))</formula>
    </cfRule>
    <cfRule type="containsText" dxfId="524" priority="959" operator="containsText" text="SÁBADO">
      <formula>NOT(ISERROR(SEARCH("SÁBADO",DN57)))</formula>
    </cfRule>
    <cfRule type="containsText" dxfId="523" priority="960" operator="containsText" text="FERIADO">
      <formula>NOT(ISERROR(SEARCH("FERIADO",DN57)))</formula>
    </cfRule>
    <cfRule type="containsText" dxfId="522" priority="961" operator="containsText" text="DESCANSO">
      <formula>NOT(ISERROR(SEARCH("DESCANSO",DN57)))</formula>
    </cfRule>
    <cfRule type="containsText" dxfId="521" priority="962" operator="containsText" text="FALTOU">
      <formula>NOT(ISERROR(SEARCH("FALTOU",DN57)))</formula>
    </cfRule>
    <cfRule type="containsText" dxfId="520" priority="963" operator="containsText" text="ATESTADO">
      <formula>NOT(ISERROR(SEARCH("ATESTADO",DN57)))</formula>
    </cfRule>
  </conditionalFormatting>
  <conditionalFormatting sqref="DP32:DP46">
    <cfRule type="containsText" dxfId="519" priority="736" operator="containsText" text="ATESTADO">
      <formula>NOT(ISERROR(SEARCH("ATESTADO",DP32)))</formula>
    </cfRule>
    <cfRule type="containsText" dxfId="518" priority="734" operator="containsText" text="DESCANSO">
      <formula>NOT(ISERROR(SEARCH("DESCANSO",DP32)))</formula>
    </cfRule>
    <cfRule type="containsText" dxfId="517" priority="735" operator="containsText" text="FALTOU">
      <formula>NOT(ISERROR(SEARCH("FALTOU",DP32)))</formula>
    </cfRule>
    <cfRule type="containsText" dxfId="516" priority="732" operator="containsText" text="SÁBADO">
      <formula>NOT(ISERROR(SEARCH("SÁBADO",DP32)))</formula>
    </cfRule>
    <cfRule type="containsText" dxfId="515" priority="731" operator="containsText" text="DOMINGO">
      <formula>NOT(ISERROR(SEARCH("DOMINGO",DP32)))</formula>
    </cfRule>
    <cfRule type="containsText" dxfId="514" priority="733" operator="containsText" text="FERIADO">
      <formula>NOT(ISERROR(SEARCH("FERIADO",DP32)))</formula>
    </cfRule>
  </conditionalFormatting>
  <conditionalFormatting sqref="DP1:DQ1 DP2:DU4 DP5:DQ5 DP6:DU9 DP10:DQ23 DU12 DU17:DU21 DP24:DT26 DP27:DU28 DP29:DQ31 DQ32:DU32 DQ38:DS38 DQ39 DQ40:DS40 DQ41:DU46 DP47:DU56 DP57:DT61 DP62:DU63 DP64:DQ67 DP68:DS68 DP69:DU70 DP78:DR78 DP79:DU79 DP80:DS84 DP85:DU86 DP87:DS91 DP92:DU1048576">
    <cfRule type="containsText" dxfId="513" priority="927" operator="containsText" text="ATESTADO">
      <formula>NOT(ISERROR(SEARCH("ATESTADO",DP1)))</formula>
    </cfRule>
    <cfRule type="containsText" dxfId="512" priority="925" operator="containsText" text="DESCANSO">
      <formula>NOT(ISERROR(SEARCH("DESCANSO",DP1)))</formula>
    </cfRule>
  </conditionalFormatting>
  <conditionalFormatting sqref="DP1:DQ1 DP92:DU1048576 DP24:DT26 DP2:DU4 DP5:DQ5 DP6:DU9 DP10:DQ23 DU12 DU17:DU21 DP27:DU28 DP29:DQ31 DQ32:DU32 DQ38:DS38 DQ39 DQ40:DS40 DQ41:DU46 DP47:DU56 DP57:DT61 DP62:DU63 DP64:DQ67 DP68:DS68 DP69:DU70 DP71:DR78 DP79:DU79 DP80:DS84 DP85:DU86 DP87:DS91">
    <cfRule type="containsText" dxfId="511" priority="923" operator="containsText" text="SÁBADO">
      <formula>NOT(ISERROR(SEARCH("SÁBADO",DP1)))</formula>
    </cfRule>
    <cfRule type="containsText" dxfId="510" priority="922" operator="containsText" text="DOMINGO">
      <formula>NOT(ISERROR(SEARCH("DOMINGO",DP1)))</formula>
    </cfRule>
  </conditionalFormatting>
  <conditionalFormatting sqref="DP1:DQ1">
    <cfRule type="containsText" dxfId="509" priority="920" operator="containsText" text="DESCANSO">
      <formula>NOT(ISERROR(SEARCH("DESCANSO",DP1)))</formula>
    </cfRule>
    <cfRule type="containsText" dxfId="508" priority="921" operator="containsText" text="FALTOU">
      <formula>NOT(ISERROR(SEARCH("FALTOU",DP1)))</formula>
    </cfRule>
  </conditionalFormatting>
  <conditionalFormatting sqref="DP1:DU1">
    <cfRule type="containsText" dxfId="507" priority="162" operator="containsText" text="ATESTADO">
      <formula>NOT(ISERROR(SEARCH("ATESTADO",DP1)))</formula>
    </cfRule>
  </conditionalFormatting>
  <conditionalFormatting sqref="DP27:DU28 DP2:DU4 DP6:DU9 DP5:DQ5 DU12 DU17:DU21 DP10:DQ23 DP24:DT26 DQ32:DU32 DP29:DQ31 DQ38:DS38 DQ40:DS40 DQ39 DQ41:DU46 DP47:DU56 DP57:DT61 DP62:DU63 DP69:DU70 DP64:DQ67 DP68:DS68 DP79:DU79 DP1:DQ1 DP85:DU86 DP92:DU1048576 DP87:DS91 DP78:DR78 DP80:DS84">
    <cfRule type="containsText" dxfId="506" priority="924" operator="containsText" text="FERIADO">
      <formula>NOT(ISERROR(SEARCH("FERIADO",DP1)))</formula>
    </cfRule>
    <cfRule type="containsText" dxfId="505" priority="926" operator="containsText" text="FALTOU">
      <formula>NOT(ISERROR(SEARCH("FALTOU",DP1)))</formula>
    </cfRule>
  </conditionalFormatting>
  <conditionalFormatting sqref="DQ33 DR35 DQ36:DQ37">
    <cfRule type="containsText" dxfId="504" priority="823" operator="containsText" text="FERIADO">
      <formula>NOT(ISERROR(SEARCH("FERIADO",DQ33)))</formula>
    </cfRule>
    <cfRule type="containsText" dxfId="503" priority="825" operator="containsText" text="FALTOU">
      <formula>NOT(ISERROR(SEARCH("FALTOU",DQ33)))</formula>
    </cfRule>
    <cfRule type="containsText" dxfId="502" priority="826" operator="containsText" text="ATESTADO">
      <formula>NOT(ISERROR(SEARCH("ATESTADO",DQ33)))</formula>
    </cfRule>
  </conditionalFormatting>
  <conditionalFormatting sqref="DQ33:DQ37">
    <cfRule type="containsText" dxfId="501" priority="737" operator="containsText" text="DOMINGO">
      <formula>NOT(ISERROR(SEARCH("DOMINGO",DQ33)))</formula>
    </cfRule>
    <cfRule type="containsText" dxfId="500" priority="738" operator="containsText" text="SÁBADO">
      <formula>NOT(ISERROR(SEARCH("SÁBADO",DQ33)))</formula>
    </cfRule>
  </conditionalFormatting>
  <conditionalFormatting sqref="DQ34">
    <cfRule type="containsText" dxfId="499" priority="784" operator="containsText" text="ATESTADO">
      <formula>NOT(ISERROR(SEARCH("ATESTADO",DQ34)))</formula>
    </cfRule>
    <cfRule type="containsText" dxfId="498" priority="783" operator="containsText" text="FALTOU">
      <formula>NOT(ISERROR(SEARCH("FALTOU",DQ34)))</formula>
    </cfRule>
    <cfRule type="containsText" dxfId="497" priority="782" operator="containsText" text="DESCANSO">
      <formula>NOT(ISERROR(SEARCH("DESCANSO",DQ34)))</formula>
    </cfRule>
    <cfRule type="containsText" dxfId="496" priority="781" operator="containsText" text="FERIADO">
      <formula>NOT(ISERROR(SEARCH("FERIADO",DQ34)))</formula>
    </cfRule>
  </conditionalFormatting>
  <conditionalFormatting sqref="DQ35">
    <cfRule type="containsText" dxfId="495" priority="742" operator="containsText" text="ATESTADO">
      <formula>NOT(ISERROR(SEARCH("ATESTADO",DQ35)))</formula>
    </cfRule>
    <cfRule type="containsText" dxfId="494" priority="741" operator="containsText" text="FALTOU">
      <formula>NOT(ISERROR(SEARCH("FALTOU",DQ35)))</formula>
    </cfRule>
    <cfRule type="containsText" dxfId="493" priority="740" operator="containsText" text="DESCANSO">
      <formula>NOT(ISERROR(SEARCH("DESCANSO",DQ35)))</formula>
    </cfRule>
    <cfRule type="containsText" dxfId="492" priority="739" operator="containsText" text="FERIADO">
      <formula>NOT(ISERROR(SEARCH("FERIADO",DQ35)))</formula>
    </cfRule>
  </conditionalFormatting>
  <conditionalFormatting sqref="DR35 DQ33 DQ36:DQ37">
    <cfRule type="containsText" dxfId="491" priority="824" operator="containsText" text="DESCANSO">
      <formula>NOT(ISERROR(SEARCH("DESCANSO",DQ33)))</formula>
    </cfRule>
  </conditionalFormatting>
  <conditionalFormatting sqref="DR35">
    <cfRule type="containsText" dxfId="490" priority="822" operator="containsText" text="SÁBADO">
      <formula>NOT(ISERROR(SEARCH("SÁBADO",DR35)))</formula>
    </cfRule>
    <cfRule type="containsText" dxfId="489" priority="821" operator="containsText" text="DOMINGO">
      <formula>NOT(ISERROR(SEARCH("DOMINGO",DR35)))</formula>
    </cfRule>
  </conditionalFormatting>
  <conditionalFormatting sqref="DR24:DS24">
    <cfRule type="containsText" dxfId="488" priority="883" operator="containsText" text="FERIADO">
      <formula>NOT(ISERROR(SEARCH("FERIADO",DR24)))</formula>
    </cfRule>
    <cfRule type="containsText" dxfId="487" priority="884" operator="containsText" text="ATESTADO">
      <formula>NOT(ISERROR(SEARCH("ATESTADO",DR24)))</formula>
    </cfRule>
    <cfRule type="containsText" dxfId="486" priority="885" operator="containsText" text="DESCANSO">
      <formula>NOT(ISERROR(SEARCH("DESCANSO",DR24)))</formula>
    </cfRule>
    <cfRule type="containsText" dxfId="485" priority="886" operator="containsText" text="FALTOU">
      <formula>NOT(ISERROR(SEARCH("FALTOU",DR24)))</formula>
    </cfRule>
  </conditionalFormatting>
  <conditionalFormatting sqref="DR24:DS26">
    <cfRule type="containsText" dxfId="484" priority="870" operator="containsText" text="SÁBADO">
      <formula>NOT(ISERROR(SEARCH("SÁBADO",DR24)))</formula>
    </cfRule>
    <cfRule type="containsText" dxfId="483" priority="869" operator="containsText" text="DOMINGO">
      <formula>NOT(ISERROR(SEARCH("DOMINGO",DR24)))</formula>
    </cfRule>
  </conditionalFormatting>
  <conditionalFormatting sqref="DR25:DS25">
    <cfRule type="containsText" dxfId="482" priority="879" operator="containsText" text="DESCANSO">
      <formula>NOT(ISERROR(SEARCH("DESCANSO",DR25)))</formula>
    </cfRule>
    <cfRule type="containsText" dxfId="481" priority="878" operator="containsText" text="ATESTADO">
      <formula>NOT(ISERROR(SEARCH("ATESTADO",DR25)))</formula>
    </cfRule>
    <cfRule type="containsText" dxfId="480" priority="877" operator="containsText" text="FERIADO">
      <formula>NOT(ISERROR(SEARCH("FERIADO",DR25)))</formula>
    </cfRule>
    <cfRule type="containsText" dxfId="479" priority="880" operator="containsText" text="FALTOU">
      <formula>NOT(ISERROR(SEARCH("FALTOU",DR25)))</formula>
    </cfRule>
  </conditionalFormatting>
  <conditionalFormatting sqref="DR26:DS26">
    <cfRule type="containsText" dxfId="478" priority="874" operator="containsText" text="FALTOU">
      <formula>NOT(ISERROR(SEARCH("FALTOU",DR26)))</formula>
    </cfRule>
    <cfRule type="containsText" dxfId="477" priority="873" operator="containsText" text="DESCANSO">
      <formula>NOT(ISERROR(SEARCH("DESCANSO",DR26)))</formula>
    </cfRule>
    <cfRule type="containsText" dxfId="476" priority="872" operator="containsText" text="ATESTADO">
      <formula>NOT(ISERROR(SEARCH("ATESTADO",DR26)))</formula>
    </cfRule>
    <cfRule type="containsText" dxfId="475" priority="871" operator="containsText" text="FERIADO">
      <formula>NOT(ISERROR(SEARCH("FERIADO",DR26)))</formula>
    </cfRule>
  </conditionalFormatting>
  <conditionalFormatting sqref="DR29:DS29">
    <cfRule type="containsText" dxfId="474" priority="856" operator="containsText" text="FALTOU">
      <formula>NOT(ISERROR(SEARCH("FALTOU",DR29)))</formula>
    </cfRule>
    <cfRule type="containsText" dxfId="473" priority="855" operator="containsText" text="DESCANSO">
      <formula>NOT(ISERROR(SEARCH("DESCANSO",DR29)))</formula>
    </cfRule>
    <cfRule type="containsText" dxfId="472" priority="854" operator="containsText" text="ATESTADO">
      <formula>NOT(ISERROR(SEARCH("ATESTADO",DR29)))</formula>
    </cfRule>
    <cfRule type="containsText" dxfId="471" priority="853" operator="containsText" text="FERIADO">
      <formula>NOT(ISERROR(SEARCH("FERIADO",DR29)))</formula>
    </cfRule>
  </conditionalFormatting>
  <conditionalFormatting sqref="DR29:DS31">
    <cfRule type="containsText" dxfId="470" priority="804" operator="containsText" text="SÁBADO">
      <formula>NOT(ISERROR(SEARCH("SÁBADO",DR29)))</formula>
    </cfRule>
    <cfRule type="containsText" dxfId="469" priority="803" operator="containsText" text="DOMINGO">
      <formula>NOT(ISERROR(SEARCH("DOMINGO",DR29)))</formula>
    </cfRule>
  </conditionalFormatting>
  <conditionalFormatting sqref="DR30:DS30">
    <cfRule type="containsText" dxfId="468" priority="838" operator="containsText" text="FALTOU">
      <formula>NOT(ISERROR(SEARCH("FALTOU",DR30)))</formula>
    </cfRule>
    <cfRule type="containsText" dxfId="467" priority="837" operator="containsText" text="DESCANSO">
      <formula>NOT(ISERROR(SEARCH("DESCANSO",DR30)))</formula>
    </cfRule>
    <cfRule type="containsText" dxfId="466" priority="836" operator="containsText" text="ATESTADO">
      <formula>NOT(ISERROR(SEARCH("ATESTADO",DR30)))</formula>
    </cfRule>
    <cfRule type="containsText" dxfId="465" priority="835" operator="containsText" text="FERIADO">
      <formula>NOT(ISERROR(SEARCH("FERIADO",DR30)))</formula>
    </cfRule>
  </conditionalFormatting>
  <conditionalFormatting sqref="DR31:DS31">
    <cfRule type="containsText" dxfId="464" priority="807" operator="containsText" text="DESCANSO">
      <formula>NOT(ISERROR(SEARCH("DESCANSO",DR31)))</formula>
    </cfRule>
    <cfRule type="containsText" dxfId="463" priority="808" operator="containsText" text="FALTOU">
      <formula>NOT(ISERROR(SEARCH("FALTOU",DR31)))</formula>
    </cfRule>
    <cfRule type="containsText" dxfId="462" priority="805" operator="containsText" text="FERIADO">
      <formula>NOT(ISERROR(SEARCH("FERIADO",DR31)))</formula>
    </cfRule>
    <cfRule type="containsText" dxfId="461" priority="806" operator="containsText" text="ATESTADO">
      <formula>NOT(ISERROR(SEARCH("ATESTADO",DR31)))</formula>
    </cfRule>
  </conditionalFormatting>
  <conditionalFormatting sqref="DR33:DS33">
    <cfRule type="containsText" dxfId="460" priority="788" operator="containsText" text="ATESTADO">
      <formula>NOT(ISERROR(SEARCH("ATESTADO",DR33)))</formula>
    </cfRule>
    <cfRule type="containsText" dxfId="459" priority="787" operator="containsText" text="FERIADO">
      <formula>NOT(ISERROR(SEARCH("FERIADO",DR33)))</formula>
    </cfRule>
    <cfRule type="containsText" dxfId="458" priority="790" operator="containsText" text="FALTOU">
      <formula>NOT(ISERROR(SEARCH("FALTOU",DR33)))</formula>
    </cfRule>
    <cfRule type="containsText" dxfId="457" priority="789" operator="containsText" text="DESCANSO">
      <formula>NOT(ISERROR(SEARCH("DESCANSO",DR33)))</formula>
    </cfRule>
  </conditionalFormatting>
  <conditionalFormatting sqref="DR33:DS34">
    <cfRule type="containsText" dxfId="456" priority="768" operator="containsText" text="SÁBADO">
      <formula>NOT(ISERROR(SEARCH("SÁBADO",DR33)))</formula>
    </cfRule>
    <cfRule type="containsText" dxfId="455" priority="767" operator="containsText" text="DOMINGO">
      <formula>NOT(ISERROR(SEARCH("DOMINGO",DR33)))</formula>
    </cfRule>
  </conditionalFormatting>
  <conditionalFormatting sqref="DR34:DS34">
    <cfRule type="containsText" dxfId="454" priority="770" operator="containsText" text="ATESTADO">
      <formula>NOT(ISERROR(SEARCH("ATESTADO",DR34)))</formula>
    </cfRule>
    <cfRule type="containsText" dxfId="453" priority="771" operator="containsText" text="DESCANSO">
      <formula>NOT(ISERROR(SEARCH("DESCANSO",DR34)))</formula>
    </cfRule>
    <cfRule type="containsText" dxfId="452" priority="772" operator="containsText" text="FALTOU">
      <formula>NOT(ISERROR(SEARCH("FALTOU",DR34)))</formula>
    </cfRule>
    <cfRule type="containsText" dxfId="451" priority="769" operator="containsText" text="FERIADO">
      <formula>NOT(ISERROR(SEARCH("FERIADO",DR34)))</formula>
    </cfRule>
  </conditionalFormatting>
  <conditionalFormatting sqref="DR36:DS37">
    <cfRule type="containsText" dxfId="450" priority="752" operator="containsText" text="ATESTADO">
      <formula>NOT(ISERROR(SEARCH("ATESTADO",DR36)))</formula>
    </cfRule>
    <cfRule type="containsText" dxfId="449" priority="758" operator="containsText" text="DESCANSO">
      <formula>NOT(ISERROR(SEARCH("DESCANSO",DR36)))</formula>
    </cfRule>
    <cfRule type="containsText" dxfId="448" priority="759" operator="containsText" text="FALTOU">
      <formula>NOT(ISERROR(SEARCH("FALTOU",DR36)))</formula>
    </cfRule>
    <cfRule type="containsText" dxfId="447" priority="760" operator="containsText" text="ATESTADO">
      <formula>NOT(ISERROR(SEARCH("ATESTADO",DR36)))</formula>
    </cfRule>
    <cfRule type="containsText" dxfId="446" priority="749" operator="containsText" text="DOMINGO">
      <formula>NOT(ISERROR(SEARCH("DOMINGO",DR36)))</formula>
    </cfRule>
    <cfRule type="containsText" dxfId="445" priority="750" operator="containsText" text="SÁBADO">
      <formula>NOT(ISERROR(SEARCH("SÁBADO",DR36)))</formula>
    </cfRule>
    <cfRule type="containsText" dxfId="444" priority="751" operator="containsText" text="FERIADO">
      <formula>NOT(ISERROR(SEARCH("FERIADO",DR36)))</formula>
    </cfRule>
    <cfRule type="containsText" dxfId="443" priority="753" operator="containsText" text="DESCANSO">
      <formula>NOT(ISERROR(SEARCH("DESCANSO",DR36)))</formula>
    </cfRule>
    <cfRule type="containsText" dxfId="442" priority="754" operator="containsText" text="FALTOU">
      <formula>NOT(ISERROR(SEARCH("FALTOU",DR36)))</formula>
    </cfRule>
    <cfRule type="containsText" dxfId="441" priority="755" operator="containsText" text="DOMINGO">
      <formula>NOT(ISERROR(SEARCH("DOMINGO",DR36)))</formula>
    </cfRule>
    <cfRule type="containsText" dxfId="440" priority="756" operator="containsText" text="SÁBADO">
      <formula>NOT(ISERROR(SEARCH("SÁBADO",DR36)))</formula>
    </cfRule>
    <cfRule type="containsText" dxfId="439" priority="757" operator="containsText" text="FERIADO">
      <formula>NOT(ISERROR(SEARCH("FERIADO",DR36)))</formula>
    </cfRule>
  </conditionalFormatting>
  <conditionalFormatting sqref="DR39:DS39">
    <cfRule type="containsText" dxfId="438" priority="730" operator="containsText" text="ATESTADO">
      <formula>NOT(ISERROR(SEARCH("ATESTADO",DR39)))</formula>
    </cfRule>
    <cfRule type="containsText" dxfId="437" priority="729" operator="containsText" text="FALTOU">
      <formula>NOT(ISERROR(SEARCH("FALTOU",DR39)))</formula>
    </cfRule>
    <cfRule type="containsText" dxfId="436" priority="728" operator="containsText" text="DESCANSO">
      <formula>NOT(ISERROR(SEARCH("DESCANSO",DR39)))</formula>
    </cfRule>
    <cfRule type="containsText" dxfId="435" priority="727" operator="containsText" text="FERIADO">
      <formula>NOT(ISERROR(SEARCH("FERIADO",DR39)))</formula>
    </cfRule>
    <cfRule type="containsText" dxfId="434" priority="726" operator="containsText" text="SÁBADO">
      <formula>NOT(ISERROR(SEARCH("SÁBADO",DR39)))</formula>
    </cfRule>
    <cfRule type="containsText" dxfId="433" priority="725" operator="containsText" text="DOMINGO">
      <formula>NOT(ISERROR(SEARCH("DOMINGO",DR39)))</formula>
    </cfRule>
  </conditionalFormatting>
  <conditionalFormatting sqref="DR10:DT21">
    <cfRule type="containsText" dxfId="432" priority="910" operator="containsText" text="ATESTADO">
      <formula>NOT(ISERROR(SEARCH("ATESTADO",DR10)))</formula>
    </cfRule>
    <cfRule type="containsText" dxfId="431" priority="909" operator="containsText" text="FALTOU">
      <formula>NOT(ISERROR(SEARCH("FALTOU",DR10)))</formula>
    </cfRule>
    <cfRule type="containsText" dxfId="430" priority="908" operator="containsText" text="DESCANSO">
      <formula>NOT(ISERROR(SEARCH("DESCANSO",DR10)))</formula>
    </cfRule>
    <cfRule type="containsText" dxfId="429" priority="907" operator="containsText" text="FERIADO">
      <formula>NOT(ISERROR(SEARCH("FERIADO",DR10)))</formula>
    </cfRule>
    <cfRule type="containsText" dxfId="428" priority="906" operator="containsText" text="SÁBADO">
      <formula>NOT(ISERROR(SEARCH("SÁBADO",DR10)))</formula>
    </cfRule>
    <cfRule type="containsText" dxfId="427" priority="905" operator="containsText" text="DOMINGO">
      <formula>NOT(ISERROR(SEARCH("DOMINGO",DR10)))</formula>
    </cfRule>
  </conditionalFormatting>
  <conditionalFormatting sqref="DR29:DT29">
    <cfRule type="containsText" dxfId="426" priority="865" operator="containsText" text="FERIADO">
      <formula>NOT(ISERROR(SEARCH("FERIADO",DR29)))</formula>
    </cfRule>
    <cfRule type="containsText" dxfId="425" priority="866" operator="containsText" text="DESCANSO">
      <formula>NOT(ISERROR(SEARCH("DESCANSO",DR29)))</formula>
    </cfRule>
    <cfRule type="containsText" dxfId="424" priority="867" operator="containsText" text="FALTOU">
      <formula>NOT(ISERROR(SEARCH("FALTOU",DR29)))</formula>
    </cfRule>
    <cfRule type="containsText" dxfId="423" priority="868" operator="containsText" text="ATESTADO">
      <formula>NOT(ISERROR(SEARCH("ATESTADO",DR29)))</formula>
    </cfRule>
    <cfRule type="containsText" dxfId="422" priority="863" operator="containsText" text="DOMINGO">
      <formula>NOT(ISERROR(SEARCH("DOMINGO",DR29)))</formula>
    </cfRule>
    <cfRule type="containsText" dxfId="421" priority="864" operator="containsText" text="SÁBADO">
      <formula>NOT(ISERROR(SEARCH("SÁBADO",DR29)))</formula>
    </cfRule>
  </conditionalFormatting>
  <conditionalFormatting sqref="DR30:DT30">
    <cfRule type="containsText" dxfId="420" priority="849" operator="containsText" text="FALTOU">
      <formula>NOT(ISERROR(SEARCH("FALTOU",DR30)))</formula>
    </cfRule>
    <cfRule type="containsText" dxfId="419" priority="850" operator="containsText" text="ATESTADO">
      <formula>NOT(ISERROR(SEARCH("ATESTADO",DR30)))</formula>
    </cfRule>
    <cfRule type="containsText" dxfId="418" priority="848" operator="containsText" text="DESCANSO">
      <formula>NOT(ISERROR(SEARCH("DESCANSO",DR30)))</formula>
    </cfRule>
    <cfRule type="containsText" dxfId="417" priority="845" operator="containsText" text="DOMINGO">
      <formula>NOT(ISERROR(SEARCH("DOMINGO",DR30)))</formula>
    </cfRule>
    <cfRule type="containsText" dxfId="416" priority="846" operator="containsText" text="SÁBADO">
      <formula>NOT(ISERROR(SEARCH("SÁBADO",DR30)))</formula>
    </cfRule>
    <cfRule type="containsText" dxfId="415" priority="847" operator="containsText" text="FERIADO">
      <formula>NOT(ISERROR(SEARCH("FERIADO",DR30)))</formula>
    </cfRule>
  </conditionalFormatting>
  <conditionalFormatting sqref="DR31:DT31">
    <cfRule type="containsText" dxfId="414" priority="820" operator="containsText" text="ATESTADO">
      <formula>NOT(ISERROR(SEARCH("ATESTADO",DR31)))</formula>
    </cfRule>
    <cfRule type="containsText" dxfId="413" priority="819" operator="containsText" text="FALTOU">
      <formula>NOT(ISERROR(SEARCH("FALTOU",DR31)))</formula>
    </cfRule>
    <cfRule type="containsText" dxfId="412" priority="818" operator="containsText" text="DESCANSO">
      <formula>NOT(ISERROR(SEARCH("DESCANSO",DR31)))</formula>
    </cfRule>
    <cfRule type="containsText" dxfId="411" priority="816" operator="containsText" text="SÁBADO">
      <formula>NOT(ISERROR(SEARCH("SÁBADO",DR31)))</formula>
    </cfRule>
    <cfRule type="containsText" dxfId="410" priority="815" operator="containsText" text="DOMINGO">
      <formula>NOT(ISERROR(SEARCH("DOMINGO",DR31)))</formula>
    </cfRule>
    <cfRule type="containsText" dxfId="409" priority="817" operator="containsText" text="FERIADO">
      <formula>NOT(ISERROR(SEARCH("FERIADO",DR31)))</formula>
    </cfRule>
  </conditionalFormatting>
  <conditionalFormatting sqref="DR33:DT33">
    <cfRule type="containsText" dxfId="408" priority="802" operator="containsText" text="ATESTADO">
      <formula>NOT(ISERROR(SEARCH("ATESTADO",DR33)))</formula>
    </cfRule>
    <cfRule type="containsText" dxfId="407" priority="801" operator="containsText" text="FALTOU">
      <formula>NOT(ISERROR(SEARCH("FALTOU",DR33)))</formula>
    </cfRule>
    <cfRule type="containsText" dxfId="406" priority="800" operator="containsText" text="DESCANSO">
      <formula>NOT(ISERROR(SEARCH("DESCANSO",DR33)))</formula>
    </cfRule>
    <cfRule type="containsText" dxfId="405" priority="797" operator="containsText" text="DOMINGO">
      <formula>NOT(ISERROR(SEARCH("DOMINGO",DR33)))</formula>
    </cfRule>
    <cfRule type="containsText" dxfId="404" priority="798" operator="containsText" text="SÁBADO">
      <formula>NOT(ISERROR(SEARCH("SÁBADO",DR33)))</formula>
    </cfRule>
    <cfRule type="containsText" dxfId="403" priority="799" operator="containsText" text="FERIADO">
      <formula>NOT(ISERROR(SEARCH("FERIADO",DR33)))</formula>
    </cfRule>
  </conditionalFormatting>
  <conditionalFormatting sqref="DR34:DT34">
    <cfRule type="containsText" dxfId="402" priority="774" operator="containsText" text="SÁBADO">
      <formula>NOT(ISERROR(SEARCH("SÁBADO",DR34)))</formula>
    </cfRule>
    <cfRule type="containsText" dxfId="401" priority="775" operator="containsText" text="FERIADO">
      <formula>NOT(ISERROR(SEARCH("FERIADO",DR34)))</formula>
    </cfRule>
    <cfRule type="containsText" dxfId="400" priority="776" operator="containsText" text="DESCANSO">
      <formula>NOT(ISERROR(SEARCH("DESCANSO",DR34)))</formula>
    </cfRule>
    <cfRule type="containsText" dxfId="399" priority="773" operator="containsText" text="DOMINGO">
      <formula>NOT(ISERROR(SEARCH("DOMINGO",DR34)))</formula>
    </cfRule>
    <cfRule type="containsText" dxfId="398" priority="778" operator="containsText" text="ATESTADO">
      <formula>NOT(ISERROR(SEARCH("ATESTADO",DR34)))</formula>
    </cfRule>
    <cfRule type="containsText" dxfId="397" priority="777" operator="containsText" text="FALTOU">
      <formula>NOT(ISERROR(SEARCH("FALTOU",DR34)))</formula>
    </cfRule>
  </conditionalFormatting>
  <conditionalFormatting sqref="DR64:DT67">
    <cfRule type="containsText" dxfId="396" priority="207" operator="containsText" text="FERIADO">
      <formula>NOT(ISERROR(SEARCH("FERIADO",DR64)))</formula>
    </cfRule>
    <cfRule type="containsText" dxfId="395" priority="205" operator="containsText" text="DOMINGO">
      <formula>NOT(ISERROR(SEARCH("DOMINGO",DR64)))</formula>
    </cfRule>
    <cfRule type="containsText" dxfId="394" priority="206" operator="containsText" text="SÁBADO">
      <formula>NOT(ISERROR(SEARCH("SÁBADO",DR64)))</formula>
    </cfRule>
    <cfRule type="containsText" dxfId="393" priority="208" operator="containsText" text="DESCANSO">
      <formula>NOT(ISERROR(SEARCH("DESCANSO",DR64)))</formula>
    </cfRule>
    <cfRule type="containsText" dxfId="392" priority="209" operator="containsText" text="FALTOU">
      <formula>NOT(ISERROR(SEARCH("FALTOU",DR64)))</formula>
    </cfRule>
    <cfRule type="containsText" dxfId="391" priority="210" operator="containsText" text="ATESTADO">
      <formula>NOT(ISERROR(SEARCH("ATESTADO",DR64)))</formula>
    </cfRule>
  </conditionalFormatting>
  <conditionalFormatting sqref="DR1:DU1">
    <cfRule type="containsText" dxfId="390" priority="158" operator="containsText" text="SÁBADO">
      <formula>NOT(ISERROR(SEARCH("SÁBADO",DR1)))</formula>
    </cfRule>
    <cfRule type="containsText" dxfId="389" priority="159" operator="containsText" text="FERIADO">
      <formula>NOT(ISERROR(SEARCH("FERIADO",DR1)))</formula>
    </cfRule>
    <cfRule type="containsText" dxfId="388" priority="155" operator="containsText" text="DESCANSO">
      <formula>NOT(ISERROR(SEARCH("DESCANSO",DR1)))</formula>
    </cfRule>
    <cfRule type="containsText" dxfId="387" priority="160" operator="containsText" text="DESCANSO">
      <formula>NOT(ISERROR(SEARCH("DESCANSO",DR1)))</formula>
    </cfRule>
    <cfRule type="containsText" dxfId="386" priority="156" operator="containsText" text="FALTOU">
      <formula>NOT(ISERROR(SEARCH("FALTOU",DR1)))</formula>
    </cfRule>
    <cfRule type="containsText" dxfId="385" priority="157" operator="containsText" text="DOMINGO">
      <formula>NOT(ISERROR(SEARCH("DOMINGO",DR1)))</formula>
    </cfRule>
    <cfRule type="containsText" dxfId="384" priority="161" operator="containsText" text="FALTOU">
      <formula>NOT(ISERROR(SEARCH("FALTOU",DR1)))</formula>
    </cfRule>
  </conditionalFormatting>
  <conditionalFormatting sqref="DR22:DU22">
    <cfRule type="containsText" dxfId="383" priority="901" operator="containsText" text="FERIADO">
      <formula>NOT(ISERROR(SEARCH("FERIADO",DR22)))</formula>
    </cfRule>
    <cfRule type="containsText" dxfId="382" priority="904" operator="containsText" text="FALTOU">
      <formula>NOT(ISERROR(SEARCH("FALTOU",DR22)))</formula>
    </cfRule>
    <cfRule type="containsText" dxfId="381" priority="903" operator="containsText" text="DESCANSO">
      <formula>NOT(ISERROR(SEARCH("DESCANSO",DR22)))</formula>
    </cfRule>
    <cfRule type="containsText" dxfId="380" priority="902" operator="containsText" text="ATESTADO">
      <formula>NOT(ISERROR(SEARCH("ATESTADO",DR22)))</formula>
    </cfRule>
  </conditionalFormatting>
  <conditionalFormatting sqref="DR22:DU23">
    <cfRule type="containsText" dxfId="379" priority="894" operator="containsText" text="SÁBADO">
      <formula>NOT(ISERROR(SEARCH("SÁBADO",DR22)))</formula>
    </cfRule>
    <cfRule type="containsText" dxfId="378" priority="893" operator="containsText" text="DOMINGO">
      <formula>NOT(ISERROR(SEARCH("DOMINGO",DR22)))</formula>
    </cfRule>
  </conditionalFormatting>
  <conditionalFormatting sqref="DR23:DU23">
    <cfRule type="containsText" dxfId="377" priority="897" operator="containsText" text="DESCANSO">
      <formula>NOT(ISERROR(SEARCH("DESCANSO",DR23)))</formula>
    </cfRule>
    <cfRule type="containsText" dxfId="376" priority="895" operator="containsText" text="FERIADO">
      <formula>NOT(ISERROR(SEARCH("FERIADO",DR23)))</formula>
    </cfRule>
    <cfRule type="containsText" dxfId="375" priority="896" operator="containsText" text="ATESTADO">
      <formula>NOT(ISERROR(SEARCH("ATESTADO",DR23)))</formula>
    </cfRule>
    <cfRule type="containsText" dxfId="374" priority="898" operator="containsText" text="FALTOU">
      <formula>NOT(ISERROR(SEARCH("FALTOU",DR23)))</formula>
    </cfRule>
  </conditionalFormatting>
  <conditionalFormatting sqref="DR324:DU324">
    <cfRule type="containsText" dxfId="373" priority="918" operator="containsText" text="FALTOU">
      <formula>NOT(ISERROR(SEARCH("FALTOU",DR324)))</formula>
    </cfRule>
    <cfRule type="containsText" dxfId="372" priority="917" operator="containsText" text="DESCANSO">
      <formula>NOT(ISERROR(SEARCH("DESCANSO",DR324)))</formula>
    </cfRule>
  </conditionalFormatting>
  <conditionalFormatting sqref="DS71:DS78">
    <cfRule type="containsText" dxfId="371" priority="14" operator="containsText" text="SÁBADO">
      <formula>NOT(ISERROR(SEARCH("SÁBADO",DS71)))</formula>
    </cfRule>
    <cfRule type="containsText" dxfId="370" priority="18" operator="containsText" text="ATESTADO">
      <formula>NOT(ISERROR(SEARCH("ATESTADO",DS71)))</formula>
    </cfRule>
    <cfRule type="containsText" dxfId="369" priority="17" operator="containsText" text="FALTOU">
      <formula>NOT(ISERROR(SEARCH("FALTOU",DS71)))</formula>
    </cfRule>
    <cfRule type="containsText" dxfId="368" priority="16" operator="containsText" text="DESCANSO">
      <formula>NOT(ISERROR(SEARCH("DESCANSO",DS71)))</formula>
    </cfRule>
    <cfRule type="containsText" dxfId="367" priority="15" operator="containsText" text="FERIADO">
      <formula>NOT(ISERROR(SEARCH("FERIADO",DS71)))</formula>
    </cfRule>
    <cfRule type="containsText" dxfId="366" priority="13" operator="containsText" text="DOMINGO">
      <formula>NOT(ISERROR(SEARCH("DOMINGO",DS71)))</formula>
    </cfRule>
  </conditionalFormatting>
  <conditionalFormatting sqref="DS35:DU35 DU34">
    <cfRule type="containsText" dxfId="365" priority="829" operator="containsText" text="FERIADO">
      <formula>NOT(ISERROR(SEARCH("FERIADO",DS34)))</formula>
    </cfRule>
    <cfRule type="containsText" dxfId="364" priority="830" operator="containsText" text="DESCANSO">
      <formula>NOT(ISERROR(SEARCH("DESCANSO",DS34)))</formula>
    </cfRule>
    <cfRule type="containsText" dxfId="363" priority="831" operator="containsText" text="FALTOU">
      <formula>NOT(ISERROR(SEARCH("FALTOU",DS34)))</formula>
    </cfRule>
  </conditionalFormatting>
  <conditionalFormatting sqref="DS35:DU35">
    <cfRule type="containsText" dxfId="362" priority="827" operator="containsText" text="DOMINGO">
      <formula>NOT(ISERROR(SEARCH("DOMINGO",DS35)))</formula>
    </cfRule>
    <cfRule type="containsText" dxfId="361" priority="828" operator="containsText" text="SÁBADO">
      <formula>NOT(ISERROR(SEARCH("SÁBADO",DS35)))</formula>
    </cfRule>
  </conditionalFormatting>
  <conditionalFormatting sqref="DS316:DU316">
    <cfRule type="containsText" dxfId="360" priority="913" operator="containsText" text="DESCANSO">
      <formula>NOT(ISERROR(SEARCH("DESCANSO",DS316)))</formula>
    </cfRule>
    <cfRule type="containsText" dxfId="359" priority="914" operator="containsText" text="FALTOU">
      <formula>NOT(ISERROR(SEARCH("FALTOU",DS316)))</formula>
    </cfRule>
    <cfRule type="containsText" dxfId="358" priority="912" operator="containsText" text="FALTOU">
      <formula>NOT(ISERROR(SEARCH("FALTOU",DS316)))</formula>
    </cfRule>
    <cfRule type="containsText" dxfId="357" priority="911" operator="containsText" text="DESCANSO">
      <formula>NOT(ISERROR(SEARCH("DESCANSO",DS316)))</formula>
    </cfRule>
  </conditionalFormatting>
  <conditionalFormatting sqref="DT36:DT38">
    <cfRule type="containsText" dxfId="356" priority="766" operator="containsText" text="ATESTADO">
      <formula>NOT(ISERROR(SEARCH("ATESTADO",DT36)))</formula>
    </cfRule>
    <cfRule type="containsText" dxfId="355" priority="765" operator="containsText" text="FALTOU">
      <formula>NOT(ISERROR(SEARCH("FALTOU",DT36)))</formula>
    </cfRule>
    <cfRule type="containsText" dxfId="354" priority="763" operator="containsText" text="FERIADO">
      <formula>NOT(ISERROR(SEARCH("FERIADO",DT36)))</formula>
    </cfRule>
    <cfRule type="containsText" dxfId="353" priority="764" operator="containsText" text="DESCANSO">
      <formula>NOT(ISERROR(SEARCH("DESCANSO",DT36)))</formula>
    </cfRule>
  </conditionalFormatting>
  <conditionalFormatting sqref="DT36:DT39">
    <cfRule type="containsText" dxfId="352" priority="719" operator="containsText" text="DOMINGO">
      <formula>NOT(ISERROR(SEARCH("DOMINGO",DT36)))</formula>
    </cfRule>
  </conditionalFormatting>
  <conditionalFormatting sqref="DT36:DT40">
    <cfRule type="containsText" dxfId="351" priority="708" operator="containsText" text="SÁBADO">
      <formula>NOT(ISERROR(SEARCH("SÁBADO",DT36)))</formula>
    </cfRule>
  </conditionalFormatting>
  <conditionalFormatting sqref="DT39">
    <cfRule type="containsText" dxfId="350" priority="723" operator="containsText" text="FALTOU">
      <formula>NOT(ISERROR(SEARCH("FALTOU",DT39)))</formula>
    </cfRule>
    <cfRule type="containsText" dxfId="349" priority="722" operator="containsText" text="DESCANSO">
      <formula>NOT(ISERROR(SEARCH("DESCANSO",DT39)))</formula>
    </cfRule>
    <cfRule type="containsText" dxfId="348" priority="721" operator="containsText" text="FERIADO">
      <formula>NOT(ISERROR(SEARCH("FERIADO",DT39)))</formula>
    </cfRule>
    <cfRule type="containsText" dxfId="347" priority="724" operator="containsText" text="ATESTADO">
      <formula>NOT(ISERROR(SEARCH("ATESTADO",DT39)))</formula>
    </cfRule>
  </conditionalFormatting>
  <conditionalFormatting sqref="DT40">
    <cfRule type="containsText" dxfId="346" priority="707" operator="containsText" text="DOMINGO">
      <formula>NOT(ISERROR(SEARCH("DOMINGO",DT40)))</formula>
    </cfRule>
    <cfRule type="containsText" dxfId="345" priority="709" operator="containsText" text="FERIADO">
      <formula>NOT(ISERROR(SEARCH("FERIADO",DT40)))</formula>
    </cfRule>
    <cfRule type="containsText" dxfId="344" priority="710" operator="containsText" text="DESCANSO">
      <formula>NOT(ISERROR(SEARCH("DESCANSO",DT40)))</formula>
    </cfRule>
    <cfRule type="containsText" dxfId="343" priority="711" operator="containsText" text="FALTOU">
      <formula>NOT(ISERROR(SEARCH("FALTOU",DT40)))</formula>
    </cfRule>
    <cfRule type="containsText" dxfId="342" priority="712" operator="containsText" text="ATESTADO">
      <formula>NOT(ISERROR(SEARCH("ATESTADO",DT40)))</formula>
    </cfRule>
  </conditionalFormatting>
  <conditionalFormatting sqref="DT68">
    <cfRule type="containsText" dxfId="341" priority="198" operator="containsText" text="ATESTADO">
      <formula>NOT(ISERROR(SEARCH("ATESTADO",DT68)))</formula>
    </cfRule>
    <cfRule type="containsText" dxfId="340" priority="194" operator="containsText" text="SÁBADO">
      <formula>NOT(ISERROR(SEARCH("SÁBADO",DT68)))</formula>
    </cfRule>
    <cfRule type="containsText" dxfId="339" priority="197" operator="containsText" text="FALTOU">
      <formula>NOT(ISERROR(SEARCH("FALTOU",DT68)))</formula>
    </cfRule>
    <cfRule type="containsText" dxfId="338" priority="193" operator="containsText" text="DOMINGO">
      <formula>NOT(ISERROR(SEARCH("DOMINGO",DT68)))</formula>
    </cfRule>
    <cfRule type="containsText" dxfId="337" priority="195" operator="containsText" text="FERIADO">
      <formula>NOT(ISERROR(SEARCH("FERIADO",DT68)))</formula>
    </cfRule>
    <cfRule type="containsText" dxfId="336" priority="196" operator="containsText" text="DESCANSO">
      <formula>NOT(ISERROR(SEARCH("DESCANSO",DT68)))</formula>
    </cfRule>
  </conditionalFormatting>
  <conditionalFormatting sqref="DT77">
    <cfRule type="containsText" dxfId="335" priority="173" operator="containsText" text="FALTOU">
      <formula>NOT(ISERROR(SEARCH("FALTOU",DT77)))</formula>
    </cfRule>
    <cfRule type="containsText" dxfId="334" priority="174" operator="containsText" text="ATESTADO">
      <formula>NOT(ISERROR(SEARCH("ATESTADO",DT77)))</formula>
    </cfRule>
    <cfRule type="containsText" dxfId="333" priority="169" operator="containsText" text="DOMINGO">
      <formula>NOT(ISERROR(SEARCH("DOMINGO",DT77)))</formula>
    </cfRule>
    <cfRule type="containsText" dxfId="332" priority="171" operator="containsText" text="FERIADO">
      <formula>NOT(ISERROR(SEARCH("FERIADO",DT77)))</formula>
    </cfRule>
    <cfRule type="containsText" dxfId="331" priority="172" operator="containsText" text="DESCANSO">
      <formula>NOT(ISERROR(SEARCH("DESCANSO",DT77)))</formula>
    </cfRule>
  </conditionalFormatting>
  <conditionalFormatting sqref="DT77:DT78">
    <cfRule type="containsText" dxfId="330" priority="8" operator="containsText" text="SÁBADO">
      <formula>NOT(ISERROR(SEARCH("SÁBADO",DT77)))</formula>
    </cfRule>
  </conditionalFormatting>
  <conditionalFormatting sqref="DT78">
    <cfRule type="containsText" dxfId="329" priority="7" operator="containsText" text="DOMINGO">
      <formula>NOT(ISERROR(SEARCH("DOMINGO",DT78)))</formula>
    </cfRule>
    <cfRule type="containsText" dxfId="328" priority="9" operator="containsText" text="FERIADO">
      <formula>NOT(ISERROR(SEARCH("FERIADO",DT78)))</formula>
    </cfRule>
    <cfRule type="containsText" dxfId="327" priority="10" operator="containsText" text="DESCANSO">
      <formula>NOT(ISERROR(SEARCH("DESCANSO",DT78)))</formula>
    </cfRule>
    <cfRule type="containsText" dxfId="326" priority="11" operator="containsText" text="FALTOU">
      <formula>NOT(ISERROR(SEARCH("FALTOU",DT78)))</formula>
    </cfRule>
    <cfRule type="containsText" dxfId="325" priority="12" operator="containsText" text="ATESTADO">
      <formula>NOT(ISERROR(SEARCH("ATESTADO",DT78)))</formula>
    </cfRule>
  </conditionalFormatting>
  <conditionalFormatting sqref="DT80:DT84">
    <cfRule type="containsText" dxfId="324" priority="57" operator="containsText" text="FERIADO">
      <formula>NOT(ISERROR(SEARCH("FERIADO",DT80)))</formula>
    </cfRule>
    <cfRule type="containsText" dxfId="323" priority="56" operator="containsText" text="SÁBADO">
      <formula>NOT(ISERROR(SEARCH("SÁBADO",DT80)))</formula>
    </cfRule>
    <cfRule type="containsText" dxfId="322" priority="58" operator="containsText" text="DESCANSO">
      <formula>NOT(ISERROR(SEARCH("DESCANSO",DT80)))</formula>
    </cfRule>
    <cfRule type="containsText" dxfId="321" priority="60" operator="containsText" text="ATESTADO">
      <formula>NOT(ISERROR(SEARCH("ATESTADO",DT80)))</formula>
    </cfRule>
    <cfRule type="containsText" dxfId="320" priority="59" operator="containsText" text="FALTOU">
      <formula>NOT(ISERROR(SEARCH("FALTOU",DT80)))</formula>
    </cfRule>
    <cfRule type="containsText" dxfId="319" priority="55" operator="containsText" text="DOMINGO">
      <formula>NOT(ISERROR(SEARCH("DOMINGO",DT80)))</formula>
    </cfRule>
  </conditionalFormatting>
  <conditionalFormatting sqref="DT87:DT91">
    <cfRule type="containsText" dxfId="318" priority="36" operator="containsText" text="ATESTADO">
      <formula>NOT(ISERROR(SEARCH("ATESTADO",DT87)))</formula>
    </cfRule>
    <cfRule type="containsText" dxfId="317" priority="33" operator="containsText" text="FERIADO">
      <formula>NOT(ISERROR(SEARCH("FERIADO",DT87)))</formula>
    </cfRule>
    <cfRule type="containsText" dxfId="316" priority="34" operator="containsText" text="DESCANSO">
      <formula>NOT(ISERROR(SEARCH("DESCANSO",DT87)))</formula>
    </cfRule>
    <cfRule type="containsText" dxfId="315" priority="32" operator="containsText" text="SÁBADO">
      <formula>NOT(ISERROR(SEARCH("SÁBADO",DT87)))</formula>
    </cfRule>
    <cfRule type="containsText" dxfId="314" priority="31" operator="containsText" text="DOMINGO">
      <formula>NOT(ISERROR(SEARCH("DOMINGO",DT87)))</formula>
    </cfRule>
    <cfRule type="containsText" dxfId="313" priority="35" operator="containsText" text="FALTOU">
      <formula>NOT(ISERROR(SEARCH("FALTOU",DT87)))</formula>
    </cfRule>
  </conditionalFormatting>
  <conditionalFormatting sqref="DU24:DU26">
    <cfRule type="containsText" dxfId="312" priority="891" operator="containsText" text="DESCANSO">
      <formula>NOT(ISERROR(SEARCH("DESCANSO",DU24)))</formula>
    </cfRule>
    <cfRule type="containsText" dxfId="311" priority="890" operator="containsText" text="ATESTADO">
      <formula>NOT(ISERROR(SEARCH("ATESTADO",DU24)))</formula>
    </cfRule>
    <cfRule type="containsText" dxfId="310" priority="889" operator="containsText" text="FERIADO">
      <formula>NOT(ISERROR(SEARCH("FERIADO",DU24)))</formula>
    </cfRule>
    <cfRule type="containsText" dxfId="309" priority="887" operator="containsText" text="DOMINGO">
      <formula>NOT(ISERROR(SEARCH("DOMINGO",DU24)))</formula>
    </cfRule>
    <cfRule type="containsText" dxfId="308" priority="888" operator="containsText" text="SÁBADO">
      <formula>NOT(ISERROR(SEARCH("SÁBADO",DU24)))</formula>
    </cfRule>
    <cfRule type="containsText" dxfId="307" priority="892" operator="containsText" text="FALTOU">
      <formula>NOT(ISERROR(SEARCH("FALTOU",DU24)))</formula>
    </cfRule>
  </conditionalFormatting>
  <conditionalFormatting sqref="DU29">
    <cfRule type="containsText" dxfId="306" priority="862" operator="containsText" text="FALTOU">
      <formula>NOT(ISERROR(SEARCH("FALTOU",DU29)))</formula>
    </cfRule>
    <cfRule type="containsText" dxfId="305" priority="860" operator="containsText" text="ATESTADO">
      <formula>NOT(ISERROR(SEARCH("ATESTADO",DU29)))</formula>
    </cfRule>
    <cfRule type="containsText" dxfId="304" priority="859" operator="containsText" text="FERIADO">
      <formula>NOT(ISERROR(SEARCH("FERIADO",DU29)))</formula>
    </cfRule>
    <cfRule type="containsText" dxfId="303" priority="861" operator="containsText" text="DESCANSO">
      <formula>NOT(ISERROR(SEARCH("DESCANSO",DU29)))</formula>
    </cfRule>
  </conditionalFormatting>
  <conditionalFormatting sqref="DU29:DU31">
    <cfRule type="containsText" dxfId="302" priority="810" operator="containsText" text="SÁBADO">
      <formula>NOT(ISERROR(SEARCH("SÁBADO",DU29)))</formula>
    </cfRule>
    <cfRule type="containsText" dxfId="301" priority="809" operator="containsText" text="DOMINGO">
      <formula>NOT(ISERROR(SEARCH("DOMINGO",DU29)))</formula>
    </cfRule>
  </conditionalFormatting>
  <conditionalFormatting sqref="DU30">
    <cfRule type="containsText" dxfId="300" priority="842" operator="containsText" text="ATESTADO">
      <formula>NOT(ISERROR(SEARCH("ATESTADO",DU30)))</formula>
    </cfRule>
    <cfRule type="containsText" dxfId="299" priority="843" operator="containsText" text="DESCANSO">
      <formula>NOT(ISERROR(SEARCH("DESCANSO",DU30)))</formula>
    </cfRule>
    <cfRule type="containsText" dxfId="298" priority="844" operator="containsText" text="FALTOU">
      <formula>NOT(ISERROR(SEARCH("FALTOU",DU30)))</formula>
    </cfRule>
    <cfRule type="containsText" dxfId="297" priority="841" operator="containsText" text="FERIADO">
      <formula>NOT(ISERROR(SEARCH("FERIADO",DU30)))</formula>
    </cfRule>
  </conditionalFormatting>
  <conditionalFormatting sqref="DU31">
    <cfRule type="containsText" dxfId="296" priority="814" operator="containsText" text="FALTOU">
      <formula>NOT(ISERROR(SEARCH("FALTOU",DU31)))</formula>
    </cfRule>
    <cfRule type="containsText" dxfId="295" priority="813" operator="containsText" text="DESCANSO">
      <formula>NOT(ISERROR(SEARCH("DESCANSO",DU31)))</formula>
    </cfRule>
    <cfRule type="containsText" dxfId="294" priority="811" operator="containsText" text="FERIADO">
      <formula>NOT(ISERROR(SEARCH("FERIADO",DU31)))</formula>
    </cfRule>
    <cfRule type="containsText" dxfId="293" priority="812" operator="containsText" text="ATESTADO">
      <formula>NOT(ISERROR(SEARCH("ATESTADO",DU31)))</formula>
    </cfRule>
  </conditionalFormatting>
  <conditionalFormatting sqref="DU33">
    <cfRule type="containsText" dxfId="292" priority="796" operator="containsText" text="FALTOU">
      <formula>NOT(ISERROR(SEARCH("FALTOU",DU33)))</formula>
    </cfRule>
    <cfRule type="containsText" dxfId="291" priority="795" operator="containsText" text="DESCANSO">
      <formula>NOT(ISERROR(SEARCH("DESCANSO",DU33)))</formula>
    </cfRule>
    <cfRule type="containsText" dxfId="290" priority="794" operator="containsText" text="ATESTADO">
      <formula>NOT(ISERROR(SEARCH("ATESTADO",DU33)))</formula>
    </cfRule>
    <cfRule type="containsText" dxfId="289" priority="793" operator="containsText" text="FERIADO">
      <formula>NOT(ISERROR(SEARCH("FERIADO",DU33)))</formula>
    </cfRule>
  </conditionalFormatting>
  <conditionalFormatting sqref="DU33:DU34">
    <cfRule type="containsText" dxfId="288" priority="791" operator="containsText" text="DOMINGO">
      <formula>NOT(ISERROR(SEARCH("DOMINGO",DU33)))</formula>
    </cfRule>
    <cfRule type="containsText" dxfId="287" priority="792" operator="containsText" text="SÁBADO">
      <formula>NOT(ISERROR(SEARCH("SÁBADO",DU33)))</formula>
    </cfRule>
  </conditionalFormatting>
  <conditionalFormatting sqref="DU34 DS35:DU35">
    <cfRule type="containsText" dxfId="286" priority="832" operator="containsText" text="ATESTADO">
      <formula>NOT(ISERROR(SEARCH("ATESTADO",DS34)))</formula>
    </cfRule>
  </conditionalFormatting>
  <conditionalFormatting sqref="DU36:DU38">
    <cfRule type="containsText" dxfId="285" priority="745" operator="containsText" text="FERIADO">
      <formula>NOT(ISERROR(SEARCH("FERIADO",DU36)))</formula>
    </cfRule>
    <cfRule type="containsText" dxfId="284" priority="743" operator="containsText" text="DOMINGO">
      <formula>NOT(ISERROR(SEARCH("DOMINGO",DU36)))</formula>
    </cfRule>
    <cfRule type="containsText" dxfId="283" priority="747" operator="containsText" text="DESCANSO">
      <formula>NOT(ISERROR(SEARCH("DESCANSO",DU36)))</formula>
    </cfRule>
    <cfRule type="containsText" dxfId="282" priority="748" operator="containsText" text="FALTOU">
      <formula>NOT(ISERROR(SEARCH("FALTOU",DU36)))</formula>
    </cfRule>
    <cfRule type="containsText" dxfId="281" priority="746" operator="containsText" text="ATESTADO">
      <formula>NOT(ISERROR(SEARCH("ATESTADO",DU36)))</formula>
    </cfRule>
  </conditionalFormatting>
  <conditionalFormatting sqref="DU36:DU40">
    <cfRule type="containsText" dxfId="280" priority="702" operator="containsText" text="SÁBADO">
      <formula>NOT(ISERROR(SEARCH("SÁBADO",DU36)))</formula>
    </cfRule>
  </conditionalFormatting>
  <conditionalFormatting sqref="DU39">
    <cfRule type="containsText" dxfId="279" priority="713" operator="containsText" text="DOMINGO">
      <formula>NOT(ISERROR(SEARCH("DOMINGO",DU39)))</formula>
    </cfRule>
    <cfRule type="containsText" dxfId="278" priority="715" operator="containsText" text="FERIADO">
      <formula>NOT(ISERROR(SEARCH("FERIADO",DU39)))</formula>
    </cfRule>
    <cfRule type="containsText" dxfId="277" priority="716" operator="containsText" text="ATESTADO">
      <formula>NOT(ISERROR(SEARCH("ATESTADO",DU39)))</formula>
    </cfRule>
    <cfRule type="containsText" dxfId="276" priority="717" operator="containsText" text="DESCANSO">
      <formula>NOT(ISERROR(SEARCH("DESCANSO",DU39)))</formula>
    </cfRule>
    <cfRule type="containsText" dxfId="275" priority="718" operator="containsText" text="FALTOU">
      <formula>NOT(ISERROR(SEARCH("FALTOU",DU39)))</formula>
    </cfRule>
  </conditionalFormatting>
  <conditionalFormatting sqref="DU40">
    <cfRule type="containsText" dxfId="274" priority="704" operator="containsText" text="ATESTADO">
      <formula>NOT(ISERROR(SEARCH("ATESTADO",DU40)))</formula>
    </cfRule>
    <cfRule type="containsText" dxfId="273" priority="705" operator="containsText" text="DESCANSO">
      <formula>NOT(ISERROR(SEARCH("DESCANSO",DU40)))</formula>
    </cfRule>
    <cfRule type="containsText" dxfId="272" priority="706" operator="containsText" text="FALTOU">
      <formula>NOT(ISERROR(SEARCH("FALTOU",DU40)))</formula>
    </cfRule>
    <cfRule type="containsText" dxfId="271" priority="703" operator="containsText" text="FERIADO">
      <formula>NOT(ISERROR(SEARCH("FERIADO",DU40)))</formula>
    </cfRule>
    <cfRule type="containsText" dxfId="270" priority="701" operator="containsText" text="DOMINGO">
      <formula>NOT(ISERROR(SEARCH("DOMINGO",DU40)))</formula>
    </cfRule>
  </conditionalFormatting>
  <conditionalFormatting sqref="DU57:DU61">
    <cfRule type="containsText" dxfId="269" priority="700" operator="containsText" text="ATESTADO">
      <formula>NOT(ISERROR(SEARCH("ATESTADO",DU57)))</formula>
    </cfRule>
    <cfRule type="containsText" dxfId="268" priority="696" operator="containsText" text="SÁBADO">
      <formula>NOT(ISERROR(SEARCH("SÁBADO",DU57)))</formula>
    </cfRule>
    <cfRule type="containsText" dxfId="267" priority="697" operator="containsText" text="FERIADO">
      <formula>NOT(ISERROR(SEARCH("FERIADO",DU57)))</formula>
    </cfRule>
    <cfRule type="containsText" dxfId="266" priority="698" operator="containsText" text="DESCANSO">
      <formula>NOT(ISERROR(SEARCH("DESCANSO",DU57)))</formula>
    </cfRule>
    <cfRule type="containsText" dxfId="265" priority="695" operator="containsText" text="DOMINGO">
      <formula>NOT(ISERROR(SEARCH("DOMINGO",DU57)))</formula>
    </cfRule>
    <cfRule type="containsText" dxfId="264" priority="699" operator="containsText" text="FALTOU">
      <formula>NOT(ISERROR(SEARCH("FALTOU",DU57)))</formula>
    </cfRule>
  </conditionalFormatting>
  <conditionalFormatting sqref="DU64:DU67">
    <cfRule type="containsText" dxfId="263" priority="202" operator="containsText" text="DESCANSO">
      <formula>NOT(ISERROR(SEARCH("DESCANSO",DU64)))</formula>
    </cfRule>
    <cfRule type="containsText" dxfId="262" priority="203" operator="containsText" text="FALTOU">
      <formula>NOT(ISERROR(SEARCH("FALTOU",DU64)))</formula>
    </cfRule>
    <cfRule type="containsText" dxfId="261" priority="204" operator="containsText" text="ATESTADO">
      <formula>NOT(ISERROR(SEARCH("ATESTADO",DU64)))</formula>
    </cfRule>
    <cfRule type="containsText" dxfId="260" priority="201" operator="containsText" text="FERIADO">
      <formula>NOT(ISERROR(SEARCH("FERIADO",DU64)))</formula>
    </cfRule>
    <cfRule type="containsText" dxfId="259" priority="199" operator="containsText" text="DOMINGO">
      <formula>NOT(ISERROR(SEARCH("DOMINGO",DU64)))</formula>
    </cfRule>
  </conditionalFormatting>
  <conditionalFormatting sqref="DU64:DU68">
    <cfRule type="containsText" dxfId="258" priority="188" operator="containsText" text="SÁBADO">
      <formula>NOT(ISERROR(SEARCH("SÁBADO",DU64)))</formula>
    </cfRule>
  </conditionalFormatting>
  <conditionalFormatting sqref="DU68">
    <cfRule type="containsText" dxfId="257" priority="187" operator="containsText" text="DOMINGO">
      <formula>NOT(ISERROR(SEARCH("DOMINGO",DU68)))</formula>
    </cfRule>
    <cfRule type="containsText" dxfId="256" priority="192" operator="containsText" text="ATESTADO">
      <formula>NOT(ISERROR(SEARCH("ATESTADO",DU68)))</formula>
    </cfRule>
    <cfRule type="containsText" dxfId="255" priority="191" operator="containsText" text="FALTOU">
      <formula>NOT(ISERROR(SEARCH("FALTOU",DU68)))</formula>
    </cfRule>
    <cfRule type="containsText" dxfId="254" priority="190" operator="containsText" text="DESCANSO">
      <formula>NOT(ISERROR(SEARCH("DESCANSO",DU68)))</formula>
    </cfRule>
    <cfRule type="containsText" dxfId="253" priority="189" operator="containsText" text="FERIADO">
      <formula>NOT(ISERROR(SEARCH("FERIADO",DU68)))</formula>
    </cfRule>
  </conditionalFormatting>
  <conditionalFormatting sqref="DU77">
    <cfRule type="containsText" dxfId="252" priority="163" operator="containsText" text="DOMINGO">
      <formula>NOT(ISERROR(SEARCH("DOMINGO",DU77)))</formula>
    </cfRule>
    <cfRule type="containsText" dxfId="251" priority="166" operator="containsText" text="DESCANSO">
      <formula>NOT(ISERROR(SEARCH("DESCANSO",DU77)))</formula>
    </cfRule>
    <cfRule type="containsText" dxfId="250" priority="168" operator="containsText" text="ATESTADO">
      <formula>NOT(ISERROR(SEARCH("ATESTADO",DU77)))</formula>
    </cfRule>
    <cfRule type="containsText" dxfId="249" priority="167" operator="containsText" text="FALTOU">
      <formula>NOT(ISERROR(SEARCH("FALTOU",DU77)))</formula>
    </cfRule>
    <cfRule type="containsText" dxfId="248" priority="165" operator="containsText" text="FERIADO">
      <formula>NOT(ISERROR(SEARCH("FERIADO",DU77)))</formula>
    </cfRule>
  </conditionalFormatting>
  <conditionalFormatting sqref="DU77:DU78">
    <cfRule type="containsText" dxfId="247" priority="2" operator="containsText" text="SÁBADO">
      <formula>NOT(ISERROR(SEARCH("SÁBADO",DU77)))</formula>
    </cfRule>
  </conditionalFormatting>
  <conditionalFormatting sqref="DU78">
    <cfRule type="containsText" dxfId="246" priority="5" operator="containsText" text="FALTOU">
      <formula>NOT(ISERROR(SEARCH("FALTOU",DU78)))</formula>
    </cfRule>
    <cfRule type="containsText" dxfId="245" priority="6" operator="containsText" text="ATESTADO">
      <formula>NOT(ISERROR(SEARCH("ATESTADO",DU78)))</formula>
    </cfRule>
    <cfRule type="containsText" dxfId="244" priority="1" operator="containsText" text="DOMINGO">
      <formula>NOT(ISERROR(SEARCH("DOMINGO",DU78)))</formula>
    </cfRule>
    <cfRule type="containsText" dxfId="243" priority="3" operator="containsText" text="FERIADO">
      <formula>NOT(ISERROR(SEARCH("FERIADO",DU78)))</formula>
    </cfRule>
    <cfRule type="containsText" dxfId="242" priority="4" operator="containsText" text="DESCANSO">
      <formula>NOT(ISERROR(SEARCH("DESCANSO",DU78)))</formula>
    </cfRule>
  </conditionalFormatting>
  <conditionalFormatting sqref="DU80">
    <cfRule type="containsText" dxfId="241" priority="48" operator="containsText" text="ATESTADO">
      <formula>NOT(ISERROR(SEARCH("ATESTADO",DU80)))</formula>
    </cfRule>
    <cfRule type="containsText" dxfId="240" priority="47" operator="containsText" text="FALTOU">
      <formula>NOT(ISERROR(SEARCH("FALTOU",DU80)))</formula>
    </cfRule>
    <cfRule type="containsText" dxfId="239" priority="46" operator="containsText" text="DESCANSO">
      <formula>NOT(ISERROR(SEARCH("DESCANSO",DU80)))</formula>
    </cfRule>
    <cfRule type="containsText" dxfId="238" priority="43" operator="containsText" text="DOMINGO">
      <formula>NOT(ISERROR(SEARCH("DOMINGO",DU80)))</formula>
    </cfRule>
    <cfRule type="containsText" dxfId="237" priority="45" operator="containsText" text="FERIADO">
      <formula>NOT(ISERROR(SEARCH("FERIADO",DU80)))</formula>
    </cfRule>
  </conditionalFormatting>
  <conditionalFormatting sqref="DU80:DU84">
    <cfRule type="containsText" dxfId="236" priority="38" operator="containsText" text="SÁBADO">
      <formula>NOT(ISERROR(SEARCH("SÁBADO",DU80)))</formula>
    </cfRule>
  </conditionalFormatting>
  <conditionalFormatting sqref="DU81:DU84">
    <cfRule type="containsText" dxfId="235" priority="42" operator="containsText" text="ATESTADO">
      <formula>NOT(ISERROR(SEARCH("ATESTADO",DU81)))</formula>
    </cfRule>
    <cfRule type="containsText" dxfId="234" priority="41" operator="containsText" text="FALTOU">
      <formula>NOT(ISERROR(SEARCH("FALTOU",DU81)))</formula>
    </cfRule>
    <cfRule type="containsText" dxfId="233" priority="40" operator="containsText" text="DESCANSO">
      <formula>NOT(ISERROR(SEARCH("DESCANSO",DU81)))</formula>
    </cfRule>
    <cfRule type="containsText" dxfId="232" priority="39" operator="containsText" text="FERIADO">
      <formula>NOT(ISERROR(SEARCH("FERIADO",DU81)))</formula>
    </cfRule>
    <cfRule type="containsText" dxfId="231" priority="37" operator="containsText" text="DOMINGO">
      <formula>NOT(ISERROR(SEARCH("DOMINGO",DU81)))</formula>
    </cfRule>
  </conditionalFormatting>
  <conditionalFormatting sqref="DU87">
    <cfRule type="containsText" dxfId="230" priority="27" operator="containsText" text="FERIADO">
      <formula>NOT(ISERROR(SEARCH("FERIADO",DU87)))</formula>
    </cfRule>
    <cfRule type="containsText" dxfId="229" priority="28" operator="containsText" text="DESCANSO">
      <formula>NOT(ISERROR(SEARCH("DESCANSO",DU87)))</formula>
    </cfRule>
    <cfRule type="containsText" dxfId="228" priority="29" operator="containsText" text="FALTOU">
      <formula>NOT(ISERROR(SEARCH("FALTOU",DU87)))</formula>
    </cfRule>
    <cfRule type="containsText" dxfId="227" priority="30" operator="containsText" text="ATESTADO">
      <formula>NOT(ISERROR(SEARCH("ATESTADO",DU87)))</formula>
    </cfRule>
    <cfRule type="containsText" dxfId="226" priority="25" operator="containsText" text="DOMINGO">
      <formula>NOT(ISERROR(SEARCH("DOMINGO",DU87)))</formula>
    </cfRule>
  </conditionalFormatting>
  <conditionalFormatting sqref="DU87:DU91">
    <cfRule type="containsText" dxfId="225" priority="20" operator="containsText" text="SÁBADO">
      <formula>NOT(ISERROR(SEARCH("SÁBADO",DU87)))</formula>
    </cfRule>
  </conditionalFormatting>
  <conditionalFormatting sqref="DU88:DU91">
    <cfRule type="containsText" dxfId="224" priority="24" operator="containsText" text="ATESTADO">
      <formula>NOT(ISERROR(SEARCH("ATESTADO",DU88)))</formula>
    </cfRule>
    <cfRule type="containsText" dxfId="223" priority="23" operator="containsText" text="FALTOU">
      <formula>NOT(ISERROR(SEARCH("FALTOU",DU88)))</formula>
    </cfRule>
    <cfRule type="containsText" dxfId="222" priority="19" operator="containsText" text="DOMINGO">
      <formula>NOT(ISERROR(SEARCH("DOMINGO",DU88)))</formula>
    </cfRule>
    <cfRule type="containsText" dxfId="221" priority="21" operator="containsText" text="FERIADO">
      <formula>NOT(ISERROR(SEARCH("FERIADO",DU88)))</formula>
    </cfRule>
    <cfRule type="containsText" dxfId="220" priority="22" operator="containsText" text="DESCANSO">
      <formula>NOT(ISERROR(SEARCH("DESCANSO",DU88)))</formula>
    </cfRule>
  </conditionalFormatting>
  <conditionalFormatting sqref="DW32:DW46">
    <cfRule type="containsText" dxfId="219" priority="269" operator="containsText" text="FALTOU">
      <formula>NOT(ISERROR(SEARCH("FALTOU",DW32)))</formula>
    </cfRule>
    <cfRule type="containsText" dxfId="218" priority="270" operator="containsText" text="ATESTADO">
      <formula>NOT(ISERROR(SEARCH("ATESTADO",DW32)))</formula>
    </cfRule>
    <cfRule type="containsText" dxfId="217" priority="265" operator="containsText" text="DOMINGO">
      <formula>NOT(ISERROR(SEARCH("DOMINGO",DW32)))</formula>
    </cfRule>
    <cfRule type="containsText" dxfId="216" priority="266" operator="containsText" text="SÁBADO">
      <formula>NOT(ISERROR(SEARCH("SÁBADO",DW32)))</formula>
    </cfRule>
    <cfRule type="containsText" dxfId="215" priority="267" operator="containsText" text="FERIADO">
      <formula>NOT(ISERROR(SEARCH("FERIADO",DW32)))</formula>
    </cfRule>
    <cfRule type="containsText" dxfId="214" priority="268" operator="containsText" text="DESCANSO">
      <formula>NOT(ISERROR(SEARCH("DESCANSO",DW32)))</formula>
    </cfRule>
  </conditionalFormatting>
  <conditionalFormatting sqref="DW1:DX1">
    <cfRule type="containsText" dxfId="213" priority="453" operator="containsText" text="ATESTADO">
      <formula>NOT(ISERROR(SEARCH("ATESTADO",DW1)))</formula>
    </cfRule>
    <cfRule type="containsText" dxfId="212" priority="454" operator="containsText" text="DESCANSO">
      <formula>NOT(ISERROR(SEARCH("DESCANSO",DW1)))</formula>
    </cfRule>
    <cfRule type="containsText" dxfId="211" priority="455" operator="containsText" text="FALTOU">
      <formula>NOT(ISERROR(SEARCH("FALTOU",DW1)))</formula>
    </cfRule>
  </conditionalFormatting>
  <conditionalFormatting sqref="DW1:EB4 DW5:DX5 DW6:EB9 DW10:DX23 EB12 EB17:EB21 DW24:EA26 DW27:EB28 DW29:DX31 DX32:EB32 DX38:DZ38 DX39 DX40:DZ40 DX41:EB46 DW47:EB56 DW57:EA61 DW62:EB1048576">
    <cfRule type="containsText" dxfId="210" priority="459" operator="containsText" text="DESCANSO">
      <formula>NOT(ISERROR(SEARCH("DESCANSO",DW1)))</formula>
    </cfRule>
    <cfRule type="containsText" dxfId="209" priority="461" operator="containsText" text="ATESTADO">
      <formula>NOT(ISERROR(SEARCH("ATESTADO",DW1)))</formula>
    </cfRule>
  </conditionalFormatting>
  <conditionalFormatting sqref="DW1:EB4 DW62:EB1048576 DW24:EA26 DW5:DX5 DW6:EB9 DW10:DX23 EB12 EB17:EB21 DW27:EB28 DW29:DX31 DX32:EB32 DX38:DZ38 DX39 DX40:DZ40 DX41:EB46 DW47:EB56 DW57:EA61">
    <cfRule type="containsText" dxfId="208" priority="457" operator="containsText" text="SÁBADO">
      <formula>NOT(ISERROR(SEARCH("SÁBADO",DW1)))</formula>
    </cfRule>
  </conditionalFormatting>
  <conditionalFormatting sqref="DW27:EB28 DW1:EB4 DW6:EB9 DW5:DX5 EB12 EB17:EB21 DW10:DX23 DW24:EA26 DX32:EB32 DW29:DX31 DX38:DZ38 DX40:DZ40 DX39 DX41:EB46 DW57:EA61 DW47:EB56 DW62:EB1048576">
    <cfRule type="containsText" dxfId="207" priority="460" operator="containsText" text="FALTOU">
      <formula>NOT(ISERROR(SEARCH("FALTOU",DW1)))</formula>
    </cfRule>
    <cfRule type="containsText" dxfId="206" priority="456" operator="containsText" text="DOMINGO">
      <formula>NOT(ISERROR(SEARCH("DOMINGO",DW1)))</formula>
    </cfRule>
    <cfRule type="containsText" dxfId="205" priority="458" operator="containsText" text="FERIADO">
      <formula>NOT(ISERROR(SEARCH("FERIADO",DW1)))</formula>
    </cfRule>
  </conditionalFormatting>
  <conditionalFormatting sqref="DX33 DY35 DX36:DX37">
    <cfRule type="containsText" dxfId="204" priority="359" operator="containsText" text="FALTOU">
      <formula>NOT(ISERROR(SEARCH("FALTOU",DX33)))</formula>
    </cfRule>
    <cfRule type="containsText" dxfId="203" priority="355" operator="containsText" text="DOMINGO">
      <formula>NOT(ISERROR(SEARCH("DOMINGO",DX33)))</formula>
    </cfRule>
    <cfRule type="containsText" dxfId="202" priority="357" operator="containsText" text="FERIADO">
      <formula>NOT(ISERROR(SEARCH("FERIADO",DX33)))</formula>
    </cfRule>
    <cfRule type="containsText" dxfId="201" priority="360" operator="containsText" text="ATESTADO">
      <formula>NOT(ISERROR(SEARCH("ATESTADO",DX33)))</formula>
    </cfRule>
  </conditionalFormatting>
  <conditionalFormatting sqref="DX33:DX37">
    <cfRule type="containsText" dxfId="200" priority="272" operator="containsText" text="SÁBADO">
      <formula>NOT(ISERROR(SEARCH("SÁBADO",DX33)))</formula>
    </cfRule>
  </conditionalFormatting>
  <conditionalFormatting sqref="DX34">
    <cfRule type="containsText" dxfId="199" priority="316" operator="containsText" text="DESCANSO">
      <formula>NOT(ISERROR(SEARCH("DESCANSO",DX34)))</formula>
    </cfRule>
    <cfRule type="containsText" dxfId="198" priority="318" operator="containsText" text="ATESTADO">
      <formula>NOT(ISERROR(SEARCH("ATESTADO",DX34)))</formula>
    </cfRule>
    <cfRule type="containsText" dxfId="197" priority="315" operator="containsText" text="FERIADO">
      <formula>NOT(ISERROR(SEARCH("FERIADO",DX34)))</formula>
    </cfRule>
    <cfRule type="containsText" dxfId="196" priority="313" operator="containsText" text="DOMINGO">
      <formula>NOT(ISERROR(SEARCH("DOMINGO",DX34)))</formula>
    </cfRule>
    <cfRule type="containsText" dxfId="195" priority="317" operator="containsText" text="FALTOU">
      <formula>NOT(ISERROR(SEARCH("FALTOU",DX34)))</formula>
    </cfRule>
  </conditionalFormatting>
  <conditionalFormatting sqref="DX35">
    <cfRule type="containsText" dxfId="194" priority="273" operator="containsText" text="FERIADO">
      <formula>NOT(ISERROR(SEARCH("FERIADO",DX35)))</formula>
    </cfRule>
    <cfRule type="containsText" dxfId="193" priority="275" operator="containsText" text="FALTOU">
      <formula>NOT(ISERROR(SEARCH("FALTOU",DX35)))</formula>
    </cfRule>
    <cfRule type="containsText" dxfId="192" priority="271" operator="containsText" text="DOMINGO">
      <formula>NOT(ISERROR(SEARCH("DOMINGO",DX35)))</formula>
    </cfRule>
    <cfRule type="containsText" dxfId="191" priority="276" operator="containsText" text="ATESTADO">
      <formula>NOT(ISERROR(SEARCH("ATESTADO",DX35)))</formula>
    </cfRule>
    <cfRule type="containsText" dxfId="190" priority="274" operator="containsText" text="DESCANSO">
      <formula>NOT(ISERROR(SEARCH("DESCANSO",DX35)))</formula>
    </cfRule>
  </conditionalFormatting>
  <conditionalFormatting sqref="DY35 DX33 DX36:DX37">
    <cfRule type="containsText" dxfId="189" priority="358" operator="containsText" text="DESCANSO">
      <formula>NOT(ISERROR(SEARCH("DESCANSO",DX33)))</formula>
    </cfRule>
  </conditionalFormatting>
  <conditionalFormatting sqref="DY35">
    <cfRule type="containsText" dxfId="188" priority="356" operator="containsText" text="SÁBADO">
      <formula>NOT(ISERROR(SEARCH("SÁBADO",DY35)))</formula>
    </cfRule>
  </conditionalFormatting>
  <conditionalFormatting sqref="DY24:DZ24">
    <cfRule type="containsText" dxfId="187" priority="419" operator="containsText" text="DESCANSO">
      <formula>NOT(ISERROR(SEARCH("DESCANSO",DY24)))</formula>
    </cfRule>
    <cfRule type="containsText" dxfId="186" priority="417" operator="containsText" text="FERIADO">
      <formula>NOT(ISERROR(SEARCH("FERIADO",DY24)))</formula>
    </cfRule>
    <cfRule type="containsText" dxfId="185" priority="420" operator="containsText" text="FALTOU">
      <formula>NOT(ISERROR(SEARCH("FALTOU",DY24)))</formula>
    </cfRule>
    <cfRule type="containsText" dxfId="184" priority="415" operator="containsText" text="DOMINGO">
      <formula>NOT(ISERROR(SEARCH("DOMINGO",DY24)))</formula>
    </cfRule>
    <cfRule type="containsText" dxfId="183" priority="418" operator="containsText" text="ATESTADO">
      <formula>NOT(ISERROR(SEARCH("ATESTADO",DY24)))</formula>
    </cfRule>
  </conditionalFormatting>
  <conditionalFormatting sqref="DY24:DZ26">
    <cfRule type="containsText" dxfId="182" priority="404" operator="containsText" text="SÁBADO">
      <formula>NOT(ISERROR(SEARCH("SÁBADO",DY24)))</formula>
    </cfRule>
  </conditionalFormatting>
  <conditionalFormatting sqref="DY25:DZ25">
    <cfRule type="containsText" dxfId="181" priority="409" operator="containsText" text="DOMINGO">
      <formula>NOT(ISERROR(SEARCH("DOMINGO",DY25)))</formula>
    </cfRule>
    <cfRule type="containsText" dxfId="180" priority="413" operator="containsText" text="DESCANSO">
      <formula>NOT(ISERROR(SEARCH("DESCANSO",DY25)))</formula>
    </cfRule>
    <cfRule type="containsText" dxfId="179" priority="412" operator="containsText" text="ATESTADO">
      <formula>NOT(ISERROR(SEARCH("ATESTADO",DY25)))</formula>
    </cfRule>
    <cfRule type="containsText" dxfId="178" priority="411" operator="containsText" text="FERIADO">
      <formula>NOT(ISERROR(SEARCH("FERIADO",DY25)))</formula>
    </cfRule>
    <cfRule type="containsText" dxfId="177" priority="414" operator="containsText" text="FALTOU">
      <formula>NOT(ISERROR(SEARCH("FALTOU",DY25)))</formula>
    </cfRule>
  </conditionalFormatting>
  <conditionalFormatting sqref="DY26:DZ26">
    <cfRule type="containsText" dxfId="176" priority="407" operator="containsText" text="DESCANSO">
      <formula>NOT(ISERROR(SEARCH("DESCANSO",DY26)))</formula>
    </cfRule>
    <cfRule type="containsText" dxfId="175" priority="406" operator="containsText" text="ATESTADO">
      <formula>NOT(ISERROR(SEARCH("ATESTADO",DY26)))</formula>
    </cfRule>
    <cfRule type="containsText" dxfId="174" priority="405" operator="containsText" text="FERIADO">
      <formula>NOT(ISERROR(SEARCH("FERIADO",DY26)))</formula>
    </cfRule>
    <cfRule type="containsText" dxfId="173" priority="408" operator="containsText" text="FALTOU">
      <formula>NOT(ISERROR(SEARCH("FALTOU",DY26)))</formula>
    </cfRule>
    <cfRule type="containsText" dxfId="172" priority="403" operator="containsText" text="DOMINGO">
      <formula>NOT(ISERROR(SEARCH("DOMINGO",DY26)))</formula>
    </cfRule>
  </conditionalFormatting>
  <conditionalFormatting sqref="DY29:DZ29">
    <cfRule type="containsText" dxfId="171" priority="390" operator="containsText" text="FALTOU">
      <formula>NOT(ISERROR(SEARCH("FALTOU",DY29)))</formula>
    </cfRule>
    <cfRule type="containsText" dxfId="170" priority="389" operator="containsText" text="DESCANSO">
      <formula>NOT(ISERROR(SEARCH("DESCANSO",DY29)))</formula>
    </cfRule>
    <cfRule type="containsText" dxfId="169" priority="388" operator="containsText" text="ATESTADO">
      <formula>NOT(ISERROR(SEARCH("ATESTADO",DY29)))</formula>
    </cfRule>
    <cfRule type="containsText" dxfId="168" priority="385" operator="containsText" text="DOMINGO">
      <formula>NOT(ISERROR(SEARCH("DOMINGO",DY29)))</formula>
    </cfRule>
    <cfRule type="containsText" dxfId="167" priority="387" operator="containsText" text="FERIADO">
      <formula>NOT(ISERROR(SEARCH("FERIADO",DY29)))</formula>
    </cfRule>
  </conditionalFormatting>
  <conditionalFormatting sqref="DY29:DZ31">
    <cfRule type="containsText" dxfId="166" priority="338" operator="containsText" text="SÁBADO">
      <formula>NOT(ISERROR(SEARCH("SÁBADO",DY29)))</formula>
    </cfRule>
  </conditionalFormatting>
  <conditionalFormatting sqref="DY30:DZ30">
    <cfRule type="containsText" dxfId="165" priority="370" operator="containsText" text="ATESTADO">
      <formula>NOT(ISERROR(SEARCH("ATESTADO",DY30)))</formula>
    </cfRule>
    <cfRule type="containsText" dxfId="164" priority="371" operator="containsText" text="DESCANSO">
      <formula>NOT(ISERROR(SEARCH("DESCANSO",DY30)))</formula>
    </cfRule>
    <cfRule type="containsText" dxfId="163" priority="372" operator="containsText" text="FALTOU">
      <formula>NOT(ISERROR(SEARCH("FALTOU",DY30)))</formula>
    </cfRule>
    <cfRule type="containsText" dxfId="162" priority="369" operator="containsText" text="FERIADO">
      <formula>NOT(ISERROR(SEARCH("FERIADO",DY30)))</formula>
    </cfRule>
    <cfRule type="containsText" dxfId="161" priority="367" operator="containsText" text="DOMINGO">
      <formula>NOT(ISERROR(SEARCH("DOMINGO",DY30)))</formula>
    </cfRule>
  </conditionalFormatting>
  <conditionalFormatting sqref="DY31:DZ31">
    <cfRule type="containsText" dxfId="160" priority="340" operator="containsText" text="ATESTADO">
      <formula>NOT(ISERROR(SEARCH("ATESTADO",DY31)))</formula>
    </cfRule>
    <cfRule type="containsText" dxfId="159" priority="339" operator="containsText" text="FERIADO">
      <formula>NOT(ISERROR(SEARCH("FERIADO",DY31)))</formula>
    </cfRule>
    <cfRule type="containsText" dxfId="158" priority="337" operator="containsText" text="DOMINGO">
      <formula>NOT(ISERROR(SEARCH("DOMINGO",DY31)))</formula>
    </cfRule>
    <cfRule type="containsText" dxfId="157" priority="342" operator="containsText" text="FALTOU">
      <formula>NOT(ISERROR(SEARCH("FALTOU",DY31)))</formula>
    </cfRule>
    <cfRule type="containsText" dxfId="156" priority="341" operator="containsText" text="DESCANSO">
      <formula>NOT(ISERROR(SEARCH("DESCANSO",DY31)))</formula>
    </cfRule>
  </conditionalFormatting>
  <conditionalFormatting sqref="DY33:DZ33">
    <cfRule type="containsText" dxfId="155" priority="323" operator="containsText" text="DESCANSO">
      <formula>NOT(ISERROR(SEARCH("DESCANSO",DY33)))</formula>
    </cfRule>
    <cfRule type="containsText" dxfId="154" priority="322" operator="containsText" text="ATESTADO">
      <formula>NOT(ISERROR(SEARCH("ATESTADO",DY33)))</formula>
    </cfRule>
    <cfRule type="containsText" dxfId="153" priority="324" operator="containsText" text="FALTOU">
      <formula>NOT(ISERROR(SEARCH("FALTOU",DY33)))</formula>
    </cfRule>
    <cfRule type="containsText" dxfId="152" priority="319" operator="containsText" text="DOMINGO">
      <formula>NOT(ISERROR(SEARCH("DOMINGO",DY33)))</formula>
    </cfRule>
    <cfRule type="containsText" dxfId="151" priority="321" operator="containsText" text="FERIADO">
      <formula>NOT(ISERROR(SEARCH("FERIADO",DY33)))</formula>
    </cfRule>
  </conditionalFormatting>
  <conditionalFormatting sqref="DY33:DZ34">
    <cfRule type="containsText" dxfId="150" priority="302" operator="containsText" text="SÁBADO">
      <formula>NOT(ISERROR(SEARCH("SÁBADO",DY33)))</formula>
    </cfRule>
  </conditionalFormatting>
  <conditionalFormatting sqref="DY34:DZ34">
    <cfRule type="containsText" dxfId="149" priority="301" operator="containsText" text="DOMINGO">
      <formula>NOT(ISERROR(SEARCH("DOMINGO",DY34)))</formula>
    </cfRule>
    <cfRule type="containsText" dxfId="148" priority="303" operator="containsText" text="FERIADO">
      <formula>NOT(ISERROR(SEARCH("FERIADO",DY34)))</formula>
    </cfRule>
    <cfRule type="containsText" dxfId="147" priority="304" operator="containsText" text="ATESTADO">
      <formula>NOT(ISERROR(SEARCH("ATESTADO",DY34)))</formula>
    </cfRule>
    <cfRule type="containsText" dxfId="146" priority="306" operator="containsText" text="FALTOU">
      <formula>NOT(ISERROR(SEARCH("FALTOU",DY34)))</formula>
    </cfRule>
    <cfRule type="containsText" dxfId="145" priority="305" operator="containsText" text="DESCANSO">
      <formula>NOT(ISERROR(SEARCH("DESCANSO",DY34)))</formula>
    </cfRule>
  </conditionalFormatting>
  <conditionalFormatting sqref="DY36:DZ37">
    <cfRule type="containsText" dxfId="144" priority="292" operator="containsText" text="DESCANSO">
      <formula>NOT(ISERROR(SEARCH("DESCANSO",DY36)))</formula>
    </cfRule>
    <cfRule type="containsText" dxfId="143" priority="293" operator="containsText" text="FALTOU">
      <formula>NOT(ISERROR(SEARCH("FALTOU",DY36)))</formula>
    </cfRule>
    <cfRule type="containsText" dxfId="142" priority="294" operator="containsText" text="ATESTADO">
      <formula>NOT(ISERROR(SEARCH("ATESTADO",DY36)))</formula>
    </cfRule>
    <cfRule type="containsText" dxfId="141" priority="291" operator="containsText" text="FERIADO">
      <formula>NOT(ISERROR(SEARCH("FERIADO",DY36)))</formula>
    </cfRule>
    <cfRule type="containsText" dxfId="140" priority="283" operator="containsText" text="DOMINGO">
      <formula>NOT(ISERROR(SEARCH("DOMINGO",DY36)))</formula>
    </cfRule>
    <cfRule type="containsText" dxfId="139" priority="285" operator="containsText" text="FERIADO">
      <formula>NOT(ISERROR(SEARCH("FERIADO",DY36)))</formula>
    </cfRule>
    <cfRule type="containsText" dxfId="138" priority="284" operator="containsText" text="SÁBADO">
      <formula>NOT(ISERROR(SEARCH("SÁBADO",DY36)))</formula>
    </cfRule>
    <cfRule type="containsText" dxfId="137" priority="286" operator="containsText" text="ATESTADO">
      <formula>NOT(ISERROR(SEARCH("ATESTADO",DY36)))</formula>
    </cfRule>
    <cfRule type="containsText" dxfId="136" priority="287" operator="containsText" text="DESCANSO">
      <formula>NOT(ISERROR(SEARCH("DESCANSO",DY36)))</formula>
    </cfRule>
    <cfRule type="containsText" dxfId="135" priority="288" operator="containsText" text="FALTOU">
      <formula>NOT(ISERROR(SEARCH("FALTOU",DY36)))</formula>
    </cfRule>
    <cfRule type="containsText" dxfId="134" priority="289" operator="containsText" text="DOMINGO">
      <formula>NOT(ISERROR(SEARCH("DOMINGO",DY36)))</formula>
    </cfRule>
    <cfRule type="containsText" dxfId="133" priority="290" operator="containsText" text="SÁBADO">
      <formula>NOT(ISERROR(SEARCH("SÁBADO",DY36)))</formula>
    </cfRule>
  </conditionalFormatting>
  <conditionalFormatting sqref="DY39:DZ39">
    <cfRule type="containsText" dxfId="132" priority="259" operator="containsText" text="DOMINGO">
      <formula>NOT(ISERROR(SEARCH("DOMINGO",DY39)))</formula>
    </cfRule>
    <cfRule type="containsText" dxfId="131" priority="260" operator="containsText" text="SÁBADO">
      <formula>NOT(ISERROR(SEARCH("SÁBADO",DY39)))</formula>
    </cfRule>
    <cfRule type="containsText" dxfId="130" priority="261" operator="containsText" text="FERIADO">
      <formula>NOT(ISERROR(SEARCH("FERIADO",DY39)))</formula>
    </cfRule>
    <cfRule type="containsText" dxfId="129" priority="262" operator="containsText" text="DESCANSO">
      <formula>NOT(ISERROR(SEARCH("DESCANSO",DY39)))</formula>
    </cfRule>
    <cfRule type="containsText" dxfId="128" priority="263" operator="containsText" text="FALTOU">
      <formula>NOT(ISERROR(SEARCH("FALTOU",DY39)))</formula>
    </cfRule>
    <cfRule type="containsText" dxfId="127" priority="264" operator="containsText" text="ATESTADO">
      <formula>NOT(ISERROR(SEARCH("ATESTADO",DY39)))</formula>
    </cfRule>
  </conditionalFormatting>
  <conditionalFormatting sqref="DY10:EA21">
    <cfRule type="containsText" dxfId="126" priority="441" operator="containsText" text="FERIADO">
      <formula>NOT(ISERROR(SEARCH("FERIADO",DY10)))</formula>
    </cfRule>
    <cfRule type="containsText" dxfId="125" priority="440" operator="containsText" text="SÁBADO">
      <formula>NOT(ISERROR(SEARCH("SÁBADO",DY10)))</formula>
    </cfRule>
    <cfRule type="containsText" dxfId="124" priority="439" operator="containsText" text="DOMINGO">
      <formula>NOT(ISERROR(SEARCH("DOMINGO",DY10)))</formula>
    </cfRule>
    <cfRule type="containsText" dxfId="123" priority="442" operator="containsText" text="DESCANSO">
      <formula>NOT(ISERROR(SEARCH("DESCANSO",DY10)))</formula>
    </cfRule>
    <cfRule type="containsText" dxfId="122" priority="443" operator="containsText" text="FALTOU">
      <formula>NOT(ISERROR(SEARCH("FALTOU",DY10)))</formula>
    </cfRule>
    <cfRule type="containsText" dxfId="121" priority="444" operator="containsText" text="ATESTADO">
      <formula>NOT(ISERROR(SEARCH("ATESTADO",DY10)))</formula>
    </cfRule>
  </conditionalFormatting>
  <conditionalFormatting sqref="DY29:EA29">
    <cfRule type="containsText" dxfId="120" priority="398" operator="containsText" text="SÁBADO">
      <formula>NOT(ISERROR(SEARCH("SÁBADO",DY29)))</formula>
    </cfRule>
    <cfRule type="containsText" dxfId="119" priority="397" operator="containsText" text="DOMINGO">
      <formula>NOT(ISERROR(SEARCH("DOMINGO",DY29)))</formula>
    </cfRule>
    <cfRule type="containsText" dxfId="118" priority="402" operator="containsText" text="ATESTADO">
      <formula>NOT(ISERROR(SEARCH("ATESTADO",DY29)))</formula>
    </cfRule>
    <cfRule type="containsText" dxfId="117" priority="401" operator="containsText" text="FALTOU">
      <formula>NOT(ISERROR(SEARCH("FALTOU",DY29)))</formula>
    </cfRule>
    <cfRule type="containsText" dxfId="116" priority="400" operator="containsText" text="DESCANSO">
      <formula>NOT(ISERROR(SEARCH("DESCANSO",DY29)))</formula>
    </cfRule>
    <cfRule type="containsText" dxfId="115" priority="399" operator="containsText" text="FERIADO">
      <formula>NOT(ISERROR(SEARCH("FERIADO",DY29)))</formula>
    </cfRule>
  </conditionalFormatting>
  <conditionalFormatting sqref="DY30:EA30">
    <cfRule type="containsText" dxfId="114" priority="384" operator="containsText" text="ATESTADO">
      <formula>NOT(ISERROR(SEARCH("ATESTADO",DY30)))</formula>
    </cfRule>
    <cfRule type="containsText" dxfId="113" priority="379" operator="containsText" text="DOMINGO">
      <formula>NOT(ISERROR(SEARCH("DOMINGO",DY30)))</formula>
    </cfRule>
    <cfRule type="containsText" dxfId="112" priority="380" operator="containsText" text="SÁBADO">
      <formula>NOT(ISERROR(SEARCH("SÁBADO",DY30)))</formula>
    </cfRule>
    <cfRule type="containsText" dxfId="111" priority="381" operator="containsText" text="FERIADO">
      <formula>NOT(ISERROR(SEARCH("FERIADO",DY30)))</formula>
    </cfRule>
    <cfRule type="containsText" dxfId="110" priority="382" operator="containsText" text="DESCANSO">
      <formula>NOT(ISERROR(SEARCH("DESCANSO",DY30)))</formula>
    </cfRule>
    <cfRule type="containsText" dxfId="109" priority="383" operator="containsText" text="FALTOU">
      <formula>NOT(ISERROR(SEARCH("FALTOU",DY30)))</formula>
    </cfRule>
  </conditionalFormatting>
  <conditionalFormatting sqref="DY31:EA31">
    <cfRule type="containsText" dxfId="108" priority="353" operator="containsText" text="FALTOU">
      <formula>NOT(ISERROR(SEARCH("FALTOU",DY31)))</formula>
    </cfRule>
    <cfRule type="containsText" dxfId="107" priority="354" operator="containsText" text="ATESTADO">
      <formula>NOT(ISERROR(SEARCH("ATESTADO",DY31)))</formula>
    </cfRule>
    <cfRule type="containsText" dxfId="106" priority="352" operator="containsText" text="DESCANSO">
      <formula>NOT(ISERROR(SEARCH("DESCANSO",DY31)))</formula>
    </cfRule>
    <cfRule type="containsText" dxfId="105" priority="349" operator="containsText" text="DOMINGO">
      <formula>NOT(ISERROR(SEARCH("DOMINGO",DY31)))</formula>
    </cfRule>
    <cfRule type="containsText" dxfId="104" priority="350" operator="containsText" text="SÁBADO">
      <formula>NOT(ISERROR(SEARCH("SÁBADO",DY31)))</formula>
    </cfRule>
    <cfRule type="containsText" dxfId="103" priority="351" operator="containsText" text="FERIADO">
      <formula>NOT(ISERROR(SEARCH("FERIADO",DY31)))</formula>
    </cfRule>
  </conditionalFormatting>
  <conditionalFormatting sqref="DY33:EA33">
    <cfRule type="containsText" dxfId="102" priority="336" operator="containsText" text="ATESTADO">
      <formula>NOT(ISERROR(SEARCH("ATESTADO",DY33)))</formula>
    </cfRule>
    <cfRule type="containsText" dxfId="101" priority="335" operator="containsText" text="FALTOU">
      <formula>NOT(ISERROR(SEARCH("FALTOU",DY33)))</formula>
    </cfRule>
    <cfRule type="containsText" dxfId="100" priority="334" operator="containsText" text="DESCANSO">
      <formula>NOT(ISERROR(SEARCH("DESCANSO",DY33)))</formula>
    </cfRule>
    <cfRule type="containsText" dxfId="99" priority="332" operator="containsText" text="SÁBADO">
      <formula>NOT(ISERROR(SEARCH("SÁBADO",DY33)))</formula>
    </cfRule>
    <cfRule type="containsText" dxfId="98" priority="333" operator="containsText" text="FERIADO">
      <formula>NOT(ISERROR(SEARCH("FERIADO",DY33)))</formula>
    </cfRule>
    <cfRule type="containsText" dxfId="97" priority="331" operator="containsText" text="DOMINGO">
      <formula>NOT(ISERROR(SEARCH("DOMINGO",DY33)))</formula>
    </cfRule>
  </conditionalFormatting>
  <conditionalFormatting sqref="DY34:EA34">
    <cfRule type="containsText" dxfId="96" priority="308" operator="containsText" text="SÁBADO">
      <formula>NOT(ISERROR(SEARCH("SÁBADO",DY34)))</formula>
    </cfRule>
    <cfRule type="containsText" dxfId="95" priority="309" operator="containsText" text="FERIADO">
      <formula>NOT(ISERROR(SEARCH("FERIADO",DY34)))</formula>
    </cfRule>
    <cfRule type="containsText" dxfId="94" priority="310" operator="containsText" text="DESCANSO">
      <formula>NOT(ISERROR(SEARCH("DESCANSO",DY34)))</formula>
    </cfRule>
    <cfRule type="containsText" dxfId="93" priority="311" operator="containsText" text="FALTOU">
      <formula>NOT(ISERROR(SEARCH("FALTOU",DY34)))</formula>
    </cfRule>
    <cfRule type="containsText" dxfId="92" priority="312" operator="containsText" text="ATESTADO">
      <formula>NOT(ISERROR(SEARCH("ATESTADO",DY34)))</formula>
    </cfRule>
    <cfRule type="containsText" dxfId="91" priority="307" operator="containsText" text="DOMINGO">
      <formula>NOT(ISERROR(SEARCH("DOMINGO",DY34)))</formula>
    </cfRule>
  </conditionalFormatting>
  <conditionalFormatting sqref="DY1:EB1">
    <cfRule type="containsText" dxfId="90" priority="449" operator="containsText" text="DESCANSO">
      <formula>NOT(ISERROR(SEARCH("DESCANSO",DY1)))</formula>
    </cfRule>
    <cfRule type="containsText" dxfId="89" priority="450" operator="containsText" text="FALTOU">
      <formula>NOT(ISERROR(SEARCH("FALTOU",DY1)))</formula>
    </cfRule>
  </conditionalFormatting>
  <conditionalFormatting sqref="DY22:EB22">
    <cfRule type="containsText" dxfId="88" priority="433" operator="containsText" text="DOMINGO">
      <formula>NOT(ISERROR(SEARCH("DOMINGO",DY22)))</formula>
    </cfRule>
    <cfRule type="containsText" dxfId="87" priority="435" operator="containsText" text="FERIADO">
      <formula>NOT(ISERROR(SEARCH("FERIADO",DY22)))</formula>
    </cfRule>
    <cfRule type="containsText" dxfId="86" priority="436" operator="containsText" text="ATESTADO">
      <formula>NOT(ISERROR(SEARCH("ATESTADO",DY22)))</formula>
    </cfRule>
    <cfRule type="containsText" dxfId="85" priority="438" operator="containsText" text="FALTOU">
      <formula>NOT(ISERROR(SEARCH("FALTOU",DY22)))</formula>
    </cfRule>
    <cfRule type="containsText" dxfId="84" priority="437" operator="containsText" text="DESCANSO">
      <formula>NOT(ISERROR(SEARCH("DESCANSO",DY22)))</formula>
    </cfRule>
  </conditionalFormatting>
  <conditionalFormatting sqref="DY22:EB23">
    <cfRule type="containsText" dxfId="83" priority="428" operator="containsText" text="SÁBADO">
      <formula>NOT(ISERROR(SEARCH("SÁBADO",DY22)))</formula>
    </cfRule>
  </conditionalFormatting>
  <conditionalFormatting sqref="DY23:EB23">
    <cfRule type="containsText" dxfId="82" priority="432" operator="containsText" text="FALTOU">
      <formula>NOT(ISERROR(SEARCH("FALTOU",DY23)))</formula>
    </cfRule>
    <cfRule type="containsText" dxfId="81" priority="427" operator="containsText" text="DOMINGO">
      <formula>NOT(ISERROR(SEARCH("DOMINGO",DY23)))</formula>
    </cfRule>
    <cfRule type="containsText" dxfId="80" priority="429" operator="containsText" text="FERIADO">
      <formula>NOT(ISERROR(SEARCH("FERIADO",DY23)))</formula>
    </cfRule>
    <cfRule type="containsText" dxfId="79" priority="430" operator="containsText" text="ATESTADO">
      <formula>NOT(ISERROR(SEARCH("ATESTADO",DY23)))</formula>
    </cfRule>
    <cfRule type="containsText" dxfId="78" priority="431" operator="containsText" text="DESCANSO">
      <formula>NOT(ISERROR(SEARCH("DESCANSO",DY23)))</formula>
    </cfRule>
  </conditionalFormatting>
  <conditionalFormatting sqref="DY322:EB322">
    <cfRule type="containsText" dxfId="77" priority="451" operator="containsText" text="DESCANSO">
      <formula>NOT(ISERROR(SEARCH("DESCANSO",DY322)))</formula>
    </cfRule>
    <cfRule type="containsText" dxfId="76" priority="452" operator="containsText" text="FALTOU">
      <formula>NOT(ISERROR(SEARCH("FALTOU",DY322)))</formula>
    </cfRule>
  </conditionalFormatting>
  <conditionalFormatting sqref="DZ35:EB35 EB34">
    <cfRule type="containsText" dxfId="75" priority="361" operator="containsText" text="DOMINGO">
      <formula>NOT(ISERROR(SEARCH("DOMINGO",DZ34)))</formula>
    </cfRule>
    <cfRule type="containsText" dxfId="74" priority="364" operator="containsText" text="DESCANSO">
      <formula>NOT(ISERROR(SEARCH("DESCANSO",DZ34)))</formula>
    </cfRule>
    <cfRule type="containsText" dxfId="73" priority="365" operator="containsText" text="FALTOU">
      <formula>NOT(ISERROR(SEARCH("FALTOU",DZ34)))</formula>
    </cfRule>
    <cfRule type="containsText" dxfId="72" priority="363" operator="containsText" text="FERIADO">
      <formula>NOT(ISERROR(SEARCH("FERIADO",DZ34)))</formula>
    </cfRule>
  </conditionalFormatting>
  <conditionalFormatting sqref="DZ35:EB35">
    <cfRule type="containsText" dxfId="71" priority="362" operator="containsText" text="SÁBADO">
      <formula>NOT(ISERROR(SEARCH("SÁBADO",DZ35)))</formula>
    </cfRule>
  </conditionalFormatting>
  <conditionalFormatting sqref="DZ314:EB314">
    <cfRule type="containsText" dxfId="70" priority="445" operator="containsText" text="DESCANSO">
      <formula>NOT(ISERROR(SEARCH("DESCANSO",DZ314)))</formula>
    </cfRule>
    <cfRule type="containsText" dxfId="69" priority="446" operator="containsText" text="FALTOU">
      <formula>NOT(ISERROR(SEARCH("FALTOU",DZ314)))</formula>
    </cfRule>
    <cfRule type="containsText" dxfId="68" priority="447" operator="containsText" text="DESCANSO">
      <formula>NOT(ISERROR(SEARCH("DESCANSO",DZ314)))</formula>
    </cfRule>
    <cfRule type="containsText" dxfId="67" priority="448" operator="containsText" text="FALTOU">
      <formula>NOT(ISERROR(SEARCH("FALTOU",DZ314)))</formula>
    </cfRule>
  </conditionalFormatting>
  <conditionalFormatting sqref="EA36:EA38">
    <cfRule type="containsText" dxfId="66" priority="295" operator="containsText" text="DOMINGO">
      <formula>NOT(ISERROR(SEARCH("DOMINGO",EA36)))</formula>
    </cfRule>
    <cfRule type="containsText" dxfId="65" priority="300" operator="containsText" text="ATESTADO">
      <formula>NOT(ISERROR(SEARCH("ATESTADO",EA36)))</formula>
    </cfRule>
    <cfRule type="containsText" dxfId="64" priority="299" operator="containsText" text="FALTOU">
      <formula>NOT(ISERROR(SEARCH("FALTOU",EA36)))</formula>
    </cfRule>
    <cfRule type="containsText" dxfId="63" priority="298" operator="containsText" text="DESCANSO">
      <formula>NOT(ISERROR(SEARCH("DESCANSO",EA36)))</formula>
    </cfRule>
    <cfRule type="containsText" dxfId="62" priority="297" operator="containsText" text="FERIADO">
      <formula>NOT(ISERROR(SEARCH("FERIADO",EA36)))</formula>
    </cfRule>
  </conditionalFormatting>
  <conditionalFormatting sqref="EA36:EA40">
    <cfRule type="containsText" dxfId="61" priority="242" operator="containsText" text="SÁBADO">
      <formula>NOT(ISERROR(SEARCH("SÁBADO",EA36)))</formula>
    </cfRule>
  </conditionalFormatting>
  <conditionalFormatting sqref="EA39">
    <cfRule type="containsText" dxfId="60" priority="255" operator="containsText" text="FERIADO">
      <formula>NOT(ISERROR(SEARCH("FERIADO",EA39)))</formula>
    </cfRule>
    <cfRule type="containsText" dxfId="59" priority="256" operator="containsText" text="DESCANSO">
      <formula>NOT(ISERROR(SEARCH("DESCANSO",EA39)))</formula>
    </cfRule>
    <cfRule type="containsText" dxfId="58" priority="257" operator="containsText" text="FALTOU">
      <formula>NOT(ISERROR(SEARCH("FALTOU",EA39)))</formula>
    </cfRule>
    <cfRule type="containsText" dxfId="57" priority="258" operator="containsText" text="ATESTADO">
      <formula>NOT(ISERROR(SEARCH("ATESTADO",EA39)))</formula>
    </cfRule>
    <cfRule type="containsText" dxfId="56" priority="253" operator="containsText" text="DOMINGO">
      <formula>NOT(ISERROR(SEARCH("DOMINGO",EA39)))</formula>
    </cfRule>
  </conditionalFormatting>
  <conditionalFormatting sqref="EA40">
    <cfRule type="containsText" dxfId="55" priority="243" operator="containsText" text="FERIADO">
      <formula>NOT(ISERROR(SEARCH("FERIADO",EA40)))</formula>
    </cfRule>
    <cfRule type="containsText" dxfId="54" priority="246" operator="containsText" text="ATESTADO">
      <formula>NOT(ISERROR(SEARCH("ATESTADO",EA40)))</formula>
    </cfRule>
    <cfRule type="containsText" dxfId="53" priority="241" operator="containsText" text="DOMINGO">
      <formula>NOT(ISERROR(SEARCH("DOMINGO",EA40)))</formula>
    </cfRule>
    <cfRule type="containsText" dxfId="52" priority="245" operator="containsText" text="FALTOU">
      <formula>NOT(ISERROR(SEARCH("FALTOU",EA40)))</formula>
    </cfRule>
    <cfRule type="containsText" dxfId="51" priority="244" operator="containsText" text="DESCANSO">
      <formula>NOT(ISERROR(SEARCH("DESCANSO",EA40)))</formula>
    </cfRule>
  </conditionalFormatting>
  <conditionalFormatting sqref="EB24:EB26">
    <cfRule type="containsText" dxfId="50" priority="421" operator="containsText" text="DOMINGO">
      <formula>NOT(ISERROR(SEARCH("DOMINGO",EB24)))</formula>
    </cfRule>
    <cfRule type="containsText" dxfId="49" priority="426" operator="containsText" text="FALTOU">
      <formula>NOT(ISERROR(SEARCH("FALTOU",EB24)))</formula>
    </cfRule>
    <cfRule type="containsText" dxfId="48" priority="425" operator="containsText" text="DESCANSO">
      <formula>NOT(ISERROR(SEARCH("DESCANSO",EB24)))</formula>
    </cfRule>
    <cfRule type="containsText" dxfId="47" priority="424" operator="containsText" text="ATESTADO">
      <formula>NOT(ISERROR(SEARCH("ATESTADO",EB24)))</formula>
    </cfRule>
    <cfRule type="containsText" dxfId="46" priority="423" operator="containsText" text="FERIADO">
      <formula>NOT(ISERROR(SEARCH("FERIADO",EB24)))</formula>
    </cfRule>
    <cfRule type="containsText" dxfId="45" priority="422" operator="containsText" text="SÁBADO">
      <formula>NOT(ISERROR(SEARCH("SÁBADO",EB24)))</formula>
    </cfRule>
  </conditionalFormatting>
  <conditionalFormatting sqref="EB29">
    <cfRule type="containsText" dxfId="44" priority="395" operator="containsText" text="DESCANSO">
      <formula>NOT(ISERROR(SEARCH("DESCANSO",EB29)))</formula>
    </cfRule>
    <cfRule type="containsText" dxfId="43" priority="394" operator="containsText" text="ATESTADO">
      <formula>NOT(ISERROR(SEARCH("ATESTADO",EB29)))</formula>
    </cfRule>
    <cfRule type="containsText" dxfId="42" priority="393" operator="containsText" text="FERIADO">
      <formula>NOT(ISERROR(SEARCH("FERIADO",EB29)))</formula>
    </cfRule>
    <cfRule type="containsText" dxfId="41" priority="391" operator="containsText" text="DOMINGO">
      <formula>NOT(ISERROR(SEARCH("DOMINGO",EB29)))</formula>
    </cfRule>
    <cfRule type="containsText" dxfId="40" priority="396" operator="containsText" text="FALTOU">
      <formula>NOT(ISERROR(SEARCH("FALTOU",EB29)))</formula>
    </cfRule>
  </conditionalFormatting>
  <conditionalFormatting sqref="EB29:EB31">
    <cfRule type="containsText" dxfId="39" priority="344" operator="containsText" text="SÁBADO">
      <formula>NOT(ISERROR(SEARCH("SÁBADO",EB29)))</formula>
    </cfRule>
  </conditionalFormatting>
  <conditionalFormatting sqref="EB30">
    <cfRule type="containsText" dxfId="38" priority="376" operator="containsText" text="ATESTADO">
      <formula>NOT(ISERROR(SEARCH("ATESTADO",EB30)))</formula>
    </cfRule>
    <cfRule type="containsText" dxfId="37" priority="375" operator="containsText" text="FERIADO">
      <formula>NOT(ISERROR(SEARCH("FERIADO",EB30)))</formula>
    </cfRule>
    <cfRule type="containsText" dxfId="36" priority="373" operator="containsText" text="DOMINGO">
      <formula>NOT(ISERROR(SEARCH("DOMINGO",EB30)))</formula>
    </cfRule>
    <cfRule type="containsText" dxfId="35" priority="377" operator="containsText" text="DESCANSO">
      <formula>NOT(ISERROR(SEARCH("DESCANSO",EB30)))</formula>
    </cfRule>
    <cfRule type="containsText" dxfId="34" priority="378" operator="containsText" text="FALTOU">
      <formula>NOT(ISERROR(SEARCH("FALTOU",EB30)))</formula>
    </cfRule>
  </conditionalFormatting>
  <conditionalFormatting sqref="EB31">
    <cfRule type="containsText" dxfId="33" priority="348" operator="containsText" text="FALTOU">
      <formula>NOT(ISERROR(SEARCH("FALTOU",EB31)))</formula>
    </cfRule>
    <cfRule type="containsText" dxfId="32" priority="345" operator="containsText" text="FERIADO">
      <formula>NOT(ISERROR(SEARCH("FERIADO",EB31)))</formula>
    </cfRule>
    <cfRule type="containsText" dxfId="31" priority="347" operator="containsText" text="DESCANSO">
      <formula>NOT(ISERROR(SEARCH("DESCANSO",EB31)))</formula>
    </cfRule>
    <cfRule type="containsText" dxfId="30" priority="346" operator="containsText" text="ATESTADO">
      <formula>NOT(ISERROR(SEARCH("ATESTADO",EB31)))</formula>
    </cfRule>
    <cfRule type="containsText" dxfId="29" priority="343" operator="containsText" text="DOMINGO">
      <formula>NOT(ISERROR(SEARCH("DOMINGO",EB31)))</formula>
    </cfRule>
  </conditionalFormatting>
  <conditionalFormatting sqref="EB33">
    <cfRule type="containsText" dxfId="28" priority="325" operator="containsText" text="DOMINGO">
      <formula>NOT(ISERROR(SEARCH("DOMINGO",EB33)))</formula>
    </cfRule>
    <cfRule type="containsText" dxfId="27" priority="330" operator="containsText" text="FALTOU">
      <formula>NOT(ISERROR(SEARCH("FALTOU",EB33)))</formula>
    </cfRule>
    <cfRule type="containsText" dxfId="26" priority="329" operator="containsText" text="DESCANSO">
      <formula>NOT(ISERROR(SEARCH("DESCANSO",EB33)))</formula>
    </cfRule>
    <cfRule type="containsText" dxfId="25" priority="328" operator="containsText" text="ATESTADO">
      <formula>NOT(ISERROR(SEARCH("ATESTADO",EB33)))</formula>
    </cfRule>
    <cfRule type="containsText" dxfId="24" priority="327" operator="containsText" text="FERIADO">
      <formula>NOT(ISERROR(SEARCH("FERIADO",EB33)))</formula>
    </cfRule>
  </conditionalFormatting>
  <conditionalFormatting sqref="EB33:EB34">
    <cfRule type="containsText" dxfId="23" priority="326" operator="containsText" text="SÁBADO">
      <formula>NOT(ISERROR(SEARCH("SÁBADO",EB33)))</formula>
    </cfRule>
  </conditionalFormatting>
  <conditionalFormatting sqref="EB34 DZ35:EB35">
    <cfRule type="containsText" dxfId="22" priority="366" operator="containsText" text="ATESTADO">
      <formula>NOT(ISERROR(SEARCH("ATESTADO",DZ34)))</formula>
    </cfRule>
  </conditionalFormatting>
  <conditionalFormatting sqref="EB36:EB38">
    <cfRule type="containsText" dxfId="21" priority="282" operator="containsText" text="FALTOU">
      <formula>NOT(ISERROR(SEARCH("FALTOU",EB36)))</formula>
    </cfRule>
    <cfRule type="containsText" dxfId="20" priority="281" operator="containsText" text="DESCANSO">
      <formula>NOT(ISERROR(SEARCH("DESCANSO",EB36)))</formula>
    </cfRule>
    <cfRule type="containsText" dxfId="19" priority="280" operator="containsText" text="ATESTADO">
      <formula>NOT(ISERROR(SEARCH("ATESTADO",EB36)))</formula>
    </cfRule>
    <cfRule type="containsText" dxfId="18" priority="277" operator="containsText" text="DOMINGO">
      <formula>NOT(ISERROR(SEARCH("DOMINGO",EB36)))</formula>
    </cfRule>
    <cfRule type="containsText" dxfId="17" priority="279" operator="containsText" text="FERIADO">
      <formula>NOT(ISERROR(SEARCH("FERIADO",EB36)))</formula>
    </cfRule>
  </conditionalFormatting>
  <conditionalFormatting sqref="EB36:EB40">
    <cfRule type="containsText" dxfId="16" priority="236" operator="containsText" text="SÁBADO">
      <formula>NOT(ISERROR(SEARCH("SÁBADO",EB36)))</formula>
    </cfRule>
  </conditionalFormatting>
  <conditionalFormatting sqref="EB39">
    <cfRule type="containsText" dxfId="15" priority="247" operator="containsText" text="DOMINGO">
      <formula>NOT(ISERROR(SEARCH("DOMINGO",EB39)))</formula>
    </cfRule>
    <cfRule type="containsText" dxfId="14" priority="250" operator="containsText" text="ATESTADO">
      <formula>NOT(ISERROR(SEARCH("ATESTADO",EB39)))</formula>
    </cfRule>
    <cfRule type="containsText" dxfId="13" priority="251" operator="containsText" text="DESCANSO">
      <formula>NOT(ISERROR(SEARCH("DESCANSO",EB39)))</formula>
    </cfRule>
    <cfRule type="containsText" dxfId="12" priority="249" operator="containsText" text="FERIADO">
      <formula>NOT(ISERROR(SEARCH("FERIADO",EB39)))</formula>
    </cfRule>
    <cfRule type="containsText" dxfId="11" priority="252" operator="containsText" text="FALTOU">
      <formula>NOT(ISERROR(SEARCH("FALTOU",EB39)))</formula>
    </cfRule>
  </conditionalFormatting>
  <conditionalFormatting sqref="EB40">
    <cfRule type="containsText" dxfId="10" priority="240" operator="containsText" text="FALTOU">
      <formula>NOT(ISERROR(SEARCH("FALTOU",EB40)))</formula>
    </cfRule>
    <cfRule type="containsText" dxfId="9" priority="235" operator="containsText" text="DOMINGO">
      <formula>NOT(ISERROR(SEARCH("DOMINGO",EB40)))</formula>
    </cfRule>
    <cfRule type="containsText" dxfId="8" priority="239" operator="containsText" text="DESCANSO">
      <formula>NOT(ISERROR(SEARCH("DESCANSO",EB40)))</formula>
    </cfRule>
    <cfRule type="containsText" dxfId="7" priority="238" operator="containsText" text="ATESTADO">
      <formula>NOT(ISERROR(SEARCH("ATESTADO",EB40)))</formula>
    </cfRule>
    <cfRule type="containsText" dxfId="6" priority="237" operator="containsText" text="FERIADO">
      <formula>NOT(ISERROR(SEARCH("FERIADO",EB40)))</formula>
    </cfRule>
  </conditionalFormatting>
  <conditionalFormatting sqref="EB57:EB61">
    <cfRule type="containsText" dxfId="5" priority="230" operator="containsText" text="SÁBADO">
      <formula>NOT(ISERROR(SEARCH("SÁBADO",EB57)))</formula>
    </cfRule>
    <cfRule type="containsText" dxfId="4" priority="232" operator="containsText" text="DESCANSO">
      <formula>NOT(ISERROR(SEARCH("DESCANSO",EB57)))</formula>
    </cfRule>
    <cfRule type="containsText" dxfId="3" priority="229" operator="containsText" text="DOMINGO">
      <formula>NOT(ISERROR(SEARCH("DOMINGO",EB57)))</formula>
    </cfRule>
    <cfRule type="containsText" dxfId="2" priority="231" operator="containsText" text="FERIADO">
      <formula>NOT(ISERROR(SEARCH("FERIADO",EB57)))</formula>
    </cfRule>
    <cfRule type="containsText" dxfId="1" priority="234" operator="containsText" text="ATESTADO">
      <formula>NOT(ISERROR(SEARCH("ATESTADO",EB57)))</formula>
    </cfRule>
    <cfRule type="containsText" dxfId="0" priority="233" operator="containsText" text="FALTOU">
      <formula>NOT(ISERROR(SEARCH("FALTOU",EB57)))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226374-399B-4EE7-AB1B-9C68B788DED6}">
          <x14:formula1>
            <xm:f>Lista!$C$2:$C$23</xm:f>
          </x14:formula1>
          <xm:sqref>C275:C368 AL4:AL272 DW374:DX385 DY275:DY368 DY12 DY4 DR6:DR9 DP376:DQ387 DR277:DR370 DR12 DR4 C4:C272 DK6:DK9 DI374:DJ385 DK275:DK368 DK12 DK17:DK272 DD4 DD6:DD9 DB376:DC387 DD277:DD370 DD12 J4:J272 CW4 CW6:CW9 CU374:CV385 CW275:CW368 CW12 DY6:DY9 X4:X273 CP17:CP272 CP4 CP6:CP9 CN374:CO385 CP275:CP368 CP12 CI17:CI272 CI12 CI4 CI6:CI9 CG374:CH385 CI275:CI368 CB6:CB9 CB12 CB4 CW17:CW272 BZ375:CA386 CB276:CB369 BN4:BN272 AE4:AE272 BG275:BG368 AZ276:AZ369 AS275:AS368 AE275:AE368 X276:X369 Q275:Q368 J275:J368 BU4:BU272 BS374:BT385 Q4:Q272 BE374:BF385 AZ4:AZ273 DK4 BL374:BM385 BN275:BN368 AJ374:AK385 AC374:AD385 V375:W386 O374:P385 H374:I385 A374:B385 BG4:BG272 AS4:AS272 AQ374:AR385 CB17:CB273 AX375:AY386 AL275:AL368 BU275:BU368 DR17:DR274 DD17:DD274 DY17:DY272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EC37-9978-49C6-B46A-69D9EB0FC287}">
  <sheetPr>
    <tabColor theme="9" tint="0.39997558519241921"/>
  </sheetPr>
  <dimension ref="A1:GD400"/>
  <sheetViews>
    <sheetView showGridLines="0" zoomScale="90" zoomScaleNormal="90" workbookViewId="0">
      <pane ySplit="5" topLeftCell="A6" activePane="bottomLeft" state="frozen"/>
      <selection pane="bottomLeft" activeCell="J13" sqref="J13"/>
    </sheetView>
  </sheetViews>
  <sheetFormatPr defaultRowHeight="15" customHeight="1" x14ac:dyDescent="0.2"/>
  <cols>
    <col min="1" max="1" width="10.42578125" style="62" customWidth="1"/>
    <col min="2" max="2" width="11.5703125" style="53" customWidth="1"/>
    <col min="3" max="3" width="18" style="34" customWidth="1"/>
    <col min="4" max="4" width="0.7109375" style="14" customWidth="1"/>
    <col min="5" max="5" width="10.7109375" style="64" customWidth="1"/>
    <col min="6" max="6" width="10" style="151" customWidth="1"/>
    <col min="7" max="7" width="18" style="60" customWidth="1"/>
    <col min="8" max="8" width="16.85546875" style="60" customWidth="1"/>
    <col min="9" max="9" width="10.7109375" style="58" customWidth="1"/>
    <col min="10" max="10" width="13.140625" style="60" customWidth="1"/>
    <col min="11" max="11" width="1" style="14" customWidth="1"/>
    <col min="12" max="12" width="10" style="52" hidden="1" customWidth="1"/>
    <col min="13" max="13" width="11.42578125" style="53" hidden="1" customWidth="1"/>
    <col min="14" max="14" width="19.140625" style="54" hidden="1" customWidth="1"/>
    <col min="15" max="15" width="0.7109375" style="14" hidden="1" customWidth="1"/>
    <col min="16" max="16" width="10.28515625" style="64" hidden="1" customWidth="1"/>
    <col min="17" max="17" width="10" style="56" hidden="1" customWidth="1"/>
    <col min="18" max="18" width="18" style="78" hidden="1" customWidth="1"/>
    <col min="19" max="19" width="15.42578125" style="57" hidden="1" customWidth="1"/>
    <col min="20" max="20" width="10.28515625" style="57" hidden="1" customWidth="1"/>
    <col min="21" max="21" width="12.28515625" style="58" hidden="1" customWidth="1"/>
    <col min="22" max="22" width="1" style="14" hidden="1" customWidth="1"/>
    <col min="23" max="23" width="10.140625" style="52" customWidth="1"/>
    <col min="24" max="24" width="11.42578125" style="53" customWidth="1"/>
    <col min="25" max="25" width="18.140625" style="54" customWidth="1"/>
    <col min="26" max="26" width="0.7109375" style="14" customWidth="1"/>
    <col min="27" max="27" width="10.28515625" style="103" bestFit="1" customWidth="1"/>
    <col min="28" max="28" width="10" style="56" customWidth="1"/>
    <col min="29" max="29" width="18" style="58" customWidth="1"/>
    <col min="30" max="30" width="15.85546875" style="58" customWidth="1"/>
    <col min="31" max="31" width="10.28515625" style="58" bestFit="1" customWidth="1"/>
    <col min="32" max="32" width="12.28515625" style="58" customWidth="1"/>
    <col min="33" max="33" width="1" style="14" customWidth="1"/>
    <col min="34" max="34" width="10.28515625" style="62" bestFit="1" customWidth="1"/>
    <col min="35" max="35" width="11.42578125" style="53" customWidth="1"/>
    <col min="36" max="36" width="18" style="54" customWidth="1"/>
    <col min="37" max="37" width="0.7109375" style="14" customWidth="1"/>
    <col min="38" max="38" width="10.140625" style="64" bestFit="1" customWidth="1"/>
    <col min="39" max="39" width="10" style="151" customWidth="1"/>
    <col min="40" max="40" width="22.5703125" style="58" bestFit="1" customWidth="1"/>
    <col min="41" max="41" width="17.42578125" style="58" customWidth="1"/>
    <col min="42" max="42" width="10" style="58" bestFit="1" customWidth="1"/>
    <col min="43" max="43" width="12.28515625" style="58" customWidth="1"/>
    <col min="44" max="44" width="1" style="14" customWidth="1"/>
    <col min="45" max="45" width="10.28515625" style="52" bestFit="1" customWidth="1"/>
    <col min="46" max="46" width="11.7109375" style="53" bestFit="1" customWidth="1"/>
    <col min="47" max="47" width="18" style="54" customWidth="1"/>
    <col min="48" max="48" width="0.7109375" style="14" customWidth="1"/>
    <col min="49" max="49" width="10.140625" style="55" customWidth="1"/>
    <col min="50" max="50" width="10" style="56" customWidth="1"/>
    <col min="51" max="51" width="24.28515625" style="58" bestFit="1" customWidth="1"/>
    <col min="52" max="52" width="17" style="58" bestFit="1" customWidth="1"/>
    <col min="53" max="53" width="10.5703125" style="57" customWidth="1"/>
    <col min="54" max="54" width="12.28515625" style="58" customWidth="1"/>
    <col min="55" max="55" width="1" style="14" customWidth="1"/>
    <col min="56" max="56" width="10.42578125" style="52" hidden="1" customWidth="1"/>
    <col min="57" max="57" width="11.5703125" style="53" hidden="1" customWidth="1"/>
    <col min="58" max="58" width="18" style="54" hidden="1" customWidth="1"/>
    <col min="59" max="59" width="0.7109375" style="14" hidden="1" customWidth="1"/>
    <col min="60" max="60" width="9.42578125" style="64" hidden="1" customWidth="1"/>
    <col min="61" max="61" width="10" style="151" hidden="1" customWidth="1"/>
    <col min="62" max="62" width="18" style="58" hidden="1" customWidth="1"/>
    <col min="63" max="63" width="17" style="58" hidden="1" customWidth="1"/>
    <col min="64" max="64" width="15" style="58" hidden="1" customWidth="1"/>
    <col min="65" max="65" width="12.28515625" style="58" hidden="1" customWidth="1"/>
    <col min="66" max="66" width="1.42578125" style="14" hidden="1" customWidth="1"/>
    <col min="67" max="67" width="10.42578125" style="52" bestFit="1" customWidth="1"/>
    <col min="68" max="68" width="11.5703125" style="53" bestFit="1" customWidth="1"/>
    <col min="69" max="69" width="18" style="54" customWidth="1"/>
    <col min="70" max="70" width="0.7109375" style="14" customWidth="1"/>
    <col min="71" max="71" width="10.28515625" style="55" bestFit="1" customWidth="1"/>
    <col min="72" max="72" width="10" style="56" customWidth="1"/>
    <col min="73" max="73" width="18" style="58" customWidth="1"/>
    <col min="74" max="75" width="15" style="58" customWidth="1"/>
    <col min="76" max="76" width="12.85546875" style="58" customWidth="1"/>
    <col min="77" max="77" width="0.85546875" style="14" customWidth="1"/>
    <col min="78" max="78" width="10.28515625" style="52" bestFit="1" customWidth="1"/>
    <col min="79" max="79" width="11.5703125" style="53" bestFit="1" customWidth="1"/>
    <col min="80" max="80" width="18" style="54" customWidth="1"/>
    <col min="81" max="81" width="0.7109375" style="14" customWidth="1"/>
    <col min="82" max="82" width="9.42578125" style="55" customWidth="1"/>
    <col min="83" max="83" width="10" style="56" customWidth="1"/>
    <col min="84" max="84" width="18" style="57" customWidth="1"/>
    <col min="85" max="85" width="15" style="57" customWidth="1"/>
    <col min="86" max="87" width="12.28515625" style="58" customWidth="1"/>
    <col min="88" max="88" width="1.140625" style="14" customWidth="1"/>
    <col min="89" max="89" width="9.85546875" style="52" hidden="1" customWidth="1"/>
    <col min="90" max="90" width="11.5703125" style="53" hidden="1" customWidth="1"/>
    <col min="91" max="91" width="18" style="54" hidden="1" customWidth="1"/>
    <col min="92" max="92" width="0.7109375" style="14" hidden="1" customWidth="1"/>
    <col min="93" max="93" width="9.42578125" style="55" hidden="1" customWidth="1"/>
    <col min="94" max="94" width="10" style="56" hidden="1" customWidth="1"/>
    <col min="95" max="95" width="18" style="57" hidden="1" customWidth="1"/>
    <col min="96" max="97" width="15" style="57" hidden="1" customWidth="1"/>
    <col min="98" max="98" width="12.28515625" style="58" hidden="1" customWidth="1"/>
    <col min="99" max="99" width="1.7109375" style="14" hidden="1" customWidth="1"/>
    <col min="100" max="100" width="10.28515625" style="52" bestFit="1" customWidth="1"/>
    <col min="101" max="101" width="11.5703125" style="53" bestFit="1" customWidth="1"/>
    <col min="102" max="102" width="18" style="54" customWidth="1"/>
    <col min="103" max="103" width="0.7109375" style="14" customWidth="1"/>
    <col min="104" max="104" width="9.85546875" style="64" bestFit="1" customWidth="1"/>
    <col min="105" max="105" width="10" style="151" customWidth="1"/>
    <col min="106" max="106" width="18" style="58" customWidth="1"/>
    <col min="107" max="107" width="15" style="58" customWidth="1"/>
    <col min="108" max="108" width="11.5703125" style="58" customWidth="1"/>
    <col min="109" max="109" width="12.28515625" style="58" customWidth="1"/>
    <col min="110" max="110" width="1.28515625" style="14" customWidth="1"/>
    <col min="111" max="111" width="10.28515625" style="52" hidden="1" customWidth="1"/>
    <col min="112" max="112" width="11.5703125" style="53" hidden="1" customWidth="1"/>
    <col min="113" max="113" width="18" style="54" hidden="1" customWidth="1"/>
    <col min="114" max="114" width="0.7109375" style="14" hidden="1" customWidth="1"/>
    <col min="115" max="115" width="9.42578125" style="55" hidden="1" customWidth="1"/>
    <col min="116" max="116" width="10" style="56" hidden="1" customWidth="1"/>
    <col min="117" max="117" width="18" style="57" hidden="1" customWidth="1"/>
    <col min="118" max="119" width="15" style="57" hidden="1" customWidth="1"/>
    <col min="120" max="120" width="12.28515625" style="58" hidden="1" customWidth="1"/>
    <col min="121" max="121" width="1.140625" style="14" customWidth="1"/>
    <col min="122" max="122" width="10.42578125" style="52" bestFit="1" customWidth="1"/>
    <col min="123" max="123" width="11.5703125" style="53" bestFit="1" customWidth="1"/>
    <col min="124" max="124" width="20" style="54" bestFit="1" customWidth="1"/>
    <col min="125" max="125" width="0.7109375" style="14" customWidth="1"/>
    <col min="126" max="126" width="10.28515625" style="64" bestFit="1" customWidth="1"/>
    <col min="127" max="127" width="10" style="151" customWidth="1"/>
    <col min="128" max="128" width="18" style="58" customWidth="1"/>
    <col min="129" max="129" width="16.140625" style="58" bestFit="1" customWidth="1"/>
    <col min="130" max="130" width="15" style="58" customWidth="1"/>
    <col min="131" max="131" width="12.28515625" style="58" customWidth="1"/>
    <col min="132" max="132" width="0.85546875" style="14" customWidth="1"/>
    <col min="133" max="133" width="10.42578125" style="52" bestFit="1" customWidth="1"/>
    <col min="134" max="134" width="11.5703125" style="53" bestFit="1" customWidth="1"/>
    <col min="135" max="135" width="20" style="54" bestFit="1" customWidth="1"/>
    <col min="136" max="136" width="0.7109375" style="14" customWidth="1"/>
    <col min="137" max="137" width="10" style="64" bestFit="1" customWidth="1"/>
    <col min="138" max="138" width="10" style="151" customWidth="1"/>
    <col min="139" max="139" width="18" style="58" customWidth="1"/>
    <col min="140" max="140" width="16.140625" style="58" bestFit="1" customWidth="1"/>
    <col min="141" max="141" width="15" style="58" customWidth="1"/>
    <col min="142" max="142" width="12.28515625" style="58" customWidth="1"/>
    <col min="143" max="143" width="1.140625" style="14" customWidth="1"/>
    <col min="144" max="144" width="10.42578125" style="52" bestFit="1" customWidth="1"/>
    <col min="145" max="145" width="11.5703125" style="53" bestFit="1" customWidth="1"/>
    <col min="146" max="146" width="20" style="54" bestFit="1" customWidth="1"/>
    <col min="147" max="147" width="0.7109375" style="14" customWidth="1"/>
    <col min="148" max="148" width="10.140625" style="64" bestFit="1" customWidth="1"/>
    <col min="149" max="149" width="10" style="151" customWidth="1"/>
    <col min="150" max="150" width="18" style="58" customWidth="1"/>
    <col min="151" max="151" width="15.85546875" style="58" customWidth="1"/>
    <col min="152" max="152" width="15" style="58" customWidth="1"/>
    <col min="153" max="153" width="12.28515625" style="58" customWidth="1"/>
    <col min="154" max="154" width="1.140625" style="14" customWidth="1"/>
    <col min="155" max="155" width="10.42578125" style="52" hidden="1" customWidth="1"/>
    <col min="156" max="156" width="11.5703125" style="53" hidden="1" customWidth="1"/>
    <col min="157" max="157" width="20" style="54" hidden="1" customWidth="1"/>
    <col min="158" max="158" width="0.7109375" style="14" hidden="1" customWidth="1"/>
    <col min="159" max="159" width="9.42578125" style="64" hidden="1" customWidth="1"/>
    <col min="160" max="160" width="10" style="151" hidden="1" customWidth="1"/>
    <col min="161" max="161" width="18" style="58" hidden="1" customWidth="1"/>
    <col min="162" max="163" width="15" style="58" hidden="1" customWidth="1"/>
    <col min="164" max="164" width="12.28515625" style="58" hidden="1" customWidth="1"/>
    <col min="165" max="165" width="1" style="14" hidden="1" customWidth="1"/>
    <col min="166" max="166" width="10.42578125" style="52" bestFit="1" customWidth="1"/>
    <col min="167" max="167" width="11.5703125" style="53" bestFit="1" customWidth="1"/>
    <col min="168" max="168" width="20" style="54" bestFit="1" customWidth="1"/>
    <col min="169" max="169" width="0.7109375" style="14" customWidth="1"/>
    <col min="170" max="170" width="10.28515625" style="64" bestFit="1" customWidth="1"/>
    <col min="171" max="171" width="10" style="151" customWidth="1"/>
    <col min="172" max="172" width="18" style="58" customWidth="1"/>
    <col min="173" max="173" width="16.140625" style="58" bestFit="1" customWidth="1"/>
    <col min="174" max="174" width="15" style="58" customWidth="1"/>
    <col min="175" max="175" width="12.28515625" style="58" customWidth="1"/>
    <col min="176" max="176" width="1.42578125" style="14" customWidth="1"/>
    <col min="177" max="177" width="10.42578125" style="52" bestFit="1" customWidth="1"/>
    <col min="178" max="178" width="11.5703125" style="53" bestFit="1" customWidth="1"/>
    <col min="179" max="179" width="20" style="54" bestFit="1" customWidth="1"/>
    <col min="180" max="180" width="0.7109375" style="14" customWidth="1"/>
    <col min="181" max="181" width="10.28515625" style="64" bestFit="1" customWidth="1"/>
    <col min="182" max="182" width="10" style="151" customWidth="1"/>
    <col min="183" max="183" width="18" style="58" customWidth="1"/>
    <col min="184" max="185" width="15" style="58" customWidth="1"/>
    <col min="186" max="186" width="12.28515625" style="58" customWidth="1"/>
    <col min="187" max="16384" width="9.140625" style="14"/>
  </cols>
  <sheetData>
    <row r="1" spans="1:186" s="3" customFormat="1" ht="20.25" customHeight="1" thickBot="1" x14ac:dyDescent="0.25">
      <c r="A1" s="214" t="s">
        <v>17</v>
      </c>
      <c r="B1" s="215"/>
      <c r="C1" s="247" t="s">
        <v>44</v>
      </c>
      <c r="D1" s="247"/>
      <c r="E1" s="247"/>
      <c r="F1" s="248"/>
      <c r="G1" s="260" t="s">
        <v>24</v>
      </c>
      <c r="H1" s="261"/>
      <c r="I1" s="221">
        <f>SUM(B6:B199)</f>
        <v>12796</v>
      </c>
      <c r="J1" s="222"/>
      <c r="L1" s="214" t="s">
        <v>17</v>
      </c>
      <c r="M1" s="215"/>
      <c r="N1" s="257" t="s">
        <v>46</v>
      </c>
      <c r="O1" s="257"/>
      <c r="P1" s="257"/>
      <c r="Q1" s="258"/>
      <c r="R1" s="219" t="s">
        <v>24</v>
      </c>
      <c r="S1" s="220"/>
      <c r="T1" s="221">
        <f>SUM(M6:M202)</f>
        <v>0</v>
      </c>
      <c r="U1" s="222"/>
      <c r="W1" s="214" t="s">
        <v>17</v>
      </c>
      <c r="X1" s="215"/>
      <c r="Y1" s="247" t="s">
        <v>47</v>
      </c>
      <c r="Z1" s="247"/>
      <c r="AA1" s="247"/>
      <c r="AB1" s="248"/>
      <c r="AC1" s="219" t="s">
        <v>24</v>
      </c>
      <c r="AD1" s="220"/>
      <c r="AE1" s="221">
        <f>SUM(X6:X204)</f>
        <v>6312.6</v>
      </c>
      <c r="AF1" s="222"/>
      <c r="AH1" s="214" t="s">
        <v>17</v>
      </c>
      <c r="AI1" s="215"/>
      <c r="AJ1" s="247" t="s">
        <v>48</v>
      </c>
      <c r="AK1" s="247"/>
      <c r="AL1" s="247"/>
      <c r="AM1" s="248"/>
      <c r="AN1" s="249" t="s">
        <v>24</v>
      </c>
      <c r="AO1" s="250"/>
      <c r="AP1" s="245">
        <f>SUM(AI6:AI202)</f>
        <v>10297</v>
      </c>
      <c r="AQ1" s="246"/>
      <c r="AS1" s="214" t="s">
        <v>17</v>
      </c>
      <c r="AT1" s="215"/>
      <c r="AU1" s="247" t="s">
        <v>49</v>
      </c>
      <c r="AV1" s="247"/>
      <c r="AW1" s="247"/>
      <c r="AX1" s="248"/>
      <c r="AY1" s="219" t="s">
        <v>24</v>
      </c>
      <c r="AZ1" s="220"/>
      <c r="BA1" s="221">
        <f>SUM(AT6:AT202)</f>
        <v>13789.5</v>
      </c>
      <c r="BB1" s="222"/>
      <c r="BD1" s="214" t="s">
        <v>17</v>
      </c>
      <c r="BE1" s="215"/>
      <c r="BF1" s="240" t="s">
        <v>59</v>
      </c>
      <c r="BG1" s="241"/>
      <c r="BH1" s="241"/>
      <c r="BI1" s="242"/>
      <c r="BJ1" s="219" t="s">
        <v>24</v>
      </c>
      <c r="BK1" s="220"/>
      <c r="BL1" s="221">
        <f>SUM(BE6:BE199)</f>
        <v>3571</v>
      </c>
      <c r="BM1" s="222"/>
      <c r="BO1" s="214" t="s">
        <v>17</v>
      </c>
      <c r="BP1" s="215"/>
      <c r="BQ1" s="216" t="s">
        <v>70</v>
      </c>
      <c r="BR1" s="217"/>
      <c r="BS1" s="217"/>
      <c r="BT1" s="218"/>
      <c r="BU1" s="219" t="s">
        <v>24</v>
      </c>
      <c r="BV1" s="220"/>
      <c r="BW1" s="221">
        <f>SUM(BP6:BP200)</f>
        <v>6565.5</v>
      </c>
      <c r="BX1" s="222"/>
      <c r="BZ1" s="214" t="s">
        <v>17</v>
      </c>
      <c r="CA1" s="215"/>
      <c r="CB1" s="216" t="s">
        <v>71</v>
      </c>
      <c r="CC1" s="217"/>
      <c r="CD1" s="217"/>
      <c r="CE1" s="218"/>
      <c r="CF1" s="219" t="s">
        <v>24</v>
      </c>
      <c r="CG1" s="220"/>
      <c r="CH1" s="221">
        <f>SUM(CA6:CA200)</f>
        <v>6996</v>
      </c>
      <c r="CI1" s="222"/>
      <c r="CK1" s="214" t="s">
        <v>17</v>
      </c>
      <c r="CL1" s="215"/>
      <c r="CM1" s="237" t="s">
        <v>78</v>
      </c>
      <c r="CN1" s="238"/>
      <c r="CO1" s="238"/>
      <c r="CP1" s="239"/>
      <c r="CQ1" s="219" t="s">
        <v>24</v>
      </c>
      <c r="CR1" s="220"/>
      <c r="CS1" s="221">
        <f>SUM(CL6:CL200)</f>
        <v>272</v>
      </c>
      <c r="CT1" s="222"/>
      <c r="CV1" s="214" t="s">
        <v>17</v>
      </c>
      <c r="CW1" s="215"/>
      <c r="CX1" s="216" t="s">
        <v>85</v>
      </c>
      <c r="CY1" s="217"/>
      <c r="CZ1" s="217"/>
      <c r="DA1" s="218"/>
      <c r="DB1" s="219" t="s">
        <v>24</v>
      </c>
      <c r="DC1" s="220"/>
      <c r="DD1" s="221">
        <f>SUM(CW6:CW200)</f>
        <v>5205.5</v>
      </c>
      <c r="DE1" s="222"/>
      <c r="DG1" s="214" t="s">
        <v>17</v>
      </c>
      <c r="DH1" s="215"/>
      <c r="DI1" s="262" t="s">
        <v>86</v>
      </c>
      <c r="DJ1" s="263"/>
      <c r="DK1" s="263"/>
      <c r="DL1" s="264"/>
      <c r="DM1" s="219" t="s">
        <v>24</v>
      </c>
      <c r="DN1" s="220"/>
      <c r="DO1" s="221">
        <f>SUM(DH6:DH200)</f>
        <v>1474</v>
      </c>
      <c r="DP1" s="222"/>
      <c r="DR1" s="214" t="s">
        <v>17</v>
      </c>
      <c r="DS1" s="215"/>
      <c r="DT1" s="216" t="s">
        <v>105</v>
      </c>
      <c r="DU1" s="217"/>
      <c r="DV1" s="217"/>
      <c r="DW1" s="218"/>
      <c r="DX1" s="219" t="s">
        <v>24</v>
      </c>
      <c r="DY1" s="220"/>
      <c r="DZ1" s="221">
        <f>SUM(DS6:DS200)</f>
        <v>7081</v>
      </c>
      <c r="EA1" s="222"/>
      <c r="EC1" s="214" t="s">
        <v>17</v>
      </c>
      <c r="ED1" s="215"/>
      <c r="EE1" s="191" t="s">
        <v>132</v>
      </c>
      <c r="EF1" s="192"/>
      <c r="EG1" s="192"/>
      <c r="EH1" s="193"/>
      <c r="EI1" s="219" t="s">
        <v>24</v>
      </c>
      <c r="EJ1" s="220"/>
      <c r="EK1" s="221">
        <f>SUM(ED6:ED200)</f>
        <v>3774</v>
      </c>
      <c r="EL1" s="222"/>
      <c r="EN1" s="214" t="s">
        <v>17</v>
      </c>
      <c r="EO1" s="215"/>
      <c r="EP1" s="191" t="s">
        <v>133</v>
      </c>
      <c r="EQ1" s="192"/>
      <c r="ER1" s="192"/>
      <c r="ES1" s="193"/>
      <c r="ET1" s="219" t="s">
        <v>24</v>
      </c>
      <c r="EU1" s="220"/>
      <c r="EV1" s="221">
        <f>SUM(EO6:EO200)</f>
        <v>7581</v>
      </c>
      <c r="EW1" s="222"/>
      <c r="EY1" s="214" t="s">
        <v>17</v>
      </c>
      <c r="EZ1" s="215"/>
      <c r="FA1" s="194" t="s">
        <v>134</v>
      </c>
      <c r="FB1" s="195"/>
      <c r="FC1" s="195"/>
      <c r="FD1" s="196"/>
      <c r="FE1" s="219" t="s">
        <v>24</v>
      </c>
      <c r="FF1" s="220"/>
      <c r="FG1" s="221">
        <f>SUM(EZ6:EZ200)</f>
        <v>723</v>
      </c>
      <c r="FH1" s="222"/>
      <c r="FJ1" s="214" t="s">
        <v>17</v>
      </c>
      <c r="FK1" s="215"/>
      <c r="FL1" s="191" t="s">
        <v>169</v>
      </c>
      <c r="FM1" s="192"/>
      <c r="FN1" s="192"/>
      <c r="FO1" s="193"/>
      <c r="FP1" s="219" t="s">
        <v>24</v>
      </c>
      <c r="FQ1" s="220"/>
      <c r="FR1" s="221">
        <f>SUM(FK6:FK200)</f>
        <v>3471</v>
      </c>
      <c r="FS1" s="222"/>
      <c r="FU1" s="265" t="s">
        <v>17</v>
      </c>
      <c r="FV1" s="266"/>
      <c r="FW1" s="191" t="s">
        <v>186</v>
      </c>
      <c r="FX1" s="192"/>
      <c r="FY1" s="192"/>
      <c r="FZ1" s="193"/>
      <c r="GA1" s="267" t="s">
        <v>24</v>
      </c>
      <c r="GB1" s="268"/>
      <c r="GC1" s="221">
        <f>SUM(FV6:FV200)</f>
        <v>2326</v>
      </c>
      <c r="GD1" s="222"/>
    </row>
    <row r="2" spans="1:186" s="3" customFormat="1" ht="20.25" customHeight="1" thickBot="1" x14ac:dyDescent="0.25">
      <c r="A2" s="223" t="s">
        <v>16</v>
      </c>
      <c r="B2" s="224"/>
      <c r="C2" s="225" t="s">
        <v>51</v>
      </c>
      <c r="D2" s="225"/>
      <c r="E2" s="225"/>
      <c r="F2" s="226"/>
      <c r="G2" s="227" t="s">
        <v>10</v>
      </c>
      <c r="H2" s="228"/>
      <c r="I2" s="229">
        <f>DIÁRIAS!D370-PAGAMENTOS!I1</f>
        <v>180</v>
      </c>
      <c r="J2" s="230"/>
      <c r="L2" s="223" t="s">
        <v>16</v>
      </c>
      <c r="M2" s="224"/>
      <c r="N2" s="225">
        <v>6500874374</v>
      </c>
      <c r="O2" s="225"/>
      <c r="P2" s="225"/>
      <c r="Q2" s="226"/>
      <c r="R2" s="227" t="s">
        <v>10</v>
      </c>
      <c r="S2" s="228"/>
      <c r="T2" s="229">
        <f>DIÁRIAS!R370-PAGAMENTOS!T1</f>
        <v>0</v>
      </c>
      <c r="U2" s="230"/>
      <c r="W2" s="223" t="s">
        <v>16</v>
      </c>
      <c r="X2" s="224"/>
      <c r="Y2" s="225">
        <v>12982381942</v>
      </c>
      <c r="Z2" s="225"/>
      <c r="AA2" s="225"/>
      <c r="AB2" s="226"/>
      <c r="AC2" s="227" t="s">
        <v>10</v>
      </c>
      <c r="AD2" s="228"/>
      <c r="AE2" s="229">
        <f>DIÁRIAS!Y371-PAGAMENTOS!AE1</f>
        <v>120</v>
      </c>
      <c r="AF2" s="230"/>
      <c r="AH2" s="223" t="s">
        <v>16</v>
      </c>
      <c r="AI2" s="224"/>
      <c r="AJ2" s="225" t="s">
        <v>54</v>
      </c>
      <c r="AK2" s="225"/>
      <c r="AL2" s="225"/>
      <c r="AM2" s="226"/>
      <c r="AN2" s="255" t="s">
        <v>10</v>
      </c>
      <c r="AO2" s="256"/>
      <c r="AP2" s="243">
        <f>DIÁRIAS!AF370-PAGAMENTOS!AP1</f>
        <v>180</v>
      </c>
      <c r="AQ2" s="244"/>
      <c r="AS2" s="223" t="s">
        <v>16</v>
      </c>
      <c r="AT2" s="224"/>
      <c r="AU2" s="225" t="s">
        <v>55</v>
      </c>
      <c r="AV2" s="225"/>
      <c r="AW2" s="225"/>
      <c r="AX2" s="226"/>
      <c r="AY2" s="227" t="s">
        <v>10</v>
      </c>
      <c r="AZ2" s="228"/>
      <c r="BA2" s="229">
        <f>DIÁRIAS!AM370-PAGAMENTOS!BA1</f>
        <v>250</v>
      </c>
      <c r="BB2" s="230"/>
      <c r="BD2" s="223" t="s">
        <v>16</v>
      </c>
      <c r="BE2" s="224"/>
      <c r="BF2" s="225">
        <v>45194923864</v>
      </c>
      <c r="BG2" s="225"/>
      <c r="BH2" s="225"/>
      <c r="BI2" s="226"/>
      <c r="BJ2" s="227" t="s">
        <v>10</v>
      </c>
      <c r="BK2" s="228"/>
      <c r="BL2" s="229">
        <f>DIÁRIAS!AT370-PAGAMENTOS!BL1</f>
        <v>-65</v>
      </c>
      <c r="BM2" s="230"/>
      <c r="BO2" s="223" t="s">
        <v>16</v>
      </c>
      <c r="BP2" s="224"/>
      <c r="BQ2" s="225">
        <v>12974100682</v>
      </c>
      <c r="BR2" s="225"/>
      <c r="BS2" s="225"/>
      <c r="BT2" s="226"/>
      <c r="BU2" s="227" t="s">
        <v>10</v>
      </c>
      <c r="BV2" s="228"/>
      <c r="BW2" s="229">
        <f>DIÁRIAS!BA371-PAGAMENTOS!BW1</f>
        <v>120</v>
      </c>
      <c r="BX2" s="230"/>
      <c r="BZ2" s="223" t="s">
        <v>16</v>
      </c>
      <c r="CA2" s="224"/>
      <c r="CB2" s="225" t="s">
        <v>72</v>
      </c>
      <c r="CC2" s="225"/>
      <c r="CD2" s="225"/>
      <c r="CE2" s="226"/>
      <c r="CF2" s="227" t="s">
        <v>10</v>
      </c>
      <c r="CG2" s="228"/>
      <c r="CH2" s="229">
        <f>DIÁRIAS!BO370-PAGAMENTOS!CH1</f>
        <v>0</v>
      </c>
      <c r="CI2" s="230"/>
      <c r="CK2" s="223" t="s">
        <v>16</v>
      </c>
      <c r="CL2" s="224"/>
      <c r="CM2" s="225"/>
      <c r="CN2" s="225"/>
      <c r="CO2" s="225"/>
      <c r="CP2" s="226"/>
      <c r="CQ2" s="227" t="s">
        <v>10</v>
      </c>
      <c r="CR2" s="228"/>
      <c r="CS2" s="229">
        <f>DIÁRIAS!BV370-PAGAMENTOS!CS1</f>
        <v>-48</v>
      </c>
      <c r="CT2" s="230"/>
      <c r="CV2" s="223" t="s">
        <v>16</v>
      </c>
      <c r="CW2" s="224"/>
      <c r="CX2" s="225"/>
      <c r="CY2" s="225"/>
      <c r="CZ2" s="225"/>
      <c r="DA2" s="226"/>
      <c r="DB2" s="227" t="s">
        <v>10</v>
      </c>
      <c r="DC2" s="228"/>
      <c r="DD2" s="229">
        <f>DIÁRIAS!CC371-PAGAMENTOS!DD1</f>
        <v>120</v>
      </c>
      <c r="DE2" s="230"/>
      <c r="DG2" s="223" t="s">
        <v>16</v>
      </c>
      <c r="DH2" s="224"/>
      <c r="DI2" s="225"/>
      <c r="DJ2" s="225"/>
      <c r="DK2" s="225"/>
      <c r="DL2" s="226"/>
      <c r="DM2" s="227" t="s">
        <v>10</v>
      </c>
      <c r="DN2" s="228"/>
      <c r="DO2" s="229">
        <f>DIÁRIAS!CJ370-PAGAMENTOS!DO1</f>
        <v>-13</v>
      </c>
      <c r="DP2" s="230"/>
      <c r="DR2" s="223" t="s">
        <v>16</v>
      </c>
      <c r="DS2" s="224"/>
      <c r="DT2" s="225"/>
      <c r="DU2" s="225"/>
      <c r="DV2" s="225"/>
      <c r="DW2" s="226"/>
      <c r="DX2" s="227" t="s">
        <v>10</v>
      </c>
      <c r="DY2" s="228"/>
      <c r="DZ2" s="229">
        <f>DIÁRIAS!CQ370-PAGAMENTOS!DZ1</f>
        <v>180</v>
      </c>
      <c r="EA2" s="230"/>
      <c r="EC2" s="223" t="s">
        <v>16</v>
      </c>
      <c r="ED2" s="224"/>
      <c r="EE2" s="225">
        <v>57955684818</v>
      </c>
      <c r="EF2" s="225"/>
      <c r="EG2" s="225"/>
      <c r="EH2" s="226"/>
      <c r="EI2" s="227" t="s">
        <v>10</v>
      </c>
      <c r="EJ2" s="228"/>
      <c r="EK2" s="229">
        <f>DIÁRIAS!CX370-PAGAMENTOS!EK1</f>
        <v>120</v>
      </c>
      <c r="EL2" s="230"/>
      <c r="EN2" s="223" t="s">
        <v>16</v>
      </c>
      <c r="EO2" s="224"/>
      <c r="EP2" s="225" t="s">
        <v>163</v>
      </c>
      <c r="EQ2" s="225"/>
      <c r="ER2" s="225"/>
      <c r="ES2" s="226"/>
      <c r="ET2" s="227" t="s">
        <v>10</v>
      </c>
      <c r="EU2" s="228"/>
      <c r="EV2" s="229">
        <f>DIÁRIAS!DE372-PAGAMENTOS!EV1</f>
        <v>200</v>
      </c>
      <c r="EW2" s="230"/>
      <c r="EY2" s="223" t="s">
        <v>16</v>
      </c>
      <c r="EZ2" s="224"/>
      <c r="FA2" s="225"/>
      <c r="FB2" s="225"/>
      <c r="FC2" s="225"/>
      <c r="FD2" s="226"/>
      <c r="FE2" s="227" t="s">
        <v>10</v>
      </c>
      <c r="FF2" s="228"/>
      <c r="FG2" s="229">
        <f>DIÁRIAS!DL370-PAGAMENTOS!FG1</f>
        <v>0</v>
      </c>
      <c r="FH2" s="230"/>
      <c r="FJ2" s="223" t="s">
        <v>16</v>
      </c>
      <c r="FK2" s="224"/>
      <c r="FL2" s="225"/>
      <c r="FM2" s="225"/>
      <c r="FN2" s="225"/>
      <c r="FO2" s="226"/>
      <c r="FP2" s="227" t="s">
        <v>10</v>
      </c>
      <c r="FQ2" s="228"/>
      <c r="FR2" s="229">
        <f>DIÁRIAS!DS372-PAGAMENTOS!FR1</f>
        <v>120</v>
      </c>
      <c r="FS2" s="230"/>
      <c r="FU2" s="265" t="s">
        <v>16</v>
      </c>
      <c r="FV2" s="266"/>
      <c r="FW2" s="269" t="s">
        <v>162</v>
      </c>
      <c r="FX2" s="225"/>
      <c r="FY2" s="225"/>
      <c r="FZ2" s="226"/>
      <c r="GA2" s="270" t="s">
        <v>10</v>
      </c>
      <c r="GB2" s="271"/>
      <c r="GC2" s="229">
        <f>DIÁRIAS!DZ370-PAGAMENTOS!GC1</f>
        <v>120</v>
      </c>
      <c r="GD2" s="230"/>
    </row>
    <row r="3" spans="1:186" ht="12" customHeight="1" thickBot="1" x14ac:dyDescent="0.25">
      <c r="A3" s="61"/>
      <c r="B3" s="45"/>
      <c r="C3" s="46"/>
      <c r="E3" s="61"/>
      <c r="F3" s="149"/>
      <c r="G3" s="47"/>
      <c r="H3" s="47"/>
      <c r="I3" s="46"/>
      <c r="J3" s="46"/>
      <c r="L3" s="44"/>
      <c r="M3" s="45"/>
      <c r="N3" s="14"/>
      <c r="P3" s="61"/>
      <c r="Q3" s="45"/>
      <c r="R3" s="77"/>
      <c r="S3" s="14"/>
      <c r="T3" s="14"/>
      <c r="U3" s="46"/>
      <c r="W3" s="44"/>
      <c r="X3" s="45"/>
      <c r="Y3" s="14"/>
      <c r="AA3" s="101"/>
      <c r="AB3" s="45"/>
      <c r="AC3" s="46"/>
      <c r="AD3" s="46"/>
      <c r="AE3" s="46"/>
      <c r="AF3" s="46"/>
      <c r="AH3" s="61"/>
      <c r="AI3" s="45"/>
      <c r="AJ3" s="14"/>
      <c r="AL3" s="61"/>
      <c r="AM3" s="149"/>
      <c r="AN3" s="46"/>
      <c r="AO3" s="46"/>
      <c r="AP3" s="46"/>
      <c r="AQ3" s="46"/>
      <c r="AS3" s="44"/>
      <c r="AT3" s="45"/>
      <c r="AU3" s="14"/>
      <c r="AW3" s="44"/>
      <c r="AX3" s="45"/>
      <c r="AY3" s="46"/>
      <c r="AZ3" s="46"/>
      <c r="BA3" s="14"/>
      <c r="BB3" s="46"/>
      <c r="BD3" s="44"/>
      <c r="BE3" s="45"/>
      <c r="BF3" s="14"/>
      <c r="BH3" s="61"/>
      <c r="BI3" s="149"/>
      <c r="BJ3" s="46"/>
      <c r="BK3" s="46"/>
      <c r="BL3" s="46"/>
      <c r="BM3" s="46"/>
      <c r="BO3" s="44"/>
      <c r="BP3" s="45"/>
      <c r="BQ3" s="14"/>
      <c r="BS3" s="44"/>
      <c r="BT3" s="45"/>
      <c r="BU3" s="46"/>
      <c r="BV3" s="46"/>
      <c r="BW3" s="46"/>
      <c r="BX3" s="46"/>
      <c r="BZ3" s="44"/>
      <c r="CA3" s="45"/>
      <c r="CB3" s="14"/>
      <c r="CD3" s="44"/>
      <c r="CE3" s="45"/>
      <c r="CF3" s="14"/>
      <c r="CG3" s="14"/>
      <c r="CH3" s="46"/>
      <c r="CI3" s="46"/>
      <c r="CK3" s="44"/>
      <c r="CL3" s="45"/>
      <c r="CM3" s="14"/>
      <c r="CO3" s="44"/>
      <c r="CP3" s="45"/>
      <c r="CQ3" s="14"/>
      <c r="CR3" s="14"/>
      <c r="CS3" s="14"/>
      <c r="CT3" s="46"/>
      <c r="CV3" s="44"/>
      <c r="CW3" s="45"/>
      <c r="CX3" s="14"/>
      <c r="CZ3" s="61"/>
      <c r="DA3" s="149"/>
      <c r="DB3" s="46"/>
      <c r="DC3" s="46"/>
      <c r="DD3" s="46"/>
      <c r="DE3" s="46"/>
      <c r="DG3" s="44"/>
      <c r="DH3" s="45"/>
      <c r="DI3" s="14"/>
      <c r="DK3" s="44"/>
      <c r="DL3" s="45"/>
      <c r="DM3" s="14"/>
      <c r="DN3" s="14"/>
      <c r="DO3" s="14"/>
      <c r="DP3" s="46"/>
      <c r="DR3" s="44"/>
      <c r="DS3" s="45"/>
      <c r="DT3" s="14"/>
      <c r="DV3" s="61"/>
      <c r="DW3" s="149"/>
      <c r="DX3" s="46"/>
      <c r="DY3" s="46"/>
      <c r="DZ3" s="46"/>
      <c r="EA3" s="46"/>
      <c r="EC3" s="44"/>
      <c r="ED3" s="45"/>
      <c r="EE3" s="14"/>
      <c r="EG3" s="61"/>
      <c r="EH3" s="149"/>
      <c r="EI3" s="46"/>
      <c r="EJ3" s="46"/>
      <c r="EK3" s="46"/>
      <c r="EL3" s="46"/>
      <c r="EN3" s="44"/>
      <c r="EO3" s="45"/>
      <c r="EP3" s="14"/>
      <c r="ER3" s="61"/>
      <c r="ES3" s="149"/>
      <c r="ET3" s="46"/>
      <c r="EU3" s="46"/>
      <c r="EV3" s="46"/>
      <c r="EW3" s="46"/>
      <c r="EY3" s="44"/>
      <c r="EZ3" s="45"/>
      <c r="FA3" s="14"/>
      <c r="FC3" s="165"/>
      <c r="FD3" s="149"/>
      <c r="FE3" s="46"/>
      <c r="FF3" s="46"/>
      <c r="FG3" s="46"/>
      <c r="FH3" s="46"/>
      <c r="FJ3" s="44"/>
      <c r="FK3" s="45"/>
      <c r="FL3" s="14"/>
      <c r="FN3" s="61"/>
      <c r="FO3" s="149"/>
      <c r="FP3" s="46"/>
      <c r="FQ3" s="46"/>
      <c r="FR3" s="46"/>
      <c r="FS3" s="46"/>
      <c r="FU3" s="44"/>
      <c r="FV3" s="45"/>
      <c r="FW3" s="14"/>
      <c r="FY3" s="61"/>
      <c r="FZ3" s="149"/>
      <c r="GA3" s="46"/>
      <c r="GB3" s="46"/>
      <c r="GC3" s="46"/>
      <c r="GD3" s="46"/>
    </row>
    <row r="4" spans="1:186" ht="15" customHeight="1" thickBot="1" x14ac:dyDescent="0.25">
      <c r="A4" s="231" t="s">
        <v>15</v>
      </c>
      <c r="B4" s="232"/>
      <c r="C4" s="259"/>
      <c r="D4" s="3"/>
      <c r="E4" s="233" t="s">
        <v>11</v>
      </c>
      <c r="F4" s="234"/>
      <c r="G4" s="234"/>
      <c r="H4" s="234"/>
      <c r="I4" s="235"/>
      <c r="J4" s="236"/>
      <c r="L4" s="231" t="s">
        <v>15</v>
      </c>
      <c r="M4" s="232"/>
      <c r="N4" s="232"/>
      <c r="O4" s="3"/>
      <c r="P4" s="233" t="s">
        <v>11</v>
      </c>
      <c r="Q4" s="234"/>
      <c r="R4" s="234"/>
      <c r="S4" s="234"/>
      <c r="T4" s="235"/>
      <c r="U4" s="236"/>
      <c r="W4" s="231" t="s">
        <v>15</v>
      </c>
      <c r="X4" s="232"/>
      <c r="Y4" s="232"/>
      <c r="Z4" s="3"/>
      <c r="AA4" s="233" t="s">
        <v>115</v>
      </c>
      <c r="AB4" s="234"/>
      <c r="AC4" s="234"/>
      <c r="AD4" s="234"/>
      <c r="AE4" s="235"/>
      <c r="AF4" s="236"/>
      <c r="AH4" s="231" t="s">
        <v>15</v>
      </c>
      <c r="AI4" s="232"/>
      <c r="AJ4" s="232"/>
      <c r="AK4" s="3"/>
      <c r="AL4" s="251" t="s">
        <v>11</v>
      </c>
      <c r="AM4" s="252"/>
      <c r="AN4" s="252"/>
      <c r="AO4" s="252"/>
      <c r="AP4" s="253"/>
      <c r="AQ4" s="254"/>
      <c r="AS4" s="231" t="s">
        <v>15</v>
      </c>
      <c r="AT4" s="232"/>
      <c r="AU4" s="232"/>
      <c r="AV4" s="3"/>
      <c r="AW4" s="233" t="s">
        <v>11</v>
      </c>
      <c r="AX4" s="234"/>
      <c r="AY4" s="234"/>
      <c r="AZ4" s="234"/>
      <c r="BA4" s="235"/>
      <c r="BB4" s="236"/>
      <c r="BD4" s="231" t="s">
        <v>15</v>
      </c>
      <c r="BE4" s="232"/>
      <c r="BF4" s="232"/>
      <c r="BG4" s="3"/>
      <c r="BH4" s="233" t="s">
        <v>11</v>
      </c>
      <c r="BI4" s="234"/>
      <c r="BJ4" s="234"/>
      <c r="BK4" s="234"/>
      <c r="BL4" s="235"/>
      <c r="BM4" s="236"/>
      <c r="BO4" s="231" t="s">
        <v>15</v>
      </c>
      <c r="BP4" s="232"/>
      <c r="BQ4" s="232"/>
      <c r="BR4" s="3"/>
      <c r="BS4" s="233" t="s">
        <v>11</v>
      </c>
      <c r="BT4" s="234"/>
      <c r="BU4" s="234"/>
      <c r="BV4" s="234"/>
      <c r="BW4" s="235"/>
      <c r="BX4" s="236"/>
      <c r="BZ4" s="231" t="s">
        <v>15</v>
      </c>
      <c r="CA4" s="232"/>
      <c r="CB4" s="232"/>
      <c r="CC4" s="3"/>
      <c r="CD4" s="233" t="s">
        <v>11</v>
      </c>
      <c r="CE4" s="234"/>
      <c r="CF4" s="234"/>
      <c r="CG4" s="234"/>
      <c r="CH4" s="235"/>
      <c r="CI4" s="236"/>
      <c r="CK4" s="231" t="s">
        <v>15</v>
      </c>
      <c r="CL4" s="232"/>
      <c r="CM4" s="232"/>
      <c r="CN4" s="3"/>
      <c r="CO4" s="233" t="s">
        <v>11</v>
      </c>
      <c r="CP4" s="234"/>
      <c r="CQ4" s="234"/>
      <c r="CR4" s="234"/>
      <c r="CS4" s="235"/>
      <c r="CT4" s="236"/>
      <c r="CV4" s="231" t="s">
        <v>15</v>
      </c>
      <c r="CW4" s="232"/>
      <c r="CX4" s="232"/>
      <c r="CY4" s="3"/>
      <c r="CZ4" s="233" t="s">
        <v>182</v>
      </c>
      <c r="DA4" s="234"/>
      <c r="DB4" s="234"/>
      <c r="DC4" s="234"/>
      <c r="DD4" s="235"/>
      <c r="DE4" s="236"/>
      <c r="DG4" s="231" t="s">
        <v>15</v>
      </c>
      <c r="DH4" s="232"/>
      <c r="DI4" s="232"/>
      <c r="DJ4" s="3"/>
      <c r="DK4" s="233" t="s">
        <v>11</v>
      </c>
      <c r="DL4" s="234"/>
      <c r="DM4" s="234"/>
      <c r="DN4" s="234"/>
      <c r="DO4" s="235"/>
      <c r="DP4" s="236"/>
      <c r="DR4" s="231" t="s">
        <v>15</v>
      </c>
      <c r="DS4" s="232"/>
      <c r="DT4" s="232"/>
      <c r="DU4" s="3"/>
      <c r="DV4" s="233" t="s">
        <v>11</v>
      </c>
      <c r="DW4" s="234"/>
      <c r="DX4" s="234"/>
      <c r="DY4" s="234"/>
      <c r="DZ4" s="235"/>
      <c r="EA4" s="236"/>
      <c r="EC4" s="231" t="s">
        <v>15</v>
      </c>
      <c r="ED4" s="232"/>
      <c r="EE4" s="232"/>
      <c r="EF4" s="3"/>
      <c r="EG4" s="233" t="s">
        <v>182</v>
      </c>
      <c r="EH4" s="234"/>
      <c r="EI4" s="234"/>
      <c r="EJ4" s="234"/>
      <c r="EK4" s="235"/>
      <c r="EL4" s="236"/>
      <c r="EN4" s="231" t="s">
        <v>15</v>
      </c>
      <c r="EO4" s="232"/>
      <c r="EP4" s="232"/>
      <c r="EQ4" s="3"/>
      <c r="ER4" s="233" t="s">
        <v>11</v>
      </c>
      <c r="ES4" s="234"/>
      <c r="ET4" s="234"/>
      <c r="EU4" s="234"/>
      <c r="EV4" s="235"/>
      <c r="EW4" s="236"/>
      <c r="EY4" s="231" t="s">
        <v>15</v>
      </c>
      <c r="EZ4" s="232"/>
      <c r="FA4" s="232"/>
      <c r="FB4" s="3"/>
      <c r="FC4" s="233" t="s">
        <v>11</v>
      </c>
      <c r="FD4" s="234"/>
      <c r="FE4" s="234"/>
      <c r="FF4" s="234"/>
      <c r="FG4" s="235"/>
      <c r="FH4" s="236"/>
      <c r="FJ4" s="231" t="s">
        <v>15</v>
      </c>
      <c r="FK4" s="232"/>
      <c r="FL4" s="232"/>
      <c r="FM4" s="3"/>
      <c r="FN4" s="233" t="s">
        <v>11</v>
      </c>
      <c r="FO4" s="234"/>
      <c r="FP4" s="234"/>
      <c r="FQ4" s="234"/>
      <c r="FR4" s="235"/>
      <c r="FS4" s="236"/>
      <c r="FU4" s="272" t="s">
        <v>15</v>
      </c>
      <c r="FV4" s="273"/>
      <c r="FW4" s="274"/>
      <c r="FX4" s="3"/>
      <c r="FY4" s="275" t="s">
        <v>11</v>
      </c>
      <c r="FZ4" s="276"/>
      <c r="GA4" s="276"/>
      <c r="GB4" s="276"/>
      <c r="GC4" s="276"/>
      <c r="GD4" s="277"/>
    </row>
    <row r="5" spans="1:186" s="3" customFormat="1" ht="25.5" customHeight="1" thickBot="1" x14ac:dyDescent="0.3">
      <c r="A5" s="8" t="s">
        <v>23</v>
      </c>
      <c r="B5" s="9" t="s">
        <v>12</v>
      </c>
      <c r="C5" s="10" t="s">
        <v>13</v>
      </c>
      <c r="E5" s="4" t="s">
        <v>0</v>
      </c>
      <c r="F5" s="5" t="s">
        <v>12</v>
      </c>
      <c r="G5" s="6" t="s">
        <v>13</v>
      </c>
      <c r="H5" s="7" t="s">
        <v>1</v>
      </c>
      <c r="I5" s="7" t="s">
        <v>52</v>
      </c>
      <c r="J5" s="6" t="s">
        <v>14</v>
      </c>
      <c r="L5" s="8" t="s">
        <v>23</v>
      </c>
      <c r="M5" s="9" t="s">
        <v>12</v>
      </c>
      <c r="N5" s="10" t="s">
        <v>13</v>
      </c>
      <c r="P5" s="4" t="s">
        <v>0</v>
      </c>
      <c r="Q5" s="5" t="s">
        <v>12</v>
      </c>
      <c r="R5" s="6" t="s">
        <v>13</v>
      </c>
      <c r="S5" s="7" t="s">
        <v>1</v>
      </c>
      <c r="T5" s="7" t="s">
        <v>52</v>
      </c>
      <c r="U5" s="6" t="s">
        <v>14</v>
      </c>
      <c r="W5" s="8" t="s">
        <v>23</v>
      </c>
      <c r="X5" s="9" t="s">
        <v>12</v>
      </c>
      <c r="Y5" s="10" t="s">
        <v>13</v>
      </c>
      <c r="AA5" s="4" t="s">
        <v>0</v>
      </c>
      <c r="AB5" s="5" t="s">
        <v>12</v>
      </c>
      <c r="AC5" s="6" t="s">
        <v>13</v>
      </c>
      <c r="AD5" s="7" t="s">
        <v>1</v>
      </c>
      <c r="AE5" s="7" t="s">
        <v>52</v>
      </c>
      <c r="AF5" s="6" t="s">
        <v>14</v>
      </c>
      <c r="AH5" s="8" t="s">
        <v>23</v>
      </c>
      <c r="AI5" s="9" t="s">
        <v>12</v>
      </c>
      <c r="AJ5" s="10" t="s">
        <v>13</v>
      </c>
      <c r="AL5" s="4" t="s">
        <v>0</v>
      </c>
      <c r="AM5" s="5" t="s">
        <v>12</v>
      </c>
      <c r="AN5" s="6" t="s">
        <v>13</v>
      </c>
      <c r="AO5" s="7" t="s">
        <v>1</v>
      </c>
      <c r="AP5" s="7" t="s">
        <v>52</v>
      </c>
      <c r="AQ5" s="6" t="s">
        <v>14</v>
      </c>
      <c r="AS5" s="8" t="s">
        <v>23</v>
      </c>
      <c r="AT5" s="9" t="s">
        <v>12</v>
      </c>
      <c r="AU5" s="10" t="s">
        <v>13</v>
      </c>
      <c r="AW5" s="4" t="s">
        <v>0</v>
      </c>
      <c r="AX5" s="5" t="s">
        <v>12</v>
      </c>
      <c r="AY5" s="6" t="s">
        <v>13</v>
      </c>
      <c r="AZ5" s="7" t="s">
        <v>1</v>
      </c>
      <c r="BA5" s="7" t="s">
        <v>52</v>
      </c>
      <c r="BB5" s="6" t="s">
        <v>14</v>
      </c>
      <c r="BD5" s="8" t="s">
        <v>23</v>
      </c>
      <c r="BE5" s="9" t="s">
        <v>12</v>
      </c>
      <c r="BF5" s="10" t="s">
        <v>13</v>
      </c>
      <c r="BH5" s="4" t="s">
        <v>0</v>
      </c>
      <c r="BI5" s="5" t="s">
        <v>12</v>
      </c>
      <c r="BJ5" s="6" t="s">
        <v>13</v>
      </c>
      <c r="BK5" s="7" t="s">
        <v>1</v>
      </c>
      <c r="BL5" s="7" t="s">
        <v>52</v>
      </c>
      <c r="BM5" s="6" t="s">
        <v>14</v>
      </c>
      <c r="BO5" s="8" t="s">
        <v>23</v>
      </c>
      <c r="BP5" s="9" t="s">
        <v>12</v>
      </c>
      <c r="BQ5" s="10" t="s">
        <v>13</v>
      </c>
      <c r="BS5" s="4" t="s">
        <v>0</v>
      </c>
      <c r="BT5" s="5" t="s">
        <v>12</v>
      </c>
      <c r="BU5" s="6" t="s">
        <v>13</v>
      </c>
      <c r="BV5" s="7" t="s">
        <v>1</v>
      </c>
      <c r="BW5" s="7" t="s">
        <v>52</v>
      </c>
      <c r="BX5" s="6" t="s">
        <v>14</v>
      </c>
      <c r="BZ5" s="8" t="s">
        <v>23</v>
      </c>
      <c r="CA5" s="9" t="s">
        <v>12</v>
      </c>
      <c r="CB5" s="10" t="s">
        <v>13</v>
      </c>
      <c r="CD5" s="4" t="s">
        <v>0</v>
      </c>
      <c r="CE5" s="5" t="s">
        <v>12</v>
      </c>
      <c r="CF5" s="6" t="s">
        <v>13</v>
      </c>
      <c r="CG5" s="7" t="s">
        <v>1</v>
      </c>
      <c r="CH5" s="7" t="s">
        <v>52</v>
      </c>
      <c r="CI5" s="6" t="s">
        <v>14</v>
      </c>
      <c r="CK5" s="8" t="s">
        <v>23</v>
      </c>
      <c r="CL5" s="9" t="s">
        <v>12</v>
      </c>
      <c r="CM5" s="10" t="s">
        <v>13</v>
      </c>
      <c r="CO5" s="4" t="s">
        <v>0</v>
      </c>
      <c r="CP5" s="5" t="s">
        <v>12</v>
      </c>
      <c r="CQ5" s="6" t="s">
        <v>13</v>
      </c>
      <c r="CR5" s="7" t="s">
        <v>1</v>
      </c>
      <c r="CS5" s="7" t="s">
        <v>52</v>
      </c>
      <c r="CT5" s="6" t="s">
        <v>14</v>
      </c>
      <c r="CV5" s="8" t="s">
        <v>23</v>
      </c>
      <c r="CW5" s="9" t="s">
        <v>12</v>
      </c>
      <c r="CX5" s="10" t="s">
        <v>13</v>
      </c>
      <c r="CZ5" s="4" t="s">
        <v>0</v>
      </c>
      <c r="DA5" s="5" t="s">
        <v>12</v>
      </c>
      <c r="DB5" s="6" t="s">
        <v>13</v>
      </c>
      <c r="DC5" s="7" t="s">
        <v>1</v>
      </c>
      <c r="DD5" s="7" t="s">
        <v>52</v>
      </c>
      <c r="DE5" s="6" t="s">
        <v>14</v>
      </c>
      <c r="DG5" s="8" t="s">
        <v>23</v>
      </c>
      <c r="DH5" s="9" t="s">
        <v>12</v>
      </c>
      <c r="DI5" s="10" t="s">
        <v>13</v>
      </c>
      <c r="DK5" s="4" t="s">
        <v>0</v>
      </c>
      <c r="DL5" s="5" t="s">
        <v>12</v>
      </c>
      <c r="DM5" s="6" t="s">
        <v>13</v>
      </c>
      <c r="DN5" s="7" t="s">
        <v>1</v>
      </c>
      <c r="DO5" s="7" t="s">
        <v>52</v>
      </c>
      <c r="DP5" s="6" t="s">
        <v>14</v>
      </c>
      <c r="DR5" s="8" t="s">
        <v>23</v>
      </c>
      <c r="DS5" s="9" t="s">
        <v>12</v>
      </c>
      <c r="DT5" s="10" t="s">
        <v>13</v>
      </c>
      <c r="DV5" s="4" t="s">
        <v>0</v>
      </c>
      <c r="DW5" s="5" t="s">
        <v>12</v>
      </c>
      <c r="DX5" s="6" t="s">
        <v>13</v>
      </c>
      <c r="DY5" s="7" t="s">
        <v>1</v>
      </c>
      <c r="DZ5" s="7" t="s">
        <v>52</v>
      </c>
      <c r="EA5" s="6" t="s">
        <v>14</v>
      </c>
      <c r="EC5" s="8" t="s">
        <v>23</v>
      </c>
      <c r="ED5" s="9" t="s">
        <v>12</v>
      </c>
      <c r="EE5" s="10" t="s">
        <v>13</v>
      </c>
      <c r="EG5" s="4" t="s">
        <v>0</v>
      </c>
      <c r="EH5" s="5" t="s">
        <v>12</v>
      </c>
      <c r="EI5" s="6" t="s">
        <v>13</v>
      </c>
      <c r="EJ5" s="7" t="s">
        <v>1</v>
      </c>
      <c r="EK5" s="7" t="s">
        <v>52</v>
      </c>
      <c r="EL5" s="6" t="s">
        <v>14</v>
      </c>
      <c r="EN5" s="8" t="s">
        <v>23</v>
      </c>
      <c r="EO5" s="9" t="s">
        <v>12</v>
      </c>
      <c r="EP5" s="10" t="s">
        <v>13</v>
      </c>
      <c r="ER5" s="4" t="s">
        <v>0</v>
      </c>
      <c r="ES5" s="5" t="s">
        <v>12</v>
      </c>
      <c r="ET5" s="6" t="s">
        <v>13</v>
      </c>
      <c r="EU5" s="7" t="s">
        <v>1</v>
      </c>
      <c r="EV5" s="7" t="s">
        <v>52</v>
      </c>
      <c r="EW5" s="6" t="s">
        <v>14</v>
      </c>
      <c r="EY5" s="8" t="s">
        <v>23</v>
      </c>
      <c r="EZ5" s="9" t="s">
        <v>12</v>
      </c>
      <c r="FA5" s="10" t="s">
        <v>13</v>
      </c>
      <c r="FC5" s="4" t="s">
        <v>0</v>
      </c>
      <c r="FD5" s="5" t="s">
        <v>12</v>
      </c>
      <c r="FE5" s="6" t="s">
        <v>13</v>
      </c>
      <c r="FF5" s="7" t="s">
        <v>1</v>
      </c>
      <c r="FG5" s="7" t="s">
        <v>52</v>
      </c>
      <c r="FH5" s="6" t="s">
        <v>14</v>
      </c>
      <c r="FJ5" s="8" t="s">
        <v>23</v>
      </c>
      <c r="FK5" s="9" t="s">
        <v>12</v>
      </c>
      <c r="FL5" s="10" t="s">
        <v>13</v>
      </c>
      <c r="FN5" s="4" t="s">
        <v>0</v>
      </c>
      <c r="FO5" s="5" t="s">
        <v>12</v>
      </c>
      <c r="FP5" s="6" t="s">
        <v>13</v>
      </c>
      <c r="FQ5" s="7" t="s">
        <v>1</v>
      </c>
      <c r="FR5" s="7" t="s">
        <v>52</v>
      </c>
      <c r="FS5" s="6" t="s">
        <v>14</v>
      </c>
      <c r="FU5" s="8" t="s">
        <v>23</v>
      </c>
      <c r="FV5" s="9" t="s">
        <v>12</v>
      </c>
      <c r="FW5" s="10" t="s">
        <v>13</v>
      </c>
      <c r="FY5" s="4" t="s">
        <v>0</v>
      </c>
      <c r="FZ5" s="5" t="s">
        <v>12</v>
      </c>
      <c r="GA5" s="6" t="s">
        <v>13</v>
      </c>
      <c r="GB5" s="7" t="s">
        <v>1</v>
      </c>
      <c r="GC5" s="7" t="s">
        <v>52</v>
      </c>
      <c r="GD5" s="6" t="s">
        <v>14</v>
      </c>
    </row>
    <row r="6" spans="1:186" s="79" customFormat="1" ht="15" customHeight="1" x14ac:dyDescent="0.2">
      <c r="A6" s="62">
        <v>46024</v>
      </c>
      <c r="B6" s="76">
        <v>170</v>
      </c>
      <c r="C6" s="90" t="s">
        <v>108</v>
      </c>
      <c r="E6" s="63">
        <v>46024</v>
      </c>
      <c r="F6" s="150">
        <v>15</v>
      </c>
      <c r="G6" s="51" t="s">
        <v>77</v>
      </c>
      <c r="H6" s="51" t="s">
        <v>73</v>
      </c>
      <c r="I6" s="63">
        <v>46027</v>
      </c>
      <c r="J6" s="51" t="s">
        <v>26</v>
      </c>
      <c r="L6" s="48"/>
      <c r="M6" s="85"/>
      <c r="N6" s="82"/>
      <c r="P6" s="63"/>
      <c r="Q6" s="50"/>
      <c r="R6" s="78"/>
      <c r="S6" s="81"/>
      <c r="T6" s="63"/>
      <c r="U6" s="51"/>
      <c r="W6" s="48">
        <v>46027</v>
      </c>
      <c r="X6" s="85">
        <v>120</v>
      </c>
      <c r="Y6" s="82" t="s">
        <v>81</v>
      </c>
      <c r="AA6" s="102">
        <v>46039</v>
      </c>
      <c r="AB6" s="50">
        <f>63-22.2</f>
        <v>40.799999999999997</v>
      </c>
      <c r="AC6" s="60" t="s">
        <v>82</v>
      </c>
      <c r="AD6" s="51" t="s">
        <v>56</v>
      </c>
      <c r="AE6" s="63">
        <v>46039</v>
      </c>
      <c r="AF6" s="51" t="s">
        <v>26</v>
      </c>
      <c r="AH6" s="138">
        <v>46027</v>
      </c>
      <c r="AI6" s="107">
        <v>180</v>
      </c>
      <c r="AJ6" s="148" t="s">
        <v>81</v>
      </c>
      <c r="AL6" s="63">
        <v>46031</v>
      </c>
      <c r="AM6" s="150">
        <v>20.95</v>
      </c>
      <c r="AN6" s="51" t="s">
        <v>82</v>
      </c>
      <c r="AO6" s="51" t="s">
        <v>56</v>
      </c>
      <c r="AP6" s="63">
        <v>46036</v>
      </c>
      <c r="AQ6" s="51" t="s">
        <v>26</v>
      </c>
      <c r="AS6" s="147">
        <v>46027</v>
      </c>
      <c r="AT6" s="107">
        <v>250</v>
      </c>
      <c r="AU6" s="148" t="s">
        <v>119</v>
      </c>
      <c r="AW6" s="49">
        <v>46027</v>
      </c>
      <c r="AX6" s="50">
        <v>19.5</v>
      </c>
      <c r="AY6" s="51" t="s">
        <v>82</v>
      </c>
      <c r="AZ6" s="51" t="s">
        <v>31</v>
      </c>
      <c r="BA6" s="49">
        <v>46027</v>
      </c>
      <c r="BB6" s="51" t="s">
        <v>26</v>
      </c>
      <c r="BD6" s="110">
        <v>46024</v>
      </c>
      <c r="BE6" s="85">
        <v>60</v>
      </c>
      <c r="BF6" s="82" t="s">
        <v>80</v>
      </c>
      <c r="BH6" s="63">
        <v>46375</v>
      </c>
      <c r="BI6" s="150">
        <v>100</v>
      </c>
      <c r="BJ6" s="51" t="s">
        <v>92</v>
      </c>
      <c r="BK6" s="51" t="s">
        <v>61</v>
      </c>
      <c r="BL6" s="64">
        <v>46042</v>
      </c>
      <c r="BM6" s="51" t="s">
        <v>26</v>
      </c>
      <c r="BO6" s="110">
        <v>46027</v>
      </c>
      <c r="BP6" s="85">
        <v>120</v>
      </c>
      <c r="BQ6" s="82" t="s">
        <v>119</v>
      </c>
      <c r="BS6" s="49">
        <v>46027</v>
      </c>
      <c r="BT6" s="50">
        <v>9.1</v>
      </c>
      <c r="BU6" s="51" t="s">
        <v>82</v>
      </c>
      <c r="BV6" s="51" t="s">
        <v>31</v>
      </c>
      <c r="BW6" s="64">
        <v>46036</v>
      </c>
      <c r="BX6" s="51" t="s">
        <v>26</v>
      </c>
      <c r="BZ6" s="86">
        <v>46024</v>
      </c>
      <c r="CA6" s="76">
        <v>60</v>
      </c>
      <c r="CB6" s="80" t="s">
        <v>80</v>
      </c>
      <c r="CD6" s="49">
        <v>46035</v>
      </c>
      <c r="CE6" s="50">
        <v>250</v>
      </c>
      <c r="CF6" s="81" t="s">
        <v>92</v>
      </c>
      <c r="CG6" s="81" t="s">
        <v>76</v>
      </c>
      <c r="CH6" s="64">
        <v>46049</v>
      </c>
      <c r="CI6" s="51" t="s">
        <v>26</v>
      </c>
      <c r="CK6" s="86">
        <v>46024</v>
      </c>
      <c r="CL6" s="76">
        <v>60</v>
      </c>
      <c r="CM6" s="80" t="s">
        <v>80</v>
      </c>
      <c r="CO6" s="49"/>
      <c r="CP6" s="50"/>
      <c r="CQ6" s="81"/>
      <c r="CR6" s="81"/>
      <c r="CS6" s="73"/>
      <c r="CT6" s="51"/>
      <c r="CV6" s="86">
        <v>46036</v>
      </c>
      <c r="CW6" s="76">
        <v>60</v>
      </c>
      <c r="CX6" s="80" t="s">
        <v>89</v>
      </c>
      <c r="CZ6" s="63">
        <v>46044</v>
      </c>
      <c r="DA6" s="150">
        <f>100/2</f>
        <v>50</v>
      </c>
      <c r="DB6" s="51" t="s">
        <v>103</v>
      </c>
      <c r="DC6" s="51" t="s">
        <v>104</v>
      </c>
      <c r="DD6" s="64">
        <v>46058</v>
      </c>
      <c r="DE6" s="51" t="s">
        <v>26</v>
      </c>
      <c r="DG6" s="86">
        <v>46042</v>
      </c>
      <c r="DH6" s="76">
        <v>200</v>
      </c>
      <c r="DI6" s="80" t="s">
        <v>87</v>
      </c>
      <c r="DK6" s="49"/>
      <c r="DL6" s="50"/>
      <c r="DM6" s="81"/>
      <c r="DN6" s="81"/>
      <c r="DO6" s="73"/>
      <c r="DP6" s="51"/>
      <c r="DR6" s="86">
        <v>46059</v>
      </c>
      <c r="DS6" s="76">
        <v>392</v>
      </c>
      <c r="DT6" s="80" t="s">
        <v>131</v>
      </c>
      <c r="DV6" s="63">
        <v>46069</v>
      </c>
      <c r="DW6" s="150">
        <v>15</v>
      </c>
      <c r="DX6" s="51" t="s">
        <v>77</v>
      </c>
      <c r="DY6" s="51" t="s">
        <v>73</v>
      </c>
      <c r="DZ6" s="64">
        <v>46077</v>
      </c>
      <c r="EA6" s="51" t="s">
        <v>26</v>
      </c>
      <c r="EC6" s="86">
        <v>46066</v>
      </c>
      <c r="ED6" s="76">
        <v>63</v>
      </c>
      <c r="EE6" s="80" t="s">
        <v>136</v>
      </c>
      <c r="EG6" s="63">
        <v>46082</v>
      </c>
      <c r="EH6" s="150">
        <v>155</v>
      </c>
      <c r="EI6" s="51" t="s">
        <v>158</v>
      </c>
      <c r="EJ6" s="51" t="s">
        <v>73</v>
      </c>
      <c r="EK6" s="64">
        <v>46086</v>
      </c>
      <c r="EL6" s="51" t="s">
        <v>26</v>
      </c>
      <c r="EN6" s="86">
        <v>46066</v>
      </c>
      <c r="EO6" s="76">
        <v>63</v>
      </c>
      <c r="EP6" s="80" t="s">
        <v>136</v>
      </c>
      <c r="ER6" s="63">
        <v>46075</v>
      </c>
      <c r="ES6" s="150">
        <v>300</v>
      </c>
      <c r="ET6" s="51" t="s">
        <v>158</v>
      </c>
      <c r="EU6" s="51" t="s">
        <v>73</v>
      </c>
      <c r="EV6" s="64">
        <v>46086</v>
      </c>
      <c r="EW6" s="51" t="s">
        <v>26</v>
      </c>
      <c r="EY6" s="86">
        <v>46066</v>
      </c>
      <c r="EZ6" s="76">
        <v>63</v>
      </c>
      <c r="FA6" s="80" t="s">
        <v>136</v>
      </c>
      <c r="FC6" s="63"/>
      <c r="FD6" s="150"/>
      <c r="FE6" s="51"/>
      <c r="FF6" s="51"/>
      <c r="FG6" s="64"/>
      <c r="FH6" s="51"/>
      <c r="FJ6" s="86">
        <v>46080</v>
      </c>
      <c r="FK6" s="76">
        <v>65</v>
      </c>
      <c r="FL6" s="80" t="s">
        <v>157</v>
      </c>
      <c r="FN6" s="63">
        <v>46081</v>
      </c>
      <c r="FO6" s="150">
        <v>120</v>
      </c>
      <c r="FP6" s="51" t="s">
        <v>158</v>
      </c>
      <c r="FQ6" s="51" t="s">
        <v>73</v>
      </c>
      <c r="FR6" s="64">
        <v>46086</v>
      </c>
      <c r="FS6" s="60" t="s">
        <v>26</v>
      </c>
      <c r="FU6" s="86">
        <v>46086</v>
      </c>
      <c r="FV6" s="76">
        <v>65</v>
      </c>
      <c r="FW6" s="80"/>
      <c r="FY6" s="64">
        <v>46082</v>
      </c>
      <c r="FZ6" s="151">
        <v>155</v>
      </c>
      <c r="GA6" s="60" t="s">
        <v>158</v>
      </c>
      <c r="GB6" s="51"/>
      <c r="GC6" s="64"/>
      <c r="GD6" s="51"/>
    </row>
    <row r="7" spans="1:186" s="79" customFormat="1" ht="15" customHeight="1" x14ac:dyDescent="0.2">
      <c r="A7" s="138">
        <v>46027</v>
      </c>
      <c r="B7" s="107">
        <v>608</v>
      </c>
      <c r="C7" s="139" t="s">
        <v>113</v>
      </c>
      <c r="E7" s="63">
        <v>46025</v>
      </c>
      <c r="F7" s="150">
        <v>15</v>
      </c>
      <c r="G7" s="51" t="s">
        <v>77</v>
      </c>
      <c r="H7" s="51" t="s">
        <v>73</v>
      </c>
      <c r="I7" s="63">
        <v>46027</v>
      </c>
      <c r="J7" s="51" t="s">
        <v>26</v>
      </c>
      <c r="L7" s="52"/>
      <c r="M7" s="76"/>
      <c r="N7" s="80"/>
      <c r="P7" s="64"/>
      <c r="Q7" s="56"/>
      <c r="R7" s="78"/>
      <c r="S7" s="81"/>
      <c r="T7" s="64"/>
      <c r="U7" s="60"/>
      <c r="W7" s="52">
        <v>46036</v>
      </c>
      <c r="X7" s="76">
        <v>60</v>
      </c>
      <c r="Y7" s="80" t="s">
        <v>84</v>
      </c>
      <c r="AA7" s="103">
        <v>46042</v>
      </c>
      <c r="AB7" s="56">
        <v>50</v>
      </c>
      <c r="AC7" s="60" t="s">
        <v>102</v>
      </c>
      <c r="AD7" s="51" t="s">
        <v>75</v>
      </c>
      <c r="AE7" s="64">
        <v>46058</v>
      </c>
      <c r="AF7" s="51" t="s">
        <v>26</v>
      </c>
      <c r="AH7" s="65">
        <v>46036</v>
      </c>
      <c r="AI7" s="105">
        <v>60</v>
      </c>
      <c r="AJ7" s="106" t="s">
        <v>89</v>
      </c>
      <c r="AL7" s="64">
        <v>46064</v>
      </c>
      <c r="AM7" s="151">
        <f>12*20</f>
        <v>240</v>
      </c>
      <c r="AN7" s="60" t="s">
        <v>127</v>
      </c>
      <c r="AO7" s="51" t="s">
        <v>61</v>
      </c>
      <c r="AP7" s="64">
        <v>46064</v>
      </c>
      <c r="AQ7" s="51" t="s">
        <v>26</v>
      </c>
      <c r="AS7" s="52">
        <v>46036</v>
      </c>
      <c r="AT7" s="76">
        <v>60</v>
      </c>
      <c r="AU7" s="80" t="s">
        <v>84</v>
      </c>
      <c r="AW7" s="49">
        <v>46031</v>
      </c>
      <c r="AX7" s="50">
        <v>25.16</v>
      </c>
      <c r="AY7" s="51" t="s">
        <v>82</v>
      </c>
      <c r="AZ7" s="51" t="s">
        <v>31</v>
      </c>
      <c r="BA7" s="55">
        <v>46039</v>
      </c>
      <c r="BB7" s="51" t="s">
        <v>26</v>
      </c>
      <c r="BD7" s="110">
        <v>46027</v>
      </c>
      <c r="BE7" s="85">
        <v>212</v>
      </c>
      <c r="BF7" s="82" t="s">
        <v>122</v>
      </c>
      <c r="BH7" s="64">
        <v>46064</v>
      </c>
      <c r="BI7" s="151">
        <f>12*20</f>
        <v>240</v>
      </c>
      <c r="BJ7" s="60" t="s">
        <v>130</v>
      </c>
      <c r="BK7" s="60" t="s">
        <v>61</v>
      </c>
      <c r="BL7" s="64">
        <v>46064</v>
      </c>
      <c r="BM7" s="60" t="s">
        <v>26</v>
      </c>
      <c r="BO7" s="52">
        <v>46036</v>
      </c>
      <c r="BP7" s="76">
        <v>30</v>
      </c>
      <c r="BQ7" s="80" t="s">
        <v>84</v>
      </c>
      <c r="BS7" s="55">
        <v>46031</v>
      </c>
      <c r="BT7" s="56">
        <v>16.32</v>
      </c>
      <c r="BU7" s="60" t="s">
        <v>82</v>
      </c>
      <c r="BV7" s="60" t="s">
        <v>56</v>
      </c>
      <c r="BW7" s="64">
        <v>46036</v>
      </c>
      <c r="BX7" s="51" t="s">
        <v>26</v>
      </c>
      <c r="BZ7" s="86">
        <v>46027</v>
      </c>
      <c r="CA7" s="76">
        <v>324</v>
      </c>
      <c r="CB7" s="80" t="s">
        <v>79</v>
      </c>
      <c r="CD7" s="55"/>
      <c r="CE7" s="56"/>
      <c r="CF7" s="83"/>
      <c r="CG7" s="83"/>
      <c r="CH7" s="64"/>
      <c r="CI7" s="60"/>
      <c r="CK7" s="86">
        <v>46027</v>
      </c>
      <c r="CL7" s="76">
        <v>212</v>
      </c>
      <c r="CM7" s="80" t="s">
        <v>83</v>
      </c>
      <c r="CO7" s="55"/>
      <c r="CP7" s="56"/>
      <c r="CQ7" s="83"/>
      <c r="CR7" s="83"/>
      <c r="CS7" s="73"/>
      <c r="CT7" s="60"/>
      <c r="CV7" s="86">
        <v>46039</v>
      </c>
      <c r="CW7" s="76">
        <v>60</v>
      </c>
      <c r="CX7" s="80" t="s">
        <v>88</v>
      </c>
      <c r="CZ7" s="64">
        <v>46064</v>
      </c>
      <c r="DA7" s="151">
        <v>220</v>
      </c>
      <c r="DB7" s="60" t="s">
        <v>130</v>
      </c>
      <c r="DC7" s="60" t="s">
        <v>32</v>
      </c>
      <c r="DD7" s="64">
        <v>46064</v>
      </c>
      <c r="DE7" s="51" t="s">
        <v>26</v>
      </c>
      <c r="DG7" s="86">
        <v>46042</v>
      </c>
      <c r="DH7" s="76">
        <v>60</v>
      </c>
      <c r="DI7" s="80" t="s">
        <v>88</v>
      </c>
      <c r="DK7" s="55"/>
      <c r="DL7" s="56"/>
      <c r="DM7" s="83"/>
      <c r="DN7" s="83"/>
      <c r="DO7" s="73"/>
      <c r="DP7" s="60"/>
      <c r="DR7" s="86">
        <v>46059</v>
      </c>
      <c r="DS7" s="76">
        <v>50</v>
      </c>
      <c r="DT7" s="80" t="s">
        <v>129</v>
      </c>
      <c r="DV7" s="64">
        <v>46070</v>
      </c>
      <c r="DW7" s="150">
        <v>15</v>
      </c>
      <c r="DX7" s="51" t="s">
        <v>77</v>
      </c>
      <c r="DY7" s="51" t="s">
        <v>73</v>
      </c>
      <c r="DZ7" s="64">
        <v>46077</v>
      </c>
      <c r="EA7" s="51" t="s">
        <v>26</v>
      </c>
      <c r="EC7" s="86">
        <v>46071</v>
      </c>
      <c r="ED7" s="76">
        <v>98</v>
      </c>
      <c r="EE7" s="80" t="s">
        <v>138</v>
      </c>
      <c r="EG7" s="64"/>
      <c r="EH7" s="151"/>
      <c r="EI7" s="60"/>
      <c r="EJ7" s="60"/>
      <c r="EK7" s="64"/>
      <c r="EL7" s="60"/>
      <c r="EN7" s="86">
        <v>46071</v>
      </c>
      <c r="EO7" s="76">
        <v>114</v>
      </c>
      <c r="EP7" s="80" t="s">
        <v>139</v>
      </c>
      <c r="ER7" s="64">
        <v>46078</v>
      </c>
      <c r="ES7" s="151">
        <v>100</v>
      </c>
      <c r="ET7" s="60" t="s">
        <v>159</v>
      </c>
      <c r="EU7" s="60" t="s">
        <v>166</v>
      </c>
      <c r="EV7" s="64">
        <v>46086</v>
      </c>
      <c r="EW7" s="51" t="s">
        <v>26</v>
      </c>
      <c r="EY7" s="86">
        <v>46071</v>
      </c>
      <c r="EZ7" s="76">
        <v>10</v>
      </c>
      <c r="FA7" s="80" t="s">
        <v>141</v>
      </c>
      <c r="FC7" s="64"/>
      <c r="FD7" s="151"/>
      <c r="FE7" s="60"/>
      <c r="FF7" s="60"/>
      <c r="FG7" s="64"/>
      <c r="FH7" s="60"/>
      <c r="FJ7" s="86">
        <v>46084</v>
      </c>
      <c r="FK7" s="76">
        <v>40</v>
      </c>
      <c r="FL7" s="80" t="s">
        <v>155</v>
      </c>
      <c r="FN7" s="64">
        <v>46082</v>
      </c>
      <c r="FO7" s="151">
        <v>155</v>
      </c>
      <c r="FP7" s="60" t="s">
        <v>158</v>
      </c>
      <c r="FQ7" s="51" t="s">
        <v>73</v>
      </c>
      <c r="FR7" s="64">
        <v>46086</v>
      </c>
      <c r="FS7" s="60" t="s">
        <v>26</v>
      </c>
      <c r="FU7" s="86">
        <v>46086</v>
      </c>
      <c r="FV7" s="76">
        <v>678</v>
      </c>
      <c r="FW7" s="80"/>
      <c r="FY7" s="64"/>
      <c r="FZ7" s="151"/>
      <c r="GA7" s="60"/>
      <c r="GB7" s="60"/>
      <c r="GC7" s="64"/>
      <c r="GD7" s="60"/>
    </row>
    <row r="8" spans="1:186" s="79" customFormat="1" ht="15" customHeight="1" x14ac:dyDescent="0.2">
      <c r="A8" s="65">
        <v>46034</v>
      </c>
      <c r="B8" s="105">
        <v>170</v>
      </c>
      <c r="C8" s="139" t="s">
        <v>107</v>
      </c>
      <c r="E8" s="64">
        <v>46027</v>
      </c>
      <c r="F8" s="150">
        <v>15</v>
      </c>
      <c r="G8" s="51" t="s">
        <v>77</v>
      </c>
      <c r="H8" s="51" t="s">
        <v>73</v>
      </c>
      <c r="I8" s="64">
        <v>46042</v>
      </c>
      <c r="J8" s="51" t="s">
        <v>26</v>
      </c>
      <c r="L8" s="52"/>
      <c r="M8" s="76"/>
      <c r="N8" s="80"/>
      <c r="P8" s="64"/>
      <c r="Q8" s="56"/>
      <c r="R8" s="78"/>
      <c r="S8" s="81"/>
      <c r="T8" s="64"/>
      <c r="U8" s="60"/>
      <c r="W8" s="52">
        <v>46039</v>
      </c>
      <c r="X8" s="53">
        <f>12.6*5</f>
        <v>63</v>
      </c>
      <c r="Y8" s="80" t="s">
        <v>88</v>
      </c>
      <c r="AA8" s="103">
        <v>46062</v>
      </c>
      <c r="AB8" s="56">
        <f>12*20</f>
        <v>240</v>
      </c>
      <c r="AC8" s="60" t="s">
        <v>125</v>
      </c>
      <c r="AD8" s="51" t="s">
        <v>32</v>
      </c>
      <c r="AE8" s="64">
        <v>46062</v>
      </c>
      <c r="AF8" s="51" t="s">
        <v>26</v>
      </c>
      <c r="AH8" s="65">
        <v>46039</v>
      </c>
      <c r="AI8" s="105">
        <v>60</v>
      </c>
      <c r="AJ8" s="108" t="s">
        <v>88</v>
      </c>
      <c r="AL8" s="64"/>
      <c r="AM8" s="151"/>
      <c r="AN8" s="60"/>
      <c r="AO8" s="51"/>
      <c r="AP8" s="64"/>
      <c r="AQ8" s="51"/>
      <c r="AS8" s="109">
        <v>46039</v>
      </c>
      <c r="AT8" s="105">
        <v>60</v>
      </c>
      <c r="AU8" s="106" t="s">
        <v>88</v>
      </c>
      <c r="AW8" s="55">
        <v>46023</v>
      </c>
      <c r="AX8" s="56">
        <v>100</v>
      </c>
      <c r="AY8" s="51" t="s">
        <v>95</v>
      </c>
      <c r="AZ8" s="51" t="s">
        <v>56</v>
      </c>
      <c r="BA8" s="55">
        <v>46042</v>
      </c>
      <c r="BB8" s="51" t="s">
        <v>26</v>
      </c>
      <c r="BD8" s="86">
        <v>46034</v>
      </c>
      <c r="BE8" s="85">
        <v>60</v>
      </c>
      <c r="BF8" s="80" t="s">
        <v>89</v>
      </c>
      <c r="BH8" s="64"/>
      <c r="BI8" s="151"/>
      <c r="BJ8" s="60"/>
      <c r="BK8" s="60"/>
      <c r="BL8" s="64"/>
      <c r="BM8" s="60"/>
      <c r="BO8" s="87">
        <v>46039</v>
      </c>
      <c r="BP8" s="69">
        <v>60</v>
      </c>
      <c r="BQ8" s="84" t="s">
        <v>88</v>
      </c>
      <c r="BS8" s="55">
        <v>46034</v>
      </c>
      <c r="BT8" s="56">
        <v>16.100000000000001</v>
      </c>
      <c r="BU8" s="60" t="s">
        <v>82</v>
      </c>
      <c r="BV8" s="60" t="s">
        <v>56</v>
      </c>
      <c r="BW8" s="64">
        <v>46036</v>
      </c>
      <c r="BX8" s="51" t="s">
        <v>26</v>
      </c>
      <c r="BZ8" s="86">
        <v>46034</v>
      </c>
      <c r="CA8" s="85">
        <v>60</v>
      </c>
      <c r="CB8" s="80" t="s">
        <v>84</v>
      </c>
      <c r="CD8" s="55"/>
      <c r="CE8" s="56"/>
      <c r="CF8" s="83"/>
      <c r="CG8" s="83"/>
      <c r="CH8" s="64"/>
      <c r="CI8" s="60"/>
      <c r="CK8" s="86"/>
      <c r="CL8" s="85"/>
      <c r="CM8" s="80"/>
      <c r="CO8" s="55"/>
      <c r="CP8" s="56"/>
      <c r="CQ8" s="83"/>
      <c r="CR8" s="83"/>
      <c r="CS8" s="73"/>
      <c r="CT8" s="60"/>
      <c r="CV8" s="86">
        <v>46042</v>
      </c>
      <c r="CW8" s="85">
        <v>476</v>
      </c>
      <c r="CX8" s="80" t="s">
        <v>90</v>
      </c>
      <c r="CZ8" s="103">
        <v>46043</v>
      </c>
      <c r="DA8" s="151">
        <v>50</v>
      </c>
      <c r="DB8" s="60" t="s">
        <v>102</v>
      </c>
      <c r="DC8" s="51" t="s">
        <v>75</v>
      </c>
      <c r="DD8" s="64">
        <v>46064</v>
      </c>
      <c r="DE8" s="51" t="s">
        <v>26</v>
      </c>
      <c r="DG8" s="109">
        <v>46045</v>
      </c>
      <c r="DH8" s="105">
        <v>60</v>
      </c>
      <c r="DI8" s="106" t="s">
        <v>118</v>
      </c>
      <c r="DK8" s="55"/>
      <c r="DL8" s="56"/>
      <c r="DM8" s="83"/>
      <c r="DN8" s="83"/>
      <c r="DO8" s="73"/>
      <c r="DP8" s="60"/>
      <c r="DR8" s="86">
        <v>46059</v>
      </c>
      <c r="DS8" s="76">
        <v>63</v>
      </c>
      <c r="DT8" s="80" t="s">
        <v>126</v>
      </c>
      <c r="DV8" s="64">
        <v>46071</v>
      </c>
      <c r="DW8" s="150">
        <v>15</v>
      </c>
      <c r="DX8" s="51" t="s">
        <v>77</v>
      </c>
      <c r="DY8" s="51" t="s">
        <v>73</v>
      </c>
      <c r="DZ8" s="64">
        <v>46077</v>
      </c>
      <c r="EA8" s="51" t="s">
        <v>26</v>
      </c>
      <c r="EC8" s="86">
        <v>46073</v>
      </c>
      <c r="ED8" s="76">
        <v>840</v>
      </c>
      <c r="EE8" s="80" t="s">
        <v>142</v>
      </c>
      <c r="EG8" s="64"/>
      <c r="EH8" s="151"/>
      <c r="EI8" s="60"/>
      <c r="EJ8" s="60"/>
      <c r="EK8" s="64"/>
      <c r="EL8" s="60"/>
      <c r="EN8" s="86">
        <v>46073</v>
      </c>
      <c r="EO8" s="76">
        <v>1080</v>
      </c>
      <c r="EP8" s="80" t="s">
        <v>148</v>
      </c>
      <c r="ER8" s="64">
        <v>46081</v>
      </c>
      <c r="ES8" s="151">
        <v>200</v>
      </c>
      <c r="ET8" s="51" t="s">
        <v>158</v>
      </c>
      <c r="EU8" s="51" t="s">
        <v>73</v>
      </c>
      <c r="EV8" s="64">
        <v>46086</v>
      </c>
      <c r="EW8" s="51" t="s">
        <v>26</v>
      </c>
      <c r="EY8" s="86">
        <v>46073</v>
      </c>
      <c r="EZ8" s="76">
        <v>600</v>
      </c>
      <c r="FA8" s="80" t="s">
        <v>148</v>
      </c>
      <c r="FC8" s="64"/>
      <c r="FD8" s="151"/>
      <c r="FE8" s="60"/>
      <c r="FF8" s="60"/>
      <c r="FG8" s="64"/>
      <c r="FH8" s="60"/>
      <c r="FJ8" s="86">
        <v>46086</v>
      </c>
      <c r="FK8" s="76">
        <v>1433</v>
      </c>
      <c r="FL8" s="80" t="s">
        <v>165</v>
      </c>
      <c r="FN8" s="64">
        <v>46085</v>
      </c>
      <c r="FO8" s="151">
        <v>60</v>
      </c>
      <c r="FP8" s="60" t="s">
        <v>161</v>
      </c>
      <c r="FQ8" s="60" t="s">
        <v>160</v>
      </c>
      <c r="FR8" s="64">
        <v>46086</v>
      </c>
      <c r="FS8" s="60" t="s">
        <v>26</v>
      </c>
      <c r="FU8" s="86">
        <v>46094</v>
      </c>
      <c r="FV8" s="76">
        <v>65</v>
      </c>
      <c r="FW8" s="80"/>
      <c r="FY8" s="64"/>
      <c r="FZ8" s="151"/>
      <c r="GA8" s="60"/>
      <c r="GB8" s="60"/>
      <c r="GC8" s="64"/>
      <c r="GD8" s="60"/>
    </row>
    <row r="9" spans="1:186" s="79" customFormat="1" ht="15" customHeight="1" x14ac:dyDescent="0.2">
      <c r="A9" s="65">
        <v>46039</v>
      </c>
      <c r="B9" s="105">
        <v>170</v>
      </c>
      <c r="C9" s="139" t="s">
        <v>84</v>
      </c>
      <c r="E9" s="64">
        <v>46028</v>
      </c>
      <c r="F9" s="150">
        <v>15</v>
      </c>
      <c r="G9" s="51" t="s">
        <v>77</v>
      </c>
      <c r="H9" s="51" t="s">
        <v>73</v>
      </c>
      <c r="I9" s="64">
        <v>46042</v>
      </c>
      <c r="J9" s="51" t="s">
        <v>26</v>
      </c>
      <c r="L9" s="52"/>
      <c r="M9" s="76"/>
      <c r="N9" s="80"/>
      <c r="P9" s="64"/>
      <c r="Q9" s="56"/>
      <c r="R9" s="78"/>
      <c r="S9" s="83"/>
      <c r="T9" s="64"/>
      <c r="U9" s="60"/>
      <c r="W9" s="70">
        <v>46042</v>
      </c>
      <c r="X9" s="68">
        <v>1183</v>
      </c>
      <c r="Y9" s="84" t="s">
        <v>93</v>
      </c>
      <c r="AA9" s="103"/>
      <c r="AB9" s="56"/>
      <c r="AC9" s="60"/>
      <c r="AD9" s="60"/>
      <c r="AE9" s="64"/>
      <c r="AF9" s="51"/>
      <c r="AH9" s="65">
        <v>46042</v>
      </c>
      <c r="AI9" s="105">
        <v>1840</v>
      </c>
      <c r="AJ9" s="106" t="s">
        <v>93</v>
      </c>
      <c r="AL9" s="64"/>
      <c r="AM9" s="151"/>
      <c r="AN9" s="60"/>
      <c r="AO9" s="60"/>
      <c r="AP9" s="64"/>
      <c r="AQ9" s="60"/>
      <c r="AS9" s="109">
        <v>46042</v>
      </c>
      <c r="AT9" s="105">
        <v>2488</v>
      </c>
      <c r="AU9" s="106" t="s">
        <v>93</v>
      </c>
      <c r="AW9" s="55">
        <v>46035</v>
      </c>
      <c r="AX9" s="56">
        <v>375</v>
      </c>
      <c r="AY9" s="81" t="s">
        <v>92</v>
      </c>
      <c r="AZ9" s="51" t="s">
        <v>76</v>
      </c>
      <c r="BA9" s="64">
        <v>46052</v>
      </c>
      <c r="BB9" s="51" t="s">
        <v>26</v>
      </c>
      <c r="BD9" s="86">
        <v>46036</v>
      </c>
      <c r="BE9" s="85">
        <v>75</v>
      </c>
      <c r="BF9" s="80" t="s">
        <v>94</v>
      </c>
      <c r="BH9" s="64"/>
      <c r="BI9" s="151"/>
      <c r="BJ9" s="60"/>
      <c r="BK9" s="60"/>
      <c r="BL9" s="64"/>
      <c r="BM9" s="60"/>
      <c r="BO9" s="87">
        <v>46042</v>
      </c>
      <c r="BP9" s="69">
        <v>1180</v>
      </c>
      <c r="BQ9" s="84" t="s">
        <v>93</v>
      </c>
      <c r="BS9" s="55">
        <v>46034</v>
      </c>
      <c r="BT9" s="56">
        <v>11.92</v>
      </c>
      <c r="BU9" s="60" t="s">
        <v>82</v>
      </c>
      <c r="BV9" s="60" t="s">
        <v>56</v>
      </c>
      <c r="BW9" s="64">
        <v>46036</v>
      </c>
      <c r="BX9" s="51" t="s">
        <v>26</v>
      </c>
      <c r="BZ9" s="86">
        <v>46039</v>
      </c>
      <c r="CA9" s="85">
        <v>60</v>
      </c>
      <c r="CB9" s="80" t="s">
        <v>91</v>
      </c>
      <c r="CD9" s="55"/>
      <c r="CE9" s="56"/>
      <c r="CF9" s="83"/>
      <c r="CG9" s="83"/>
      <c r="CH9" s="64"/>
      <c r="CI9" s="60"/>
      <c r="CK9" s="86"/>
      <c r="CL9" s="85"/>
      <c r="CM9" s="80"/>
      <c r="CO9" s="55"/>
      <c r="CP9" s="56"/>
      <c r="CQ9" s="83"/>
      <c r="CR9" s="83"/>
      <c r="CS9" s="57"/>
      <c r="CT9" s="60"/>
      <c r="CV9" s="109">
        <v>46045</v>
      </c>
      <c r="CW9" s="105">
        <v>60</v>
      </c>
      <c r="CX9" s="106" t="s">
        <v>118</v>
      </c>
      <c r="CZ9" s="64">
        <v>46045</v>
      </c>
      <c r="DA9" s="151">
        <v>50</v>
      </c>
      <c r="DB9" s="60" t="s">
        <v>102</v>
      </c>
      <c r="DC9" s="60" t="s">
        <v>75</v>
      </c>
      <c r="DD9" s="64">
        <v>46064</v>
      </c>
      <c r="DE9" s="51" t="s">
        <v>26</v>
      </c>
      <c r="DG9" s="109">
        <v>46052</v>
      </c>
      <c r="DH9" s="105">
        <v>60</v>
      </c>
      <c r="DI9" s="106" t="s">
        <v>120</v>
      </c>
      <c r="DK9" s="55"/>
      <c r="DL9" s="56"/>
      <c r="DM9" s="83"/>
      <c r="DN9" s="83"/>
      <c r="DO9" s="57"/>
      <c r="DP9" s="60"/>
      <c r="DR9" s="86">
        <v>46066</v>
      </c>
      <c r="DS9" s="85">
        <v>63</v>
      </c>
      <c r="DT9" s="80" t="s">
        <v>136</v>
      </c>
      <c r="DV9" s="64">
        <v>46072</v>
      </c>
      <c r="DW9" s="150">
        <v>15</v>
      </c>
      <c r="DX9" s="51" t="s">
        <v>77</v>
      </c>
      <c r="DY9" s="51" t="s">
        <v>73</v>
      </c>
      <c r="DZ9" s="64">
        <v>46077</v>
      </c>
      <c r="EA9" s="51" t="s">
        <v>26</v>
      </c>
      <c r="EC9" s="86">
        <v>46073</v>
      </c>
      <c r="ED9" s="85">
        <v>50</v>
      </c>
      <c r="EE9" s="80" t="s">
        <v>150</v>
      </c>
      <c r="EG9" s="64"/>
      <c r="EH9" s="151"/>
      <c r="EI9" s="60"/>
      <c r="EJ9" s="60"/>
      <c r="EK9" s="64"/>
      <c r="EL9" s="60"/>
      <c r="EN9" s="86">
        <v>46073</v>
      </c>
      <c r="EO9" s="85">
        <v>115</v>
      </c>
      <c r="EP9" s="80" t="s">
        <v>149</v>
      </c>
      <c r="ER9" s="64">
        <v>46085</v>
      </c>
      <c r="ES9" s="151">
        <v>100</v>
      </c>
      <c r="ET9" s="60" t="s">
        <v>159</v>
      </c>
      <c r="EU9" s="60" t="s">
        <v>166</v>
      </c>
      <c r="EV9" s="64">
        <v>46086</v>
      </c>
      <c r="EW9" s="51" t="s">
        <v>26</v>
      </c>
      <c r="EY9" s="86">
        <v>46073</v>
      </c>
      <c r="EZ9" s="85">
        <v>50</v>
      </c>
      <c r="FA9" s="80" t="s">
        <v>149</v>
      </c>
      <c r="FC9" s="64"/>
      <c r="FD9" s="151"/>
      <c r="FE9" s="60"/>
      <c r="FF9" s="60"/>
      <c r="FG9" s="64"/>
      <c r="FH9" s="60"/>
      <c r="FJ9" s="86">
        <v>46094</v>
      </c>
      <c r="FK9" s="85">
        <v>65</v>
      </c>
      <c r="FL9" s="80"/>
      <c r="FN9" s="64">
        <v>46101</v>
      </c>
      <c r="FO9" s="151">
        <f>4*60</f>
        <v>240</v>
      </c>
      <c r="FP9" s="60" t="s">
        <v>192</v>
      </c>
      <c r="FQ9" s="60" t="s">
        <v>160</v>
      </c>
      <c r="FR9" s="64">
        <v>46101</v>
      </c>
      <c r="FS9" s="60"/>
      <c r="FU9" s="86">
        <v>46101</v>
      </c>
      <c r="FV9" s="85">
        <v>65</v>
      </c>
      <c r="FW9" s="80" t="s">
        <v>157</v>
      </c>
      <c r="FY9" s="64"/>
      <c r="FZ9" s="151"/>
      <c r="GA9" s="60"/>
      <c r="GB9" s="60"/>
      <c r="GC9" s="64"/>
      <c r="GD9" s="60"/>
    </row>
    <row r="10" spans="1:186" s="79" customFormat="1" ht="15" customHeight="1" x14ac:dyDescent="0.2">
      <c r="A10" s="62">
        <v>46042</v>
      </c>
      <c r="B10" s="76">
        <v>1766</v>
      </c>
      <c r="C10" s="90" t="s">
        <v>110</v>
      </c>
      <c r="E10" s="64">
        <v>46029</v>
      </c>
      <c r="F10" s="150">
        <v>15</v>
      </c>
      <c r="G10" s="51" t="s">
        <v>77</v>
      </c>
      <c r="H10" s="51" t="s">
        <v>73</v>
      </c>
      <c r="I10" s="64">
        <v>46042</v>
      </c>
      <c r="J10" s="51" t="s">
        <v>26</v>
      </c>
      <c r="L10" s="52"/>
      <c r="M10" s="76"/>
      <c r="N10" s="80"/>
      <c r="P10" s="64"/>
      <c r="Q10" s="56"/>
      <c r="R10" s="78"/>
      <c r="S10" s="83"/>
      <c r="T10" s="64"/>
      <c r="U10" s="60"/>
      <c r="W10" s="70">
        <v>46045</v>
      </c>
      <c r="X10" s="68">
        <v>63</v>
      </c>
      <c r="Y10" s="89" t="s">
        <v>109</v>
      </c>
      <c r="AA10" s="103"/>
      <c r="AB10" s="56"/>
      <c r="AC10" s="60"/>
      <c r="AD10" s="60"/>
      <c r="AE10" s="64"/>
      <c r="AF10" s="51"/>
      <c r="AH10" s="70">
        <v>46045</v>
      </c>
      <c r="AI10" s="68">
        <v>60</v>
      </c>
      <c r="AJ10" s="89" t="s">
        <v>109</v>
      </c>
      <c r="AL10" s="64"/>
      <c r="AM10" s="151"/>
      <c r="AN10" s="60"/>
      <c r="AO10" s="60"/>
      <c r="AP10" s="64"/>
      <c r="AQ10" s="60"/>
      <c r="AS10" s="109">
        <v>46052</v>
      </c>
      <c r="AT10" s="105">
        <v>250</v>
      </c>
      <c r="AU10" s="106" t="s">
        <v>117</v>
      </c>
      <c r="AW10" s="103">
        <v>46042</v>
      </c>
      <c r="AX10" s="56">
        <f>250/2</f>
        <v>125</v>
      </c>
      <c r="AY10" s="60" t="s">
        <v>102</v>
      </c>
      <c r="AZ10" s="51" t="s">
        <v>75</v>
      </c>
      <c r="BA10" s="64">
        <v>46058</v>
      </c>
      <c r="BB10" s="51" t="s">
        <v>26</v>
      </c>
      <c r="BD10" s="86">
        <v>46039</v>
      </c>
      <c r="BE10" s="85">
        <v>60</v>
      </c>
      <c r="BF10" s="80" t="s">
        <v>88</v>
      </c>
      <c r="BH10" s="64"/>
      <c r="BI10" s="151"/>
      <c r="BJ10" s="60"/>
      <c r="BK10" s="60"/>
      <c r="BL10" s="64"/>
      <c r="BM10" s="60"/>
      <c r="BO10" s="109">
        <v>46045</v>
      </c>
      <c r="BP10" s="105">
        <v>60</v>
      </c>
      <c r="BQ10" s="106" t="s">
        <v>118</v>
      </c>
      <c r="BS10" s="55">
        <v>46035</v>
      </c>
      <c r="BT10" s="56">
        <v>17.850000000000001</v>
      </c>
      <c r="BU10" s="60" t="s">
        <v>82</v>
      </c>
      <c r="BV10" s="60" t="s">
        <v>56</v>
      </c>
      <c r="BW10" s="64">
        <v>46036</v>
      </c>
      <c r="BX10" s="51" t="s">
        <v>26</v>
      </c>
      <c r="BZ10" s="87">
        <v>46042</v>
      </c>
      <c r="CA10" s="69">
        <v>988</v>
      </c>
      <c r="CB10" s="84" t="s">
        <v>93</v>
      </c>
      <c r="CD10" s="55"/>
      <c r="CE10" s="56"/>
      <c r="CF10" s="83"/>
      <c r="CG10" s="83"/>
      <c r="CH10" s="64"/>
      <c r="CI10" s="60"/>
      <c r="CK10" s="86"/>
      <c r="CL10" s="85"/>
      <c r="CM10" s="80"/>
      <c r="CO10" s="55"/>
      <c r="CP10" s="56"/>
      <c r="CQ10" s="83"/>
      <c r="CR10" s="83"/>
      <c r="CS10" s="57"/>
      <c r="CT10" s="60"/>
      <c r="CV10" s="109">
        <v>46052</v>
      </c>
      <c r="CW10" s="105">
        <v>60</v>
      </c>
      <c r="CX10" s="106" t="s">
        <v>120</v>
      </c>
      <c r="CZ10" s="64">
        <v>46078</v>
      </c>
      <c r="DA10" s="151">
        <v>60</v>
      </c>
      <c r="DB10" s="60" t="s">
        <v>161</v>
      </c>
      <c r="DC10" s="60" t="s">
        <v>104</v>
      </c>
      <c r="DD10" s="64">
        <v>46086</v>
      </c>
      <c r="DE10" s="60" t="s">
        <v>26</v>
      </c>
      <c r="DG10" s="86">
        <v>46058</v>
      </c>
      <c r="DH10" s="85">
        <v>1094</v>
      </c>
      <c r="DI10" s="80" t="s">
        <v>112</v>
      </c>
      <c r="DK10" s="55"/>
      <c r="DL10" s="56"/>
      <c r="DM10" s="83"/>
      <c r="DN10" s="83"/>
      <c r="DO10" s="57"/>
      <c r="DP10" s="60"/>
      <c r="DR10" s="86">
        <v>46064</v>
      </c>
      <c r="DS10" s="85">
        <v>60</v>
      </c>
      <c r="DT10" s="80" t="s">
        <v>137</v>
      </c>
      <c r="DV10" s="64">
        <v>46073</v>
      </c>
      <c r="DW10" s="150">
        <v>15</v>
      </c>
      <c r="DX10" s="51" t="s">
        <v>77</v>
      </c>
      <c r="DY10" s="51" t="s">
        <v>73</v>
      </c>
      <c r="DZ10" s="64">
        <v>46077</v>
      </c>
      <c r="EA10" s="51" t="s">
        <v>26</v>
      </c>
      <c r="EC10" s="86">
        <v>46084</v>
      </c>
      <c r="ED10" s="85">
        <v>40</v>
      </c>
      <c r="EE10" s="80" t="s">
        <v>150</v>
      </c>
      <c r="EG10" s="64"/>
      <c r="EH10" s="151"/>
      <c r="EI10" s="60"/>
      <c r="EJ10" s="60"/>
      <c r="EK10" s="64"/>
      <c r="EL10" s="60"/>
      <c r="EN10" s="86">
        <v>46077</v>
      </c>
      <c r="EO10" s="85">
        <v>720</v>
      </c>
      <c r="EP10" s="80" t="s">
        <v>167</v>
      </c>
      <c r="ER10" s="64"/>
      <c r="ES10" s="151"/>
      <c r="ET10" s="60"/>
      <c r="EU10" s="60"/>
      <c r="EV10" s="64"/>
      <c r="EW10" s="60"/>
      <c r="EY10" s="86"/>
      <c r="EZ10" s="85"/>
      <c r="FA10" s="80"/>
      <c r="FC10" s="64"/>
      <c r="FD10" s="151"/>
      <c r="FE10" s="60"/>
      <c r="FF10" s="60"/>
      <c r="FG10" s="64"/>
      <c r="FH10" s="60"/>
      <c r="FJ10" s="86">
        <v>46098</v>
      </c>
      <c r="FK10" s="85">
        <v>50</v>
      </c>
      <c r="FL10" s="80"/>
      <c r="FN10" s="64"/>
      <c r="FO10" s="151"/>
      <c r="FP10" s="60"/>
      <c r="FQ10" s="60"/>
      <c r="FR10" s="64"/>
      <c r="FS10" s="60"/>
      <c r="FU10" s="86">
        <v>46101</v>
      </c>
      <c r="FV10" s="85">
        <v>1453</v>
      </c>
      <c r="FW10" s="80" t="s">
        <v>193</v>
      </c>
      <c r="FY10" s="64"/>
      <c r="FZ10" s="151"/>
      <c r="GA10" s="60"/>
      <c r="GB10" s="60"/>
      <c r="GC10" s="64"/>
      <c r="GD10" s="60"/>
    </row>
    <row r="11" spans="1:186" s="79" customFormat="1" ht="15" customHeight="1" x14ac:dyDescent="0.2">
      <c r="A11" s="62">
        <v>46045</v>
      </c>
      <c r="B11" s="105">
        <v>170</v>
      </c>
      <c r="C11" s="89" t="s">
        <v>109</v>
      </c>
      <c r="E11" s="64">
        <v>46031</v>
      </c>
      <c r="F11" s="150">
        <v>15</v>
      </c>
      <c r="G11" s="51" t="s">
        <v>77</v>
      </c>
      <c r="H11" s="60" t="s">
        <v>76</v>
      </c>
      <c r="I11" s="64">
        <v>46042</v>
      </c>
      <c r="J11" s="51" t="s">
        <v>26</v>
      </c>
      <c r="L11" s="62"/>
      <c r="M11" s="76"/>
      <c r="N11" s="80"/>
      <c r="P11" s="64"/>
      <c r="Q11" s="56"/>
      <c r="R11" s="78"/>
      <c r="S11" s="83"/>
      <c r="T11" s="64"/>
      <c r="U11" s="60"/>
      <c r="W11" s="62">
        <v>46052</v>
      </c>
      <c r="X11" s="105">
        <v>63</v>
      </c>
      <c r="Y11" s="89" t="s">
        <v>111</v>
      </c>
      <c r="AA11" s="103"/>
      <c r="AB11" s="56"/>
      <c r="AC11" s="60"/>
      <c r="AD11" s="60"/>
      <c r="AE11" s="64"/>
      <c r="AF11" s="51"/>
      <c r="AH11" s="62">
        <v>46052</v>
      </c>
      <c r="AI11" s="105">
        <v>60</v>
      </c>
      <c r="AJ11" s="89" t="s">
        <v>111</v>
      </c>
      <c r="AL11" s="64"/>
      <c r="AM11" s="151"/>
      <c r="AN11" s="60"/>
      <c r="AO11" s="60"/>
      <c r="AP11" s="63"/>
      <c r="AQ11" s="60"/>
      <c r="AS11" s="109">
        <v>46045</v>
      </c>
      <c r="AT11" s="105">
        <v>60</v>
      </c>
      <c r="AU11" s="106" t="s">
        <v>118</v>
      </c>
      <c r="AW11" s="103">
        <v>46043</v>
      </c>
      <c r="AX11" s="56">
        <f>250/2</f>
        <v>125</v>
      </c>
      <c r="AY11" s="60" t="s">
        <v>102</v>
      </c>
      <c r="AZ11" s="51" t="s">
        <v>75</v>
      </c>
      <c r="BA11" s="64">
        <v>46058</v>
      </c>
      <c r="BB11" s="51" t="s">
        <v>26</v>
      </c>
      <c r="BD11" s="86">
        <v>46042</v>
      </c>
      <c r="BE11" s="85">
        <v>913</v>
      </c>
      <c r="BF11" s="80" t="s">
        <v>93</v>
      </c>
      <c r="BH11" s="64"/>
      <c r="BI11" s="151"/>
      <c r="BJ11" s="60"/>
      <c r="BK11" s="60"/>
      <c r="BL11" s="64"/>
      <c r="BM11" s="60"/>
      <c r="BO11" s="109">
        <v>46052</v>
      </c>
      <c r="BP11" s="105">
        <v>60</v>
      </c>
      <c r="BQ11" s="106" t="s">
        <v>120</v>
      </c>
      <c r="BS11" s="55">
        <v>46036</v>
      </c>
      <c r="BT11" s="56">
        <v>9</v>
      </c>
      <c r="BU11" s="60" t="s">
        <v>82</v>
      </c>
      <c r="BV11" s="60" t="s">
        <v>56</v>
      </c>
      <c r="BW11" s="64">
        <v>46036</v>
      </c>
      <c r="BX11" s="51" t="s">
        <v>26</v>
      </c>
      <c r="BZ11" s="109">
        <v>46045</v>
      </c>
      <c r="CA11" s="105">
        <v>60</v>
      </c>
      <c r="CB11" s="106" t="s">
        <v>118</v>
      </c>
      <c r="CD11" s="55"/>
      <c r="CE11" s="56"/>
      <c r="CF11" s="83"/>
      <c r="CG11" s="83"/>
      <c r="CH11" s="64"/>
      <c r="CI11" s="60"/>
      <c r="CK11" s="87"/>
      <c r="CL11" s="69"/>
      <c r="CM11" s="84"/>
      <c r="CO11" s="55"/>
      <c r="CP11" s="56"/>
      <c r="CQ11" s="83"/>
      <c r="CR11" s="83"/>
      <c r="CS11" s="57"/>
      <c r="CT11" s="60"/>
      <c r="CV11" s="87">
        <v>46058</v>
      </c>
      <c r="CW11" s="69">
        <v>1088.5</v>
      </c>
      <c r="CX11" s="84" t="s">
        <v>112</v>
      </c>
      <c r="CZ11" s="64"/>
      <c r="DA11" s="151"/>
      <c r="DB11" s="60"/>
      <c r="DC11" s="60"/>
      <c r="DD11" s="64"/>
      <c r="DE11" s="60"/>
      <c r="DG11" s="87"/>
      <c r="DH11" s="69"/>
      <c r="DI11" s="84"/>
      <c r="DK11" s="55"/>
      <c r="DL11" s="56"/>
      <c r="DM11" s="83"/>
      <c r="DN11" s="83"/>
      <c r="DO11" s="57"/>
      <c r="DP11" s="60"/>
      <c r="DR11" s="87">
        <v>46073</v>
      </c>
      <c r="DS11" s="69">
        <v>1867</v>
      </c>
      <c r="DT11" s="80" t="s">
        <v>142</v>
      </c>
      <c r="DV11" s="64">
        <v>46076</v>
      </c>
      <c r="DW11" s="150">
        <v>15</v>
      </c>
      <c r="DX11" s="51" t="s">
        <v>77</v>
      </c>
      <c r="DY11" s="51" t="s">
        <v>73</v>
      </c>
      <c r="DZ11" s="64">
        <v>46077</v>
      </c>
      <c r="EA11" s="51" t="s">
        <v>26</v>
      </c>
      <c r="EC11" s="87">
        <v>46086</v>
      </c>
      <c r="ED11" s="69">
        <v>50</v>
      </c>
      <c r="EE11" s="84" t="s">
        <v>181</v>
      </c>
      <c r="EG11" s="64"/>
      <c r="EH11" s="151"/>
      <c r="EI11" s="60"/>
      <c r="EJ11" s="60"/>
      <c r="EK11" s="64"/>
      <c r="EL11" s="60"/>
      <c r="EN11" s="87">
        <v>46080</v>
      </c>
      <c r="EO11" s="69">
        <v>65</v>
      </c>
      <c r="EP11" s="84" t="s">
        <v>157</v>
      </c>
      <c r="ER11" s="64"/>
      <c r="ES11" s="151"/>
      <c r="ET11" s="60"/>
      <c r="EU11" s="60"/>
      <c r="EV11" s="64"/>
      <c r="EW11" s="60"/>
      <c r="EY11" s="87"/>
      <c r="EZ11" s="69"/>
      <c r="FA11" s="84"/>
      <c r="FC11" s="64"/>
      <c r="FD11" s="151"/>
      <c r="FE11" s="60"/>
      <c r="FF11" s="60"/>
      <c r="FG11" s="64"/>
      <c r="FH11" s="60"/>
      <c r="FJ11" s="87">
        <v>46101</v>
      </c>
      <c r="FK11" s="85">
        <v>1703</v>
      </c>
      <c r="FL11" s="84"/>
      <c r="FN11" s="64"/>
      <c r="FO11" s="151"/>
      <c r="FP11" s="60"/>
      <c r="FQ11" s="60"/>
      <c r="FR11" s="64"/>
      <c r="FS11" s="60"/>
      <c r="FU11" s="87"/>
      <c r="FV11" s="69"/>
      <c r="FW11" s="84"/>
      <c r="FY11" s="64"/>
      <c r="FZ11" s="151"/>
      <c r="GA11" s="60"/>
      <c r="GB11" s="60"/>
      <c r="GC11" s="64"/>
      <c r="GD11" s="60"/>
    </row>
    <row r="12" spans="1:186" s="79" customFormat="1" ht="15" customHeight="1" x14ac:dyDescent="0.2">
      <c r="A12" s="62">
        <v>46052</v>
      </c>
      <c r="B12" s="105">
        <v>170</v>
      </c>
      <c r="C12" s="89" t="s">
        <v>111</v>
      </c>
      <c r="E12" s="64">
        <v>46035</v>
      </c>
      <c r="F12" s="150">
        <v>15</v>
      </c>
      <c r="G12" s="51" t="s">
        <v>77</v>
      </c>
      <c r="H12" s="51" t="s">
        <v>73</v>
      </c>
      <c r="I12" s="64">
        <v>46042</v>
      </c>
      <c r="J12" s="51" t="s">
        <v>26</v>
      </c>
      <c r="L12" s="62"/>
      <c r="M12" s="85"/>
      <c r="N12" s="80"/>
      <c r="O12" s="83"/>
      <c r="P12" s="64"/>
      <c r="Q12" s="56"/>
      <c r="R12" s="78"/>
      <c r="S12" s="83"/>
      <c r="T12" s="64"/>
      <c r="U12" s="60"/>
      <c r="W12" s="70">
        <v>46057</v>
      </c>
      <c r="X12" s="68">
        <v>40</v>
      </c>
      <c r="Y12" s="84" t="s">
        <v>114</v>
      </c>
      <c r="AA12" s="103"/>
      <c r="AB12" s="56"/>
      <c r="AC12" s="60"/>
      <c r="AD12" s="60"/>
      <c r="AE12" s="64"/>
      <c r="AF12" s="60"/>
      <c r="AH12" s="65">
        <v>46058</v>
      </c>
      <c r="AI12" s="105">
        <v>1927</v>
      </c>
      <c r="AJ12" s="106" t="s">
        <v>116</v>
      </c>
      <c r="AL12" s="64"/>
      <c r="AM12" s="151"/>
      <c r="AN12" s="60"/>
      <c r="AO12" s="60"/>
      <c r="AP12" s="63"/>
      <c r="AQ12" s="60"/>
      <c r="AS12" s="109">
        <v>46052</v>
      </c>
      <c r="AT12" s="105">
        <v>60</v>
      </c>
      <c r="AU12" s="106" t="s">
        <v>120</v>
      </c>
      <c r="AW12" s="103">
        <v>46044</v>
      </c>
      <c r="AX12" s="56">
        <f>250/2</f>
        <v>125</v>
      </c>
      <c r="AY12" s="60" t="s">
        <v>102</v>
      </c>
      <c r="AZ12" s="51" t="s">
        <v>75</v>
      </c>
      <c r="BA12" s="64">
        <v>46058</v>
      </c>
      <c r="BB12" s="51" t="s">
        <v>26</v>
      </c>
      <c r="BD12" s="109">
        <v>46045</v>
      </c>
      <c r="BE12" s="105">
        <v>60</v>
      </c>
      <c r="BF12" s="106" t="s">
        <v>118</v>
      </c>
      <c r="BH12" s="64"/>
      <c r="BI12" s="151"/>
      <c r="BJ12" s="60"/>
      <c r="BK12" s="60"/>
      <c r="BL12" s="64"/>
      <c r="BM12" s="60"/>
      <c r="BO12" s="87">
        <v>46057</v>
      </c>
      <c r="BP12" s="69">
        <v>6</v>
      </c>
      <c r="BQ12" s="84" t="s">
        <v>123</v>
      </c>
      <c r="BS12" s="55">
        <v>46058</v>
      </c>
      <c r="BT12" s="56">
        <f>10*20</f>
        <v>200</v>
      </c>
      <c r="BU12" s="60" t="s">
        <v>125</v>
      </c>
      <c r="BV12" s="60" t="s">
        <v>32</v>
      </c>
      <c r="BW12" s="64">
        <v>46062</v>
      </c>
      <c r="BX12" s="60" t="s">
        <v>26</v>
      </c>
      <c r="BZ12" s="109">
        <v>46052</v>
      </c>
      <c r="CA12" s="105">
        <v>60</v>
      </c>
      <c r="CB12" s="106" t="s">
        <v>120</v>
      </c>
      <c r="CD12" s="55"/>
      <c r="CE12" s="56"/>
      <c r="CF12" s="83"/>
      <c r="CG12" s="83"/>
      <c r="CH12" s="64"/>
      <c r="CI12" s="60"/>
      <c r="CK12" s="87"/>
      <c r="CL12" s="69"/>
      <c r="CM12" s="84"/>
      <c r="CO12" s="55"/>
      <c r="CP12" s="56"/>
      <c r="CQ12" s="83"/>
      <c r="CR12" s="83"/>
      <c r="CS12" s="57"/>
      <c r="CT12" s="60"/>
      <c r="CV12" s="87">
        <v>46059</v>
      </c>
      <c r="CW12" s="69">
        <v>50</v>
      </c>
      <c r="CX12" s="84" t="s">
        <v>129</v>
      </c>
      <c r="CZ12" s="64"/>
      <c r="DA12" s="151"/>
      <c r="DB12" s="60"/>
      <c r="DC12" s="60"/>
      <c r="DD12" s="64"/>
      <c r="DE12" s="60"/>
      <c r="DG12" s="87"/>
      <c r="DH12" s="69"/>
      <c r="DI12" s="84"/>
      <c r="DK12" s="55"/>
      <c r="DL12" s="56"/>
      <c r="DM12" s="83"/>
      <c r="DN12" s="83"/>
      <c r="DO12" s="57"/>
      <c r="DP12" s="60"/>
      <c r="DR12" s="87">
        <v>46073</v>
      </c>
      <c r="DS12" s="69">
        <v>65</v>
      </c>
      <c r="DT12" s="80" t="s">
        <v>151</v>
      </c>
      <c r="DV12" s="64">
        <v>46077</v>
      </c>
      <c r="DW12" s="150">
        <v>15</v>
      </c>
      <c r="DX12" s="51" t="s">
        <v>77</v>
      </c>
      <c r="DY12" s="51" t="s">
        <v>73</v>
      </c>
      <c r="DZ12" s="64">
        <v>46077</v>
      </c>
      <c r="EA12" s="51" t="s">
        <v>26</v>
      </c>
      <c r="EC12" s="87">
        <v>46086</v>
      </c>
      <c r="ED12" s="69">
        <v>1213</v>
      </c>
      <c r="EE12" s="84" t="s">
        <v>165</v>
      </c>
      <c r="EG12" s="64"/>
      <c r="EH12" s="151"/>
      <c r="EI12" s="60"/>
      <c r="EJ12" s="60"/>
      <c r="EK12" s="64"/>
      <c r="EL12" s="60"/>
      <c r="EN12" s="87">
        <v>46084</v>
      </c>
      <c r="EO12" s="69">
        <v>40</v>
      </c>
      <c r="EP12" s="84"/>
      <c r="ER12" s="64"/>
      <c r="ES12" s="151"/>
      <c r="ET12" s="60"/>
      <c r="EU12" s="60"/>
      <c r="EV12" s="64"/>
      <c r="EW12" s="60"/>
      <c r="EY12" s="87"/>
      <c r="EZ12" s="69"/>
      <c r="FA12" s="84"/>
      <c r="FC12" s="64"/>
      <c r="FD12" s="151"/>
      <c r="FE12" s="60"/>
      <c r="FF12" s="60"/>
      <c r="FG12" s="64"/>
      <c r="FH12" s="60"/>
      <c r="FJ12" s="87">
        <v>46101</v>
      </c>
      <c r="FK12" s="85">
        <v>65</v>
      </c>
      <c r="FL12" s="84"/>
      <c r="FN12" s="64"/>
      <c r="FO12" s="151"/>
      <c r="FP12" s="60"/>
      <c r="FQ12" s="60"/>
      <c r="FR12" s="64"/>
      <c r="FS12" s="60"/>
      <c r="FU12" s="87"/>
      <c r="FV12" s="69"/>
      <c r="FW12" s="84"/>
      <c r="FY12" s="64"/>
      <c r="FZ12" s="151"/>
      <c r="GA12" s="60"/>
      <c r="GB12" s="60"/>
      <c r="GC12" s="64"/>
      <c r="GD12" s="60"/>
    </row>
    <row r="13" spans="1:186" s="79" customFormat="1" ht="15" customHeight="1" x14ac:dyDescent="0.2">
      <c r="A13" s="62">
        <v>46057</v>
      </c>
      <c r="B13" s="76">
        <v>68</v>
      </c>
      <c r="C13" s="90" t="s">
        <v>106</v>
      </c>
      <c r="E13" s="64">
        <v>46036</v>
      </c>
      <c r="F13" s="150">
        <v>15</v>
      </c>
      <c r="G13" s="51" t="s">
        <v>77</v>
      </c>
      <c r="H13" s="51" t="s">
        <v>73</v>
      </c>
      <c r="I13" s="64">
        <v>46042</v>
      </c>
      <c r="J13" s="51" t="s">
        <v>26</v>
      </c>
      <c r="L13" s="62"/>
      <c r="M13" s="85"/>
      <c r="N13" s="80"/>
      <c r="P13" s="64"/>
      <c r="Q13" s="56"/>
      <c r="R13" s="78"/>
      <c r="S13" s="83"/>
      <c r="T13" s="64"/>
      <c r="U13" s="60"/>
      <c r="W13" s="70">
        <v>46058</v>
      </c>
      <c r="X13" s="68">
        <v>1200</v>
      </c>
      <c r="Y13" s="84" t="s">
        <v>116</v>
      </c>
      <c r="AA13" s="103"/>
      <c r="AB13" s="56"/>
      <c r="AC13" s="60"/>
      <c r="AD13" s="60"/>
      <c r="AE13" s="64"/>
      <c r="AF13" s="60"/>
      <c r="AH13" s="62">
        <v>46059</v>
      </c>
      <c r="AI13" s="76">
        <v>63</v>
      </c>
      <c r="AJ13" s="90" t="s">
        <v>126</v>
      </c>
      <c r="AL13" s="64"/>
      <c r="AM13" s="151"/>
      <c r="AN13" s="60"/>
      <c r="AO13" s="60"/>
      <c r="AP13" s="63"/>
      <c r="AQ13" s="60"/>
      <c r="AS13" s="109">
        <v>46058</v>
      </c>
      <c r="AT13" s="105">
        <v>2988.5</v>
      </c>
      <c r="AU13" s="106" t="s">
        <v>121</v>
      </c>
      <c r="AW13" s="55">
        <v>46045</v>
      </c>
      <c r="AX13" s="56">
        <f>250/2</f>
        <v>125</v>
      </c>
      <c r="AY13" s="60" t="s">
        <v>102</v>
      </c>
      <c r="AZ13" s="51" t="s">
        <v>75</v>
      </c>
      <c r="BA13" s="55">
        <v>46062</v>
      </c>
      <c r="BB13" s="51" t="s">
        <v>26</v>
      </c>
      <c r="BD13" s="109">
        <v>46052</v>
      </c>
      <c r="BE13" s="105">
        <v>60</v>
      </c>
      <c r="BF13" s="106" t="s">
        <v>120</v>
      </c>
      <c r="BH13" s="64"/>
      <c r="BI13" s="151"/>
      <c r="BJ13" s="60"/>
      <c r="BK13" s="60"/>
      <c r="BL13" s="64"/>
      <c r="BM13" s="60"/>
      <c r="BO13" s="87">
        <v>46058</v>
      </c>
      <c r="BP13" s="69">
        <v>978</v>
      </c>
      <c r="BQ13" s="84" t="s">
        <v>112</v>
      </c>
      <c r="BS13" s="167"/>
      <c r="BT13" s="56">
        <v>100</v>
      </c>
      <c r="BU13" s="60" t="s">
        <v>189</v>
      </c>
      <c r="BV13" s="60" t="s">
        <v>73</v>
      </c>
      <c r="BW13" s="64">
        <v>46101</v>
      </c>
      <c r="BX13" s="60" t="s">
        <v>26</v>
      </c>
      <c r="BZ13" s="87">
        <v>46057</v>
      </c>
      <c r="CA13" s="69">
        <v>26</v>
      </c>
      <c r="CB13" s="84" t="s">
        <v>124</v>
      </c>
      <c r="CD13" s="55"/>
      <c r="CE13" s="56"/>
      <c r="CF13" s="83"/>
      <c r="CG13" s="83"/>
      <c r="CH13" s="64"/>
      <c r="CI13" s="60"/>
      <c r="CK13" s="87"/>
      <c r="CL13" s="69"/>
      <c r="CM13" s="84"/>
      <c r="CO13" s="55"/>
      <c r="CP13" s="56"/>
      <c r="CQ13" s="83"/>
      <c r="CR13" s="83"/>
      <c r="CS13" s="57"/>
      <c r="CT13" s="60"/>
      <c r="CV13" s="109">
        <v>46066</v>
      </c>
      <c r="CW13" s="105">
        <v>60</v>
      </c>
      <c r="CX13" s="106" t="s">
        <v>136</v>
      </c>
      <c r="CZ13" s="64"/>
      <c r="DA13" s="151"/>
      <c r="DB13" s="60"/>
      <c r="DC13" s="60"/>
      <c r="DD13" s="64"/>
      <c r="DE13" s="60"/>
      <c r="DG13" s="87"/>
      <c r="DH13" s="69"/>
      <c r="DI13" s="84"/>
      <c r="DK13" s="55"/>
      <c r="DL13" s="56"/>
      <c r="DM13" s="83"/>
      <c r="DN13" s="83"/>
      <c r="DO13" s="57"/>
      <c r="DP13" s="60"/>
      <c r="DR13" s="87">
        <v>46080</v>
      </c>
      <c r="DS13" s="69">
        <v>65</v>
      </c>
      <c r="DT13" s="80" t="s">
        <v>153</v>
      </c>
      <c r="DV13" s="64">
        <v>46078</v>
      </c>
      <c r="DW13" s="150">
        <v>15</v>
      </c>
      <c r="DX13" s="51" t="s">
        <v>77</v>
      </c>
      <c r="DY13" s="51" t="s">
        <v>73</v>
      </c>
      <c r="DZ13" s="64">
        <v>46077</v>
      </c>
      <c r="EA13" s="51" t="s">
        <v>26</v>
      </c>
      <c r="EC13" s="87">
        <v>46098</v>
      </c>
      <c r="ED13" s="69">
        <v>50</v>
      </c>
      <c r="EE13" s="84" t="s">
        <v>155</v>
      </c>
      <c r="EG13" s="64"/>
      <c r="EH13" s="151"/>
      <c r="EI13" s="60"/>
      <c r="EJ13" s="60"/>
      <c r="EK13" s="64"/>
      <c r="EL13" s="60"/>
      <c r="EN13" s="87">
        <v>46086</v>
      </c>
      <c r="EO13" s="69">
        <v>65</v>
      </c>
      <c r="EP13" s="84" t="s">
        <v>173</v>
      </c>
      <c r="ER13" s="64"/>
      <c r="ES13" s="151"/>
      <c r="ET13" s="60"/>
      <c r="EU13" s="60"/>
      <c r="EV13" s="64"/>
      <c r="EW13" s="60"/>
      <c r="EY13" s="87"/>
      <c r="EZ13" s="69"/>
      <c r="FA13" s="84"/>
      <c r="FC13" s="64"/>
      <c r="FD13" s="151"/>
      <c r="FE13" s="60"/>
      <c r="FF13" s="60"/>
      <c r="FG13" s="64"/>
      <c r="FH13" s="60"/>
      <c r="FJ13" s="87">
        <v>46101</v>
      </c>
      <c r="FK13" s="69">
        <v>50</v>
      </c>
      <c r="FL13" s="84"/>
      <c r="FN13" s="64"/>
      <c r="FO13" s="151"/>
      <c r="FP13" s="60"/>
      <c r="FQ13" s="60"/>
      <c r="FR13" s="64"/>
      <c r="FS13" s="60"/>
      <c r="FU13" s="87"/>
      <c r="FV13" s="69"/>
      <c r="FW13" s="84"/>
      <c r="FY13" s="64"/>
      <c r="FZ13" s="151"/>
      <c r="GA13" s="60"/>
      <c r="GB13" s="60"/>
      <c r="GC13" s="64"/>
      <c r="GD13" s="60"/>
    </row>
    <row r="14" spans="1:186" s="79" customFormat="1" ht="15" customHeight="1" x14ac:dyDescent="0.2">
      <c r="A14" s="62">
        <v>46058</v>
      </c>
      <c r="B14" s="76">
        <v>2520</v>
      </c>
      <c r="C14" s="90" t="s">
        <v>112</v>
      </c>
      <c r="E14" s="64">
        <v>46037</v>
      </c>
      <c r="F14" s="150">
        <v>15</v>
      </c>
      <c r="G14" s="51" t="s">
        <v>77</v>
      </c>
      <c r="H14" s="51" t="s">
        <v>73</v>
      </c>
      <c r="I14" s="64">
        <v>46042</v>
      </c>
      <c r="J14" s="51" t="s">
        <v>26</v>
      </c>
      <c r="L14" s="62"/>
      <c r="M14" s="85"/>
      <c r="N14" s="80"/>
      <c r="P14" s="64"/>
      <c r="Q14" s="56"/>
      <c r="R14" s="78"/>
      <c r="S14" s="83"/>
      <c r="T14" s="64"/>
      <c r="U14" s="60"/>
      <c r="W14" s="62">
        <v>46059</v>
      </c>
      <c r="X14" s="76">
        <v>63</v>
      </c>
      <c r="Y14" s="90" t="s">
        <v>126</v>
      </c>
      <c r="AA14" s="103"/>
      <c r="AB14" s="56"/>
      <c r="AC14" s="60"/>
      <c r="AD14" s="60"/>
      <c r="AE14" s="64"/>
      <c r="AF14" s="60"/>
      <c r="AH14" s="62">
        <v>46066</v>
      </c>
      <c r="AI14" s="76">
        <v>63</v>
      </c>
      <c r="AJ14" s="80" t="s">
        <v>136</v>
      </c>
      <c r="AL14" s="64"/>
      <c r="AM14" s="151"/>
      <c r="AN14" s="60"/>
      <c r="AO14" s="60"/>
      <c r="AP14" s="63"/>
      <c r="AQ14" s="60"/>
      <c r="AS14" s="12">
        <v>46059</v>
      </c>
      <c r="AT14" s="107">
        <v>60</v>
      </c>
      <c r="AU14" s="106" t="s">
        <v>129</v>
      </c>
      <c r="AW14" s="55">
        <v>46023</v>
      </c>
      <c r="AX14" s="56">
        <v>100</v>
      </c>
      <c r="AY14" s="51" t="s">
        <v>96</v>
      </c>
      <c r="AZ14" s="51" t="s">
        <v>56</v>
      </c>
      <c r="BA14" s="55">
        <v>46073</v>
      </c>
      <c r="BB14" s="51" t="s">
        <v>26</v>
      </c>
      <c r="BD14" s="86">
        <v>46058</v>
      </c>
      <c r="BE14" s="85">
        <v>1208</v>
      </c>
      <c r="BF14" s="80" t="s">
        <v>112</v>
      </c>
      <c r="BH14" s="64"/>
      <c r="BI14" s="151"/>
      <c r="BJ14" s="60"/>
      <c r="BK14" s="60"/>
      <c r="BL14" s="64"/>
      <c r="BM14" s="60"/>
      <c r="BO14" s="87">
        <v>46062</v>
      </c>
      <c r="BP14" s="69">
        <v>63</v>
      </c>
      <c r="BQ14" s="84" t="s">
        <v>126</v>
      </c>
      <c r="BS14" s="55">
        <v>46101</v>
      </c>
      <c r="BT14" s="56">
        <v>50</v>
      </c>
      <c r="BU14" s="60" t="s">
        <v>190</v>
      </c>
      <c r="BV14" s="60" t="s">
        <v>56</v>
      </c>
      <c r="BW14" s="64">
        <v>46101</v>
      </c>
      <c r="BX14" s="60" t="s">
        <v>26</v>
      </c>
      <c r="BZ14" s="87">
        <v>46058</v>
      </c>
      <c r="CA14" s="69">
        <v>1183</v>
      </c>
      <c r="CB14" s="84" t="s">
        <v>112</v>
      </c>
      <c r="CD14" s="55"/>
      <c r="CE14" s="56"/>
      <c r="CF14" s="83"/>
      <c r="CG14" s="83"/>
      <c r="CH14" s="64"/>
      <c r="CI14" s="60"/>
      <c r="CK14" s="87"/>
      <c r="CL14" s="69"/>
      <c r="CM14" s="84"/>
      <c r="CO14" s="55"/>
      <c r="CP14" s="56"/>
      <c r="CQ14" s="83"/>
      <c r="CR14" s="83"/>
      <c r="CS14" s="57"/>
      <c r="CT14" s="60"/>
      <c r="CV14" s="87">
        <v>46073</v>
      </c>
      <c r="CW14" s="69">
        <v>781</v>
      </c>
      <c r="CX14" s="80" t="s">
        <v>142</v>
      </c>
      <c r="CZ14" s="64"/>
      <c r="DA14" s="151"/>
      <c r="DB14" s="60"/>
      <c r="DC14" s="60"/>
      <c r="DD14" s="64"/>
      <c r="DE14" s="60"/>
      <c r="DG14" s="87"/>
      <c r="DH14" s="69"/>
      <c r="DI14" s="84"/>
      <c r="DK14" s="55"/>
      <c r="DL14" s="56"/>
      <c r="DM14" s="83"/>
      <c r="DN14" s="83"/>
      <c r="DO14" s="57"/>
      <c r="DP14" s="60"/>
      <c r="DR14" s="87">
        <v>46080</v>
      </c>
      <c r="DS14" s="69">
        <v>26</v>
      </c>
      <c r="DT14" s="84" t="s">
        <v>152</v>
      </c>
      <c r="DV14" s="64">
        <v>46079</v>
      </c>
      <c r="DW14" s="150">
        <v>15</v>
      </c>
      <c r="DX14" s="51" t="s">
        <v>77</v>
      </c>
      <c r="DY14" s="51" t="s">
        <v>73</v>
      </c>
      <c r="DZ14" s="64">
        <v>46077</v>
      </c>
      <c r="EA14" s="51" t="s">
        <v>26</v>
      </c>
      <c r="EC14" s="87">
        <v>46101</v>
      </c>
      <c r="ED14" s="69">
        <v>50</v>
      </c>
      <c r="EE14" s="84" t="s">
        <v>155</v>
      </c>
      <c r="EG14" s="64"/>
      <c r="EH14" s="151"/>
      <c r="EI14" s="60"/>
      <c r="EJ14" s="60"/>
      <c r="EK14" s="64"/>
      <c r="EL14" s="60"/>
      <c r="EN14" s="87">
        <v>46086</v>
      </c>
      <c r="EO14" s="69">
        <v>50</v>
      </c>
      <c r="EP14" s="84" t="s">
        <v>181</v>
      </c>
      <c r="ER14" s="64"/>
      <c r="ES14" s="151"/>
      <c r="ET14" s="60"/>
      <c r="EU14" s="60"/>
      <c r="EV14" s="64"/>
      <c r="EW14" s="60"/>
      <c r="EY14" s="87"/>
      <c r="EZ14" s="69"/>
      <c r="FA14" s="84"/>
      <c r="FC14" s="64"/>
      <c r="FD14" s="151"/>
      <c r="FE14" s="60"/>
      <c r="FF14" s="60"/>
      <c r="FG14" s="64"/>
      <c r="FH14" s="60"/>
      <c r="FJ14" s="87"/>
      <c r="FK14" s="69"/>
      <c r="FL14" s="84"/>
      <c r="FN14" s="64"/>
      <c r="FO14" s="151"/>
      <c r="FP14" s="60"/>
      <c r="FQ14" s="60"/>
      <c r="FR14" s="64"/>
      <c r="FS14" s="60"/>
      <c r="FU14" s="87"/>
      <c r="FV14" s="69"/>
      <c r="FW14" s="84"/>
      <c r="FY14" s="64"/>
      <c r="FZ14" s="151"/>
      <c r="GA14" s="60"/>
      <c r="GB14" s="60"/>
      <c r="GC14" s="64"/>
      <c r="GD14" s="60"/>
    </row>
    <row r="15" spans="1:186" s="79" customFormat="1" ht="15" customHeight="1" x14ac:dyDescent="0.2">
      <c r="A15" s="62">
        <v>46059</v>
      </c>
      <c r="B15" s="76">
        <v>170</v>
      </c>
      <c r="C15" s="90" t="s">
        <v>128</v>
      </c>
      <c r="E15" s="64">
        <v>46038</v>
      </c>
      <c r="F15" s="150">
        <v>15</v>
      </c>
      <c r="G15" s="51" t="s">
        <v>77</v>
      </c>
      <c r="H15" s="51" t="s">
        <v>73</v>
      </c>
      <c r="I15" s="64">
        <v>46042</v>
      </c>
      <c r="J15" s="51" t="s">
        <v>26</v>
      </c>
      <c r="L15" s="52"/>
      <c r="M15" s="53"/>
      <c r="N15" s="80"/>
      <c r="P15" s="64"/>
      <c r="Q15" s="56"/>
      <c r="R15" s="78"/>
      <c r="S15" s="83"/>
      <c r="T15" s="64"/>
      <c r="U15" s="60"/>
      <c r="W15" s="62">
        <v>46059</v>
      </c>
      <c r="X15" s="76">
        <v>50</v>
      </c>
      <c r="Y15" s="80" t="s">
        <v>129</v>
      </c>
      <c r="AA15" s="103"/>
      <c r="AB15" s="56"/>
      <c r="AC15" s="60"/>
      <c r="AD15" s="60"/>
      <c r="AE15" s="64"/>
      <c r="AF15" s="60"/>
      <c r="AH15" s="65">
        <v>46073</v>
      </c>
      <c r="AI15" s="105">
        <v>1984</v>
      </c>
      <c r="AJ15" s="80" t="s">
        <v>142</v>
      </c>
      <c r="AL15" s="64"/>
      <c r="AM15" s="151"/>
      <c r="AN15" s="60"/>
      <c r="AO15" s="60"/>
      <c r="AP15" s="63"/>
      <c r="AQ15" s="60"/>
      <c r="AS15" s="12">
        <v>46071</v>
      </c>
      <c r="AT15" s="107">
        <v>30</v>
      </c>
      <c r="AU15" s="106" t="s">
        <v>140</v>
      </c>
      <c r="AW15" s="55">
        <v>46023</v>
      </c>
      <c r="AX15" s="56">
        <v>100</v>
      </c>
      <c r="AY15" s="51" t="s">
        <v>97</v>
      </c>
      <c r="AZ15" s="51" t="s">
        <v>56</v>
      </c>
      <c r="BA15" s="55">
        <v>46101</v>
      </c>
      <c r="BB15" s="51" t="s">
        <v>26</v>
      </c>
      <c r="BD15" s="86">
        <v>46059</v>
      </c>
      <c r="BE15" s="85">
        <v>63</v>
      </c>
      <c r="BF15" s="80" t="s">
        <v>126</v>
      </c>
      <c r="BH15" s="64"/>
      <c r="BI15" s="151"/>
      <c r="BJ15" s="60"/>
      <c r="BK15" s="60"/>
      <c r="BL15" s="64"/>
      <c r="BM15" s="60"/>
      <c r="BO15" s="87">
        <v>46059</v>
      </c>
      <c r="BP15" s="69">
        <v>50</v>
      </c>
      <c r="BQ15" s="84" t="s">
        <v>129</v>
      </c>
      <c r="BS15" s="55"/>
      <c r="BT15" s="56"/>
      <c r="BU15" s="60"/>
      <c r="BV15" s="60"/>
      <c r="BW15" s="64"/>
      <c r="BX15" s="60"/>
      <c r="BZ15" s="87">
        <v>46059</v>
      </c>
      <c r="CA15" s="69">
        <v>63</v>
      </c>
      <c r="CB15" s="84" t="s">
        <v>126</v>
      </c>
      <c r="CD15" s="55"/>
      <c r="CE15" s="56"/>
      <c r="CF15" s="83"/>
      <c r="CG15" s="83"/>
      <c r="CH15" s="64"/>
      <c r="CI15" s="60"/>
      <c r="CK15" s="87"/>
      <c r="CL15" s="69"/>
      <c r="CM15" s="84"/>
      <c r="CO15" s="55"/>
      <c r="CP15" s="56"/>
      <c r="CQ15" s="83"/>
      <c r="CR15" s="83"/>
      <c r="CS15" s="57"/>
      <c r="CT15" s="60"/>
      <c r="CV15" s="87">
        <v>46073</v>
      </c>
      <c r="CW15" s="69">
        <v>50</v>
      </c>
      <c r="CX15" s="80" t="s">
        <v>147</v>
      </c>
      <c r="CZ15" s="64"/>
      <c r="DA15" s="151"/>
      <c r="DB15" s="60"/>
      <c r="DC15" s="60"/>
      <c r="DD15" s="64"/>
      <c r="DE15" s="60"/>
      <c r="DG15" s="87"/>
      <c r="DH15" s="69"/>
      <c r="DI15" s="84"/>
      <c r="DK15" s="55"/>
      <c r="DL15" s="56"/>
      <c r="DM15" s="83"/>
      <c r="DN15" s="83"/>
      <c r="DO15" s="57"/>
      <c r="DP15" s="60"/>
      <c r="DR15" s="87">
        <v>46080</v>
      </c>
      <c r="DS15" s="69">
        <v>148</v>
      </c>
      <c r="DT15" s="84" t="s">
        <v>164</v>
      </c>
      <c r="DV15" s="64">
        <v>46080</v>
      </c>
      <c r="DW15" s="150">
        <v>15</v>
      </c>
      <c r="DX15" s="51" t="s">
        <v>77</v>
      </c>
      <c r="DY15" s="51" t="s">
        <v>73</v>
      </c>
      <c r="DZ15" s="64">
        <v>46077</v>
      </c>
      <c r="EA15" s="51" t="s">
        <v>26</v>
      </c>
      <c r="EC15" s="87">
        <v>46101</v>
      </c>
      <c r="ED15" s="69">
        <v>1320</v>
      </c>
      <c r="EE15" s="84" t="s">
        <v>165</v>
      </c>
      <c r="EG15" s="64"/>
      <c r="EH15" s="151"/>
      <c r="EI15" s="60"/>
      <c r="EJ15" s="60"/>
      <c r="EK15" s="64"/>
      <c r="EL15" s="60"/>
      <c r="EN15" s="87">
        <v>46086</v>
      </c>
      <c r="EO15" s="69">
        <v>2400</v>
      </c>
      <c r="EP15" s="84" t="s">
        <v>168</v>
      </c>
      <c r="ER15" s="64"/>
      <c r="ES15" s="151"/>
      <c r="ET15" s="60"/>
      <c r="EU15" s="60"/>
      <c r="EV15" s="64"/>
      <c r="EW15" s="60"/>
      <c r="EY15" s="87"/>
      <c r="EZ15" s="69"/>
      <c r="FA15" s="84"/>
      <c r="FC15" s="64"/>
      <c r="FD15" s="151"/>
      <c r="FE15" s="60"/>
      <c r="FF15" s="60"/>
      <c r="FG15" s="64"/>
      <c r="FH15" s="60"/>
      <c r="FJ15" s="87"/>
      <c r="FK15" s="69"/>
      <c r="FL15" s="84"/>
      <c r="FN15" s="64"/>
      <c r="FO15" s="151"/>
      <c r="FP15" s="60"/>
      <c r="FQ15" s="60"/>
      <c r="FR15" s="64"/>
      <c r="FS15" s="60"/>
      <c r="FU15" s="87"/>
      <c r="FV15" s="69"/>
      <c r="FW15" s="84"/>
      <c r="FY15" s="64"/>
      <c r="FZ15" s="151"/>
      <c r="GA15" s="60"/>
      <c r="GB15" s="60"/>
      <c r="GC15" s="64"/>
      <c r="GD15" s="60"/>
    </row>
    <row r="16" spans="1:186" s="79" customFormat="1" ht="15" customHeight="1" x14ac:dyDescent="0.2">
      <c r="A16" s="62">
        <v>46066</v>
      </c>
      <c r="B16" s="76">
        <v>170</v>
      </c>
      <c r="C16" s="90" t="s">
        <v>135</v>
      </c>
      <c r="E16" s="64">
        <v>46041</v>
      </c>
      <c r="F16" s="150">
        <v>15</v>
      </c>
      <c r="G16" s="51" t="s">
        <v>77</v>
      </c>
      <c r="H16" s="51" t="s">
        <v>73</v>
      </c>
      <c r="I16" s="64">
        <v>46042</v>
      </c>
      <c r="J16" s="51" t="s">
        <v>26</v>
      </c>
      <c r="L16" s="52"/>
      <c r="M16" s="53"/>
      <c r="N16" s="80"/>
      <c r="P16" s="64"/>
      <c r="Q16" s="56"/>
      <c r="R16" s="78"/>
      <c r="S16" s="83"/>
      <c r="T16" s="64"/>
      <c r="U16" s="60"/>
      <c r="W16" s="62">
        <v>46066</v>
      </c>
      <c r="X16" s="76">
        <v>63</v>
      </c>
      <c r="Y16" s="80" t="s">
        <v>136</v>
      </c>
      <c r="AA16" s="103"/>
      <c r="AB16" s="56"/>
      <c r="AC16" s="60"/>
      <c r="AD16" s="60"/>
      <c r="AE16" s="64"/>
      <c r="AF16" s="60"/>
      <c r="AH16" s="65">
        <v>46073</v>
      </c>
      <c r="AI16" s="105">
        <v>65</v>
      </c>
      <c r="AJ16" s="80" t="s">
        <v>144</v>
      </c>
      <c r="AL16" s="64"/>
      <c r="AM16" s="151"/>
      <c r="AN16" s="60"/>
      <c r="AO16" s="60"/>
      <c r="AP16" s="63"/>
      <c r="AQ16" s="60"/>
      <c r="AS16" s="12">
        <v>46073</v>
      </c>
      <c r="AT16" s="107">
        <v>2243</v>
      </c>
      <c r="AU16" s="80" t="s">
        <v>142</v>
      </c>
      <c r="AW16" s="55">
        <v>46023</v>
      </c>
      <c r="AX16" s="56">
        <v>100</v>
      </c>
      <c r="AY16" s="60" t="s">
        <v>98</v>
      </c>
      <c r="AZ16" s="51" t="s">
        <v>56</v>
      </c>
      <c r="BA16" s="55">
        <v>46132</v>
      </c>
      <c r="BB16" s="51" t="s">
        <v>28</v>
      </c>
      <c r="BD16" s="52">
        <v>46066</v>
      </c>
      <c r="BE16" s="85">
        <v>63</v>
      </c>
      <c r="BF16" s="80" t="s">
        <v>136</v>
      </c>
      <c r="BH16" s="64"/>
      <c r="BI16" s="151"/>
      <c r="BJ16" s="60"/>
      <c r="BK16" s="60"/>
      <c r="BL16" s="64"/>
      <c r="BM16" s="60"/>
      <c r="BO16" s="70">
        <v>46071</v>
      </c>
      <c r="BP16" s="69">
        <v>20</v>
      </c>
      <c r="BQ16" s="84" t="s">
        <v>140</v>
      </c>
      <c r="BS16" s="55"/>
      <c r="BT16" s="56"/>
      <c r="BU16" s="60"/>
      <c r="BV16" s="60"/>
      <c r="BW16" s="64"/>
      <c r="BX16" s="60"/>
      <c r="BZ16" s="87">
        <v>46066</v>
      </c>
      <c r="CA16" s="69">
        <v>63</v>
      </c>
      <c r="CB16" s="84" t="s">
        <v>136</v>
      </c>
      <c r="CD16" s="55"/>
      <c r="CE16" s="56"/>
      <c r="CF16" s="83"/>
      <c r="CG16" s="83"/>
      <c r="CH16" s="64"/>
      <c r="CI16" s="60"/>
      <c r="CK16" s="70"/>
      <c r="CL16" s="69"/>
      <c r="CM16" s="84"/>
      <c r="CO16" s="55"/>
      <c r="CP16" s="56"/>
      <c r="CQ16" s="83"/>
      <c r="CR16" s="83"/>
      <c r="CS16" s="57"/>
      <c r="CT16" s="60"/>
      <c r="CV16" s="70">
        <v>46084</v>
      </c>
      <c r="CW16" s="69">
        <v>40</v>
      </c>
      <c r="CX16" s="84" t="s">
        <v>176</v>
      </c>
      <c r="CZ16" s="64"/>
      <c r="DA16" s="151"/>
      <c r="DB16" s="60"/>
      <c r="DC16" s="60"/>
      <c r="DD16" s="64"/>
      <c r="DE16" s="60"/>
      <c r="DG16" s="70"/>
      <c r="DH16" s="69"/>
      <c r="DI16" s="84"/>
      <c r="DK16" s="55"/>
      <c r="DL16" s="56"/>
      <c r="DM16" s="83"/>
      <c r="DN16" s="83"/>
      <c r="DO16" s="57"/>
      <c r="DP16" s="60"/>
      <c r="DR16" s="87">
        <v>46086</v>
      </c>
      <c r="DS16" s="69">
        <v>1980</v>
      </c>
      <c r="DT16" s="84" t="s">
        <v>165</v>
      </c>
      <c r="DV16" s="64">
        <v>46074</v>
      </c>
      <c r="DW16" s="150">
        <v>15</v>
      </c>
      <c r="DX16" s="51" t="s">
        <v>77</v>
      </c>
      <c r="DY16" s="51" t="s">
        <v>73</v>
      </c>
      <c r="DZ16" s="64">
        <v>46080</v>
      </c>
      <c r="EA16" s="51" t="s">
        <v>26</v>
      </c>
      <c r="EC16" s="70"/>
      <c r="ED16" s="69"/>
      <c r="EE16" s="84"/>
      <c r="EG16" s="64"/>
      <c r="EH16" s="151"/>
      <c r="EI16" s="60"/>
      <c r="EJ16" s="60"/>
      <c r="EK16" s="64"/>
      <c r="EL16" s="60"/>
      <c r="EN16" s="70">
        <v>46086</v>
      </c>
      <c r="EO16" s="69">
        <v>39</v>
      </c>
      <c r="EP16" s="84" t="s">
        <v>185</v>
      </c>
      <c r="ER16" s="64"/>
      <c r="ES16" s="151"/>
      <c r="ET16" s="60"/>
      <c r="EU16" s="60"/>
      <c r="EV16" s="64"/>
      <c r="EW16" s="60"/>
      <c r="EY16" s="70"/>
      <c r="EZ16" s="69"/>
      <c r="FA16" s="84"/>
      <c r="FC16" s="64"/>
      <c r="FD16" s="151"/>
      <c r="FE16" s="60"/>
      <c r="FF16" s="60"/>
      <c r="FG16" s="64"/>
      <c r="FH16" s="60"/>
      <c r="FJ16" s="70"/>
      <c r="FK16" s="69"/>
      <c r="FL16" s="84"/>
      <c r="FN16" s="64"/>
      <c r="FO16" s="151"/>
      <c r="FP16" s="60"/>
      <c r="FQ16" s="60"/>
      <c r="FR16" s="64"/>
      <c r="FS16" s="60"/>
      <c r="FU16" s="70"/>
      <c r="FV16" s="69"/>
      <c r="FW16" s="84"/>
      <c r="FY16" s="64"/>
      <c r="FZ16" s="151"/>
      <c r="GA16" s="60"/>
      <c r="GB16" s="60"/>
      <c r="GC16" s="64"/>
      <c r="GD16" s="60"/>
    </row>
    <row r="17" spans="1:186" s="79" customFormat="1" ht="15" customHeight="1" x14ac:dyDescent="0.2">
      <c r="A17" s="67">
        <v>46073</v>
      </c>
      <c r="B17" s="68">
        <v>2408</v>
      </c>
      <c r="C17" s="88" t="s">
        <v>142</v>
      </c>
      <c r="E17" s="64">
        <v>46042</v>
      </c>
      <c r="F17" s="150">
        <v>15</v>
      </c>
      <c r="G17" s="51" t="s">
        <v>77</v>
      </c>
      <c r="H17" s="51" t="s">
        <v>73</v>
      </c>
      <c r="I17" s="64">
        <v>46042</v>
      </c>
      <c r="J17" s="51" t="s">
        <v>26</v>
      </c>
      <c r="L17" s="52"/>
      <c r="M17" s="53"/>
      <c r="N17" s="80"/>
      <c r="P17" s="64"/>
      <c r="Q17" s="56"/>
      <c r="R17" s="78"/>
      <c r="S17" s="83"/>
      <c r="T17" s="64"/>
      <c r="U17" s="60"/>
      <c r="W17" s="62">
        <v>46073</v>
      </c>
      <c r="X17" s="76">
        <f>882.2+120</f>
        <v>1002.2</v>
      </c>
      <c r="Y17" s="80" t="s">
        <v>142</v>
      </c>
      <c r="AA17" s="103"/>
      <c r="AB17" s="56"/>
      <c r="AC17" s="60"/>
      <c r="AD17" s="60"/>
      <c r="AE17" s="64"/>
      <c r="AF17" s="60"/>
      <c r="AH17" s="65">
        <v>46077</v>
      </c>
      <c r="AI17" s="107">
        <v>95</v>
      </c>
      <c r="AJ17" s="106" t="s">
        <v>174</v>
      </c>
      <c r="AL17" s="64"/>
      <c r="AM17" s="151"/>
      <c r="AN17" s="60"/>
      <c r="AO17" s="60"/>
      <c r="AP17" s="63"/>
      <c r="AQ17" s="60"/>
      <c r="AS17" s="109">
        <v>46073</v>
      </c>
      <c r="AT17" s="105">
        <v>50</v>
      </c>
      <c r="AU17" s="80" t="s">
        <v>145</v>
      </c>
      <c r="AW17" s="55">
        <v>46023</v>
      </c>
      <c r="AX17" s="56">
        <v>100</v>
      </c>
      <c r="AY17" s="60" t="s">
        <v>99</v>
      </c>
      <c r="AZ17" s="51" t="s">
        <v>56</v>
      </c>
      <c r="BA17" s="55">
        <v>46162</v>
      </c>
      <c r="BB17" s="51" t="s">
        <v>28</v>
      </c>
      <c r="BD17" s="52">
        <v>46073</v>
      </c>
      <c r="BE17" s="85">
        <v>672</v>
      </c>
      <c r="BF17" s="80" t="s">
        <v>142</v>
      </c>
      <c r="BH17" s="64"/>
      <c r="BI17" s="151"/>
      <c r="BJ17" s="60"/>
      <c r="BK17" s="60"/>
      <c r="BL17" s="64"/>
      <c r="BM17" s="60"/>
      <c r="BO17" s="52">
        <v>46073</v>
      </c>
      <c r="BP17" s="69">
        <v>958.5</v>
      </c>
      <c r="BQ17" s="80" t="s">
        <v>142</v>
      </c>
      <c r="BS17" s="55"/>
      <c r="BT17" s="56"/>
      <c r="BU17" s="60"/>
      <c r="BV17" s="60"/>
      <c r="BW17" s="64"/>
      <c r="BX17" s="60"/>
      <c r="BZ17" s="52">
        <v>46073</v>
      </c>
      <c r="CA17" s="69">
        <v>1590</v>
      </c>
      <c r="CB17" s="80" t="s">
        <v>142</v>
      </c>
      <c r="CD17" s="55"/>
      <c r="CE17" s="56"/>
      <c r="CF17" s="83"/>
      <c r="CG17" s="83"/>
      <c r="CH17" s="64"/>
      <c r="CI17" s="60"/>
      <c r="CK17" s="52"/>
      <c r="CL17" s="69"/>
      <c r="CM17" s="80"/>
      <c r="CO17" s="55"/>
      <c r="CP17" s="56"/>
      <c r="CQ17" s="83"/>
      <c r="CR17" s="83"/>
      <c r="CS17" s="57"/>
      <c r="CT17" s="60"/>
      <c r="CV17" s="52">
        <v>46086</v>
      </c>
      <c r="CW17" s="69">
        <v>50</v>
      </c>
      <c r="CX17" s="80" t="s">
        <v>181</v>
      </c>
      <c r="CZ17" s="64"/>
      <c r="DA17" s="151"/>
      <c r="DB17" s="60"/>
      <c r="DC17" s="60"/>
      <c r="DD17" s="64"/>
      <c r="DE17" s="60"/>
      <c r="DG17" s="52"/>
      <c r="DH17" s="69"/>
      <c r="DI17" s="80"/>
      <c r="DK17" s="55"/>
      <c r="DL17" s="56"/>
      <c r="DM17" s="83"/>
      <c r="DN17" s="83"/>
      <c r="DO17" s="57"/>
      <c r="DP17" s="60"/>
      <c r="DR17" s="52">
        <v>46086</v>
      </c>
      <c r="DS17" s="69">
        <v>65</v>
      </c>
      <c r="DT17" s="80" t="s">
        <v>184</v>
      </c>
      <c r="DV17" s="64">
        <v>46075</v>
      </c>
      <c r="DW17" s="150">
        <v>15</v>
      </c>
      <c r="DX17" s="51" t="s">
        <v>77</v>
      </c>
      <c r="DY17" s="51" t="s">
        <v>73</v>
      </c>
      <c r="DZ17" s="64">
        <v>46080</v>
      </c>
      <c r="EA17" s="51" t="s">
        <v>26</v>
      </c>
      <c r="EC17" s="52"/>
      <c r="ED17" s="69"/>
      <c r="EE17" s="80"/>
      <c r="EG17" s="64"/>
      <c r="EH17" s="151"/>
      <c r="EI17" s="60"/>
      <c r="EJ17" s="60"/>
      <c r="EK17" s="64"/>
      <c r="EL17" s="60"/>
      <c r="EN17" s="52">
        <v>46094</v>
      </c>
      <c r="EO17" s="69">
        <v>65</v>
      </c>
      <c r="EP17" s="80" t="s">
        <v>157</v>
      </c>
      <c r="ER17" s="64"/>
      <c r="ES17" s="151"/>
      <c r="ET17" s="60"/>
      <c r="EU17" s="60"/>
      <c r="EV17" s="64"/>
      <c r="EW17" s="60"/>
      <c r="EY17" s="52"/>
      <c r="EZ17" s="69"/>
      <c r="FA17" s="80"/>
      <c r="FC17" s="64"/>
      <c r="FD17" s="151"/>
      <c r="FE17" s="60"/>
      <c r="FF17" s="60"/>
      <c r="FG17" s="64"/>
      <c r="FH17" s="60"/>
      <c r="FJ17" s="52"/>
      <c r="FK17" s="69"/>
      <c r="FL17" s="80"/>
      <c r="FN17" s="64"/>
      <c r="FO17" s="151"/>
      <c r="FP17" s="60"/>
      <c r="FQ17" s="60"/>
      <c r="FR17" s="64"/>
      <c r="FS17" s="60"/>
      <c r="FU17" s="52"/>
      <c r="FV17" s="69"/>
      <c r="FW17" s="80"/>
      <c r="FY17" s="64"/>
      <c r="FZ17" s="151"/>
      <c r="GA17" s="60"/>
      <c r="GB17" s="60"/>
      <c r="GC17" s="64"/>
      <c r="GD17" s="60"/>
    </row>
    <row r="18" spans="1:186" s="79" customFormat="1" ht="15" customHeight="1" x14ac:dyDescent="0.2">
      <c r="A18" s="67">
        <v>46073</v>
      </c>
      <c r="B18" s="68">
        <v>170</v>
      </c>
      <c r="C18" s="88" t="s">
        <v>143</v>
      </c>
      <c r="E18" s="63">
        <v>46375</v>
      </c>
      <c r="F18" s="150">
        <v>180</v>
      </c>
      <c r="G18" s="51" t="s">
        <v>92</v>
      </c>
      <c r="H18" s="51" t="s">
        <v>61</v>
      </c>
      <c r="I18" s="64">
        <v>46042</v>
      </c>
      <c r="J18" s="51" t="s">
        <v>26</v>
      </c>
      <c r="L18" s="52"/>
      <c r="M18" s="53"/>
      <c r="N18" s="80"/>
      <c r="P18" s="64"/>
      <c r="Q18" s="56"/>
      <c r="R18" s="78"/>
      <c r="S18" s="83"/>
      <c r="T18" s="64"/>
      <c r="U18" s="60"/>
      <c r="W18" s="62">
        <v>46073</v>
      </c>
      <c r="X18" s="76">
        <v>63</v>
      </c>
      <c r="Y18" s="80" t="s">
        <v>144</v>
      </c>
      <c r="AA18" s="103"/>
      <c r="AB18" s="56"/>
      <c r="AC18" s="60"/>
      <c r="AD18" s="60"/>
      <c r="AE18" s="64"/>
      <c r="AF18" s="60"/>
      <c r="AH18" s="62">
        <v>46080</v>
      </c>
      <c r="AI18" s="53">
        <v>95</v>
      </c>
      <c r="AJ18" s="80" t="s">
        <v>175</v>
      </c>
      <c r="AL18" s="64"/>
      <c r="AM18" s="151"/>
      <c r="AN18" s="60"/>
      <c r="AO18" s="60"/>
      <c r="AP18" s="63"/>
      <c r="AQ18" s="60"/>
      <c r="AS18" s="52">
        <v>46084</v>
      </c>
      <c r="AT18" s="53">
        <v>40</v>
      </c>
      <c r="AU18" s="80" t="s">
        <v>155</v>
      </c>
      <c r="AW18" s="55">
        <v>46023</v>
      </c>
      <c r="AX18" s="56">
        <v>100</v>
      </c>
      <c r="AY18" s="60" t="s">
        <v>100</v>
      </c>
      <c r="AZ18" s="51" t="s">
        <v>56</v>
      </c>
      <c r="BA18" s="55">
        <v>46193</v>
      </c>
      <c r="BB18" s="51" t="s">
        <v>28</v>
      </c>
      <c r="BD18" s="52">
        <v>46073</v>
      </c>
      <c r="BE18" s="85">
        <v>65</v>
      </c>
      <c r="BF18" s="80" t="s">
        <v>144</v>
      </c>
      <c r="BH18" s="64"/>
      <c r="BI18" s="151"/>
      <c r="BJ18" s="60"/>
      <c r="BK18" s="60"/>
      <c r="BL18" s="64"/>
      <c r="BM18" s="60"/>
      <c r="BO18" s="52">
        <v>46073</v>
      </c>
      <c r="BP18" s="69">
        <v>50</v>
      </c>
      <c r="BQ18" s="80" t="s">
        <v>145</v>
      </c>
      <c r="BS18" s="55"/>
      <c r="BT18" s="56"/>
      <c r="BU18" s="60"/>
      <c r="BV18" s="60"/>
      <c r="BW18" s="64"/>
      <c r="BX18" s="60"/>
      <c r="BZ18" s="52">
        <v>46073</v>
      </c>
      <c r="CA18" s="69">
        <v>65</v>
      </c>
      <c r="CB18" s="80" t="s">
        <v>146</v>
      </c>
      <c r="CD18" s="55"/>
      <c r="CE18" s="56"/>
      <c r="CF18" s="83"/>
      <c r="CG18" s="83"/>
      <c r="CH18" s="64"/>
      <c r="CI18" s="60"/>
      <c r="CK18" s="52"/>
      <c r="CL18" s="69"/>
      <c r="CM18" s="80"/>
      <c r="CO18" s="55"/>
      <c r="CP18" s="56"/>
      <c r="CQ18" s="83"/>
      <c r="CR18" s="83"/>
      <c r="CS18" s="57"/>
      <c r="CT18" s="60"/>
      <c r="CV18" s="52">
        <v>46086</v>
      </c>
      <c r="CW18" s="69">
        <v>950</v>
      </c>
      <c r="CX18" s="80" t="s">
        <v>172</v>
      </c>
      <c r="CZ18" s="64"/>
      <c r="DA18" s="151"/>
      <c r="DB18" s="60"/>
      <c r="DC18" s="60"/>
      <c r="DD18" s="64"/>
      <c r="DE18" s="60"/>
      <c r="DG18" s="52"/>
      <c r="DH18" s="69"/>
      <c r="DI18" s="80"/>
      <c r="DK18" s="55"/>
      <c r="DL18" s="56"/>
      <c r="DM18" s="83"/>
      <c r="DN18" s="83"/>
      <c r="DO18" s="57"/>
      <c r="DP18" s="60"/>
      <c r="DR18" s="52">
        <v>46087</v>
      </c>
      <c r="DS18" s="69">
        <v>140</v>
      </c>
      <c r="DT18" s="80" t="s">
        <v>167</v>
      </c>
      <c r="DV18" s="64">
        <v>46076</v>
      </c>
      <c r="DW18" s="150">
        <v>15</v>
      </c>
      <c r="DX18" s="51" t="s">
        <v>77</v>
      </c>
      <c r="DY18" s="51" t="s">
        <v>73</v>
      </c>
      <c r="DZ18" s="64">
        <v>46080</v>
      </c>
      <c r="EA18" s="51" t="s">
        <v>26</v>
      </c>
      <c r="EC18" s="52"/>
      <c r="ED18" s="69"/>
      <c r="EE18" s="80"/>
      <c r="EG18" s="64"/>
      <c r="EH18" s="151"/>
      <c r="EI18" s="60"/>
      <c r="EJ18" s="60"/>
      <c r="EK18" s="64"/>
      <c r="EL18" s="60"/>
      <c r="EN18" s="52">
        <v>46098</v>
      </c>
      <c r="EO18" s="69">
        <v>50</v>
      </c>
      <c r="EP18" s="80" t="s">
        <v>155</v>
      </c>
      <c r="ER18" s="64"/>
      <c r="ES18" s="151"/>
      <c r="ET18" s="60"/>
      <c r="EU18" s="60"/>
      <c r="EV18" s="64"/>
      <c r="EW18" s="60"/>
      <c r="EY18" s="52"/>
      <c r="EZ18" s="69"/>
      <c r="FA18" s="80"/>
      <c r="FC18" s="64"/>
      <c r="FD18" s="151"/>
      <c r="FE18" s="60"/>
      <c r="FF18" s="60"/>
      <c r="FG18" s="64"/>
      <c r="FH18" s="60"/>
      <c r="FJ18" s="52"/>
      <c r="FK18" s="69"/>
      <c r="FL18" s="80"/>
      <c r="FN18" s="64"/>
      <c r="FO18" s="151"/>
      <c r="FP18" s="60"/>
      <c r="FQ18" s="60"/>
      <c r="FR18" s="64"/>
      <c r="FS18" s="60"/>
      <c r="FU18" s="52"/>
      <c r="FV18" s="69"/>
      <c r="FW18" s="80"/>
      <c r="FY18" s="64"/>
      <c r="FZ18" s="151"/>
      <c r="GA18" s="60"/>
      <c r="GB18" s="60"/>
      <c r="GC18" s="64"/>
      <c r="GD18" s="60"/>
    </row>
    <row r="19" spans="1:186" s="79" customFormat="1" ht="15" customHeight="1" x14ac:dyDescent="0.2">
      <c r="A19" s="87">
        <v>46080</v>
      </c>
      <c r="B19" s="69">
        <v>170</v>
      </c>
      <c r="C19" s="88" t="s">
        <v>154</v>
      </c>
      <c r="E19" s="64">
        <v>46043</v>
      </c>
      <c r="F19" s="150">
        <v>15</v>
      </c>
      <c r="G19" s="51" t="s">
        <v>77</v>
      </c>
      <c r="H19" s="51" t="s">
        <v>73</v>
      </c>
      <c r="I19" s="64">
        <v>46057</v>
      </c>
      <c r="J19" s="51" t="s">
        <v>26</v>
      </c>
      <c r="L19" s="52"/>
      <c r="M19" s="53"/>
      <c r="N19" s="80"/>
      <c r="P19" s="64"/>
      <c r="Q19" s="56"/>
      <c r="R19" s="78"/>
      <c r="S19" s="83"/>
      <c r="T19" s="64"/>
      <c r="U19" s="60"/>
      <c r="W19" s="62">
        <v>46080</v>
      </c>
      <c r="X19" s="85">
        <v>63</v>
      </c>
      <c r="Y19" s="80"/>
      <c r="AA19" s="103"/>
      <c r="AB19" s="56"/>
      <c r="AC19" s="60"/>
      <c r="AD19" s="60"/>
      <c r="AE19" s="64"/>
      <c r="AF19" s="60"/>
      <c r="AH19" s="62">
        <v>46084</v>
      </c>
      <c r="AI19" s="53">
        <v>40</v>
      </c>
      <c r="AJ19" s="80" t="s">
        <v>176</v>
      </c>
      <c r="AL19" s="64"/>
      <c r="AM19" s="151"/>
      <c r="AN19" s="60"/>
      <c r="AO19" s="60"/>
      <c r="AP19" s="63"/>
      <c r="AQ19" s="60"/>
      <c r="AS19" s="109">
        <v>46086</v>
      </c>
      <c r="AT19" s="105">
        <v>2250</v>
      </c>
      <c r="AU19" s="106" t="s">
        <v>170</v>
      </c>
      <c r="AW19" s="55">
        <v>46023</v>
      </c>
      <c r="AX19" s="56">
        <v>100</v>
      </c>
      <c r="AY19" s="60" t="s">
        <v>101</v>
      </c>
      <c r="AZ19" s="60" t="s">
        <v>56</v>
      </c>
      <c r="BA19" s="55">
        <v>46223</v>
      </c>
      <c r="BB19" s="51" t="s">
        <v>28</v>
      </c>
      <c r="BD19" s="52"/>
      <c r="BE19" s="85"/>
      <c r="BF19" s="80"/>
      <c r="BH19" s="64"/>
      <c r="BI19" s="151"/>
      <c r="BJ19" s="60"/>
      <c r="BK19" s="60"/>
      <c r="BL19" s="58"/>
      <c r="BM19" s="60"/>
      <c r="BO19" s="52">
        <v>46084</v>
      </c>
      <c r="BP19" s="69">
        <v>40</v>
      </c>
      <c r="BQ19" s="80" t="s">
        <v>155</v>
      </c>
      <c r="BS19" s="55"/>
      <c r="BT19" s="56"/>
      <c r="BU19" s="60"/>
      <c r="BV19" s="60"/>
      <c r="BW19" s="64"/>
      <c r="BX19" s="60"/>
      <c r="BZ19" s="52">
        <v>46080</v>
      </c>
      <c r="CA19" s="69">
        <v>65</v>
      </c>
      <c r="CB19" s="80" t="s">
        <v>156</v>
      </c>
      <c r="CD19" s="55"/>
      <c r="CE19" s="56"/>
      <c r="CF19" s="83"/>
      <c r="CG19" s="83"/>
      <c r="CH19" s="64"/>
      <c r="CI19" s="60"/>
      <c r="CK19" s="52"/>
      <c r="CL19" s="69"/>
      <c r="CM19" s="80"/>
      <c r="CO19" s="55"/>
      <c r="CP19" s="56"/>
      <c r="CQ19" s="83"/>
      <c r="CR19" s="83"/>
      <c r="CS19" s="57"/>
      <c r="CT19" s="60"/>
      <c r="CV19" s="52">
        <v>46094</v>
      </c>
      <c r="CW19" s="69">
        <v>65</v>
      </c>
      <c r="CX19" s="80" t="s">
        <v>191</v>
      </c>
      <c r="CZ19" s="64"/>
      <c r="DA19" s="151"/>
      <c r="DB19" s="60"/>
      <c r="DC19" s="60"/>
      <c r="DD19" s="64"/>
      <c r="DE19" s="60"/>
      <c r="DG19" s="52"/>
      <c r="DH19" s="69"/>
      <c r="DI19" s="80"/>
      <c r="DK19" s="55"/>
      <c r="DL19" s="56"/>
      <c r="DM19" s="83"/>
      <c r="DN19" s="83"/>
      <c r="DO19" s="57"/>
      <c r="DP19" s="60"/>
      <c r="DR19" s="52">
        <v>46094</v>
      </c>
      <c r="DS19" s="69">
        <v>65</v>
      </c>
      <c r="DT19" s="80" t="s">
        <v>157</v>
      </c>
      <c r="DV19" s="64">
        <v>46077</v>
      </c>
      <c r="DW19" s="150">
        <v>15</v>
      </c>
      <c r="DX19" s="51" t="s">
        <v>77</v>
      </c>
      <c r="DY19" s="51" t="s">
        <v>73</v>
      </c>
      <c r="DZ19" s="64">
        <v>46080</v>
      </c>
      <c r="EA19" s="51" t="s">
        <v>26</v>
      </c>
      <c r="EC19" s="52"/>
      <c r="ED19" s="69"/>
      <c r="EE19" s="80"/>
      <c r="EG19" s="64"/>
      <c r="EH19" s="151"/>
      <c r="EI19" s="60"/>
      <c r="EJ19" s="60"/>
      <c r="EK19" s="64"/>
      <c r="EL19" s="60"/>
      <c r="EN19" s="52">
        <v>46101</v>
      </c>
      <c r="EO19" s="69">
        <v>50</v>
      </c>
      <c r="EP19" s="80" t="s">
        <v>155</v>
      </c>
      <c r="ER19" s="64"/>
      <c r="ES19" s="151"/>
      <c r="ET19" s="60"/>
      <c r="EU19" s="60"/>
      <c r="EV19" s="64"/>
      <c r="EW19" s="60"/>
      <c r="EY19" s="52"/>
      <c r="EZ19" s="69"/>
      <c r="FA19" s="80"/>
      <c r="FC19" s="64"/>
      <c r="FD19" s="151"/>
      <c r="FE19" s="60"/>
      <c r="FF19" s="60"/>
      <c r="FG19" s="64"/>
      <c r="FH19" s="60"/>
      <c r="FJ19" s="52"/>
      <c r="FK19" s="69"/>
      <c r="FL19" s="80"/>
      <c r="FN19" s="64"/>
      <c r="FO19" s="151"/>
      <c r="FP19" s="60"/>
      <c r="FQ19" s="60"/>
      <c r="FR19" s="64"/>
      <c r="FS19" s="60"/>
      <c r="FU19" s="52"/>
      <c r="FV19" s="69"/>
      <c r="FW19" s="80"/>
      <c r="FY19" s="64"/>
      <c r="FZ19" s="151"/>
      <c r="GA19" s="60"/>
      <c r="GB19" s="60"/>
      <c r="GC19" s="64"/>
      <c r="GD19" s="60"/>
    </row>
    <row r="20" spans="1:186" s="79" customFormat="1" ht="15" customHeight="1" x14ac:dyDescent="0.2">
      <c r="A20" s="87">
        <v>46086</v>
      </c>
      <c r="B20" s="69">
        <v>1620</v>
      </c>
      <c r="C20" s="88" t="s">
        <v>170</v>
      </c>
      <c r="E20" s="64">
        <v>46044</v>
      </c>
      <c r="F20" s="150">
        <v>15</v>
      </c>
      <c r="G20" s="51" t="s">
        <v>77</v>
      </c>
      <c r="H20" s="51" t="s">
        <v>73</v>
      </c>
      <c r="I20" s="64">
        <v>46057</v>
      </c>
      <c r="J20" s="51" t="s">
        <v>26</v>
      </c>
      <c r="L20" s="52"/>
      <c r="M20" s="53"/>
      <c r="N20" s="80"/>
      <c r="P20" s="64"/>
      <c r="Q20" s="56"/>
      <c r="R20" s="78"/>
      <c r="S20" s="83"/>
      <c r="T20" s="64"/>
      <c r="U20" s="60"/>
      <c r="W20" s="52">
        <v>46086</v>
      </c>
      <c r="X20" s="53">
        <v>972.6</v>
      </c>
      <c r="Y20" s="80" t="s">
        <v>172</v>
      </c>
      <c r="AA20" s="103"/>
      <c r="AB20" s="56"/>
      <c r="AC20" s="60"/>
      <c r="AD20" s="60"/>
      <c r="AE20" s="64"/>
      <c r="AF20" s="60"/>
      <c r="AH20" s="62">
        <v>46086</v>
      </c>
      <c r="AI20" s="53">
        <v>1620</v>
      </c>
      <c r="AJ20" s="80" t="s">
        <v>177</v>
      </c>
      <c r="AL20" s="64"/>
      <c r="AM20" s="151"/>
      <c r="AN20" s="60"/>
      <c r="AO20" s="60"/>
      <c r="AP20" s="63"/>
      <c r="AQ20" s="60"/>
      <c r="AS20" s="52">
        <v>46086</v>
      </c>
      <c r="AT20" s="53">
        <v>50</v>
      </c>
      <c r="AU20" s="80" t="s">
        <v>178</v>
      </c>
      <c r="AW20" s="55"/>
      <c r="AX20" s="56"/>
      <c r="AY20" s="60"/>
      <c r="AZ20" s="60"/>
      <c r="BA20" s="55"/>
      <c r="BB20" s="60"/>
      <c r="BD20" s="52"/>
      <c r="BE20" s="53"/>
      <c r="BF20" s="80"/>
      <c r="BH20" s="64"/>
      <c r="BI20" s="151"/>
      <c r="BJ20" s="60"/>
      <c r="BK20" s="60"/>
      <c r="BL20" s="58"/>
      <c r="BM20" s="60"/>
      <c r="BO20" s="52">
        <v>46086</v>
      </c>
      <c r="BP20" s="69">
        <v>1320</v>
      </c>
      <c r="BQ20" s="80" t="s">
        <v>165</v>
      </c>
      <c r="BS20" s="55"/>
      <c r="BT20" s="56"/>
      <c r="BU20" s="60"/>
      <c r="BV20" s="60"/>
      <c r="BW20" s="64"/>
      <c r="BX20" s="60"/>
      <c r="BZ20" s="52">
        <v>46086</v>
      </c>
      <c r="CA20" s="69">
        <f>960-13</f>
        <v>947</v>
      </c>
      <c r="CB20" s="80" t="s">
        <v>180</v>
      </c>
      <c r="CD20" s="55"/>
      <c r="CE20" s="56"/>
      <c r="CF20" s="83"/>
      <c r="CG20" s="83"/>
      <c r="CH20" s="64"/>
      <c r="CI20" s="60"/>
      <c r="CK20" s="52"/>
      <c r="CL20" s="69"/>
      <c r="CM20" s="80"/>
      <c r="CO20" s="55"/>
      <c r="CP20" s="56"/>
      <c r="CQ20" s="83"/>
      <c r="CR20" s="83"/>
      <c r="CS20" s="57"/>
      <c r="CT20" s="60"/>
      <c r="CV20" s="52">
        <v>46098</v>
      </c>
      <c r="CW20" s="69">
        <v>50</v>
      </c>
      <c r="CX20" s="80" t="s">
        <v>155</v>
      </c>
      <c r="CZ20" s="64"/>
      <c r="DA20" s="151"/>
      <c r="DB20" s="60"/>
      <c r="DC20" s="60"/>
      <c r="DD20" s="64"/>
      <c r="DE20" s="60"/>
      <c r="DG20" s="52"/>
      <c r="DH20" s="69"/>
      <c r="DI20" s="80"/>
      <c r="DK20" s="55"/>
      <c r="DL20" s="56"/>
      <c r="DM20" s="83"/>
      <c r="DN20" s="83"/>
      <c r="DO20" s="57"/>
      <c r="DP20" s="60"/>
      <c r="DR20" s="52">
        <v>46101</v>
      </c>
      <c r="DS20" s="69">
        <v>65</v>
      </c>
      <c r="DT20" s="80" t="s">
        <v>157</v>
      </c>
      <c r="DV20" s="64">
        <v>46078</v>
      </c>
      <c r="DW20" s="150">
        <v>15</v>
      </c>
      <c r="DX20" s="51" t="s">
        <v>77</v>
      </c>
      <c r="DY20" s="51" t="s">
        <v>73</v>
      </c>
      <c r="DZ20" s="64">
        <v>46080</v>
      </c>
      <c r="EA20" s="51" t="s">
        <v>26</v>
      </c>
      <c r="EC20" s="52"/>
      <c r="ED20" s="69"/>
      <c r="EE20" s="80"/>
      <c r="EG20" s="64"/>
      <c r="EH20" s="151"/>
      <c r="EI20" s="60"/>
      <c r="EJ20" s="60"/>
      <c r="EK20" s="64"/>
      <c r="EL20" s="60"/>
      <c r="EN20" s="52">
        <v>46101</v>
      </c>
      <c r="EO20" s="69">
        <v>65</v>
      </c>
      <c r="EP20" s="80" t="s">
        <v>157</v>
      </c>
      <c r="ER20" s="64"/>
      <c r="ES20" s="151"/>
      <c r="ET20" s="60"/>
      <c r="EU20" s="60"/>
      <c r="EV20" s="64"/>
      <c r="EW20" s="60"/>
      <c r="EY20" s="52"/>
      <c r="EZ20" s="69"/>
      <c r="FA20" s="80"/>
      <c r="FC20" s="64"/>
      <c r="FD20" s="151"/>
      <c r="FE20" s="60"/>
      <c r="FF20" s="60"/>
      <c r="FG20" s="64"/>
      <c r="FH20" s="60"/>
      <c r="FJ20" s="52"/>
      <c r="FK20" s="69"/>
      <c r="FL20" s="80"/>
      <c r="FN20" s="64"/>
      <c r="FO20" s="151"/>
      <c r="FP20" s="60"/>
      <c r="FQ20" s="60"/>
      <c r="FR20" s="64"/>
      <c r="FS20" s="60"/>
      <c r="FU20" s="52"/>
      <c r="FV20" s="69"/>
      <c r="FW20" s="80"/>
      <c r="FY20" s="64"/>
      <c r="FZ20" s="151"/>
      <c r="GA20" s="60"/>
      <c r="GB20" s="60"/>
      <c r="GC20" s="64"/>
      <c r="GD20" s="60"/>
    </row>
    <row r="21" spans="1:186" s="79" customFormat="1" ht="15" customHeight="1" x14ac:dyDescent="0.2">
      <c r="A21" s="86">
        <v>46086</v>
      </c>
      <c r="B21" s="69">
        <v>170</v>
      </c>
      <c r="C21" s="90" t="s">
        <v>171</v>
      </c>
      <c r="E21" s="64">
        <v>46045</v>
      </c>
      <c r="F21" s="150">
        <v>15</v>
      </c>
      <c r="G21" s="51" t="s">
        <v>77</v>
      </c>
      <c r="H21" s="51" t="s">
        <v>73</v>
      </c>
      <c r="I21" s="64">
        <v>46057</v>
      </c>
      <c r="J21" s="51" t="s">
        <v>26</v>
      </c>
      <c r="L21" s="52"/>
      <c r="M21" s="53"/>
      <c r="N21" s="80"/>
      <c r="P21" s="64"/>
      <c r="Q21" s="56"/>
      <c r="R21" s="78"/>
      <c r="S21" s="83"/>
      <c r="T21" s="64"/>
      <c r="U21" s="60"/>
      <c r="W21" s="52">
        <v>46086</v>
      </c>
      <c r="X21" s="53">
        <v>63</v>
      </c>
      <c r="Y21" s="80" t="s">
        <v>173</v>
      </c>
      <c r="AA21" s="103"/>
      <c r="AB21" s="56"/>
      <c r="AC21" s="60"/>
      <c r="AD21" s="60"/>
      <c r="AE21" s="64"/>
      <c r="AF21" s="60"/>
      <c r="AH21" s="62">
        <v>46086</v>
      </c>
      <c r="AI21" s="53">
        <v>5</v>
      </c>
      <c r="AJ21" s="80" t="s">
        <v>123</v>
      </c>
      <c r="AL21" s="64"/>
      <c r="AM21" s="151"/>
      <c r="AN21" s="60"/>
      <c r="AO21" s="60"/>
      <c r="AP21" s="63"/>
      <c r="AQ21" s="60"/>
      <c r="AS21" s="52">
        <v>46098</v>
      </c>
      <c r="AT21" s="53">
        <v>50</v>
      </c>
      <c r="AU21" s="80" t="s">
        <v>155</v>
      </c>
      <c r="AW21" s="55"/>
      <c r="AX21" s="56"/>
      <c r="AY21" s="60"/>
      <c r="AZ21" s="60"/>
      <c r="BA21" s="55"/>
      <c r="BB21" s="60"/>
      <c r="BD21" s="52"/>
      <c r="BE21" s="53"/>
      <c r="BF21" s="54"/>
      <c r="BH21" s="64"/>
      <c r="BI21" s="151"/>
      <c r="BJ21" s="60"/>
      <c r="BK21" s="60"/>
      <c r="BL21" s="58"/>
      <c r="BM21" s="60"/>
      <c r="BO21" s="52">
        <v>46086</v>
      </c>
      <c r="BP21" s="53">
        <v>26</v>
      </c>
      <c r="BQ21" s="80" t="s">
        <v>179</v>
      </c>
      <c r="BS21" s="55"/>
      <c r="BT21" s="56"/>
      <c r="BU21" s="60"/>
      <c r="BV21" s="60"/>
      <c r="BW21" s="64"/>
      <c r="BX21" s="60"/>
      <c r="BZ21" s="52">
        <v>46086</v>
      </c>
      <c r="CA21" s="53">
        <v>65</v>
      </c>
      <c r="CB21" s="80" t="s">
        <v>173</v>
      </c>
      <c r="CD21" s="55"/>
      <c r="CE21" s="56"/>
      <c r="CF21" s="83"/>
      <c r="CG21" s="83"/>
      <c r="CH21" s="64"/>
      <c r="CI21" s="60"/>
      <c r="CK21" s="52"/>
      <c r="CL21" s="53"/>
      <c r="CM21" s="80"/>
      <c r="CO21" s="55"/>
      <c r="CP21" s="56"/>
      <c r="CQ21" s="83"/>
      <c r="CR21" s="83"/>
      <c r="CS21" s="57"/>
      <c r="CT21" s="60"/>
      <c r="CV21" s="52">
        <v>46101</v>
      </c>
      <c r="CW21" s="53">
        <v>50</v>
      </c>
      <c r="CX21" s="80" t="s">
        <v>155</v>
      </c>
      <c r="CZ21" s="64"/>
      <c r="DA21" s="151"/>
      <c r="DB21" s="60"/>
      <c r="DC21" s="60"/>
      <c r="DD21" s="64"/>
      <c r="DE21" s="60"/>
      <c r="DG21" s="52"/>
      <c r="DH21" s="53"/>
      <c r="DI21" s="80"/>
      <c r="DK21" s="55"/>
      <c r="DL21" s="56"/>
      <c r="DM21" s="83"/>
      <c r="DN21" s="83"/>
      <c r="DO21" s="57"/>
      <c r="DP21" s="60"/>
      <c r="DR21" s="52">
        <v>46101</v>
      </c>
      <c r="DS21" s="53">
        <v>1967</v>
      </c>
      <c r="DT21" s="80" t="s">
        <v>165</v>
      </c>
      <c r="DV21" s="64">
        <v>46079</v>
      </c>
      <c r="DW21" s="150">
        <v>15</v>
      </c>
      <c r="DX21" s="51" t="s">
        <v>77</v>
      </c>
      <c r="DY21" s="51" t="s">
        <v>73</v>
      </c>
      <c r="DZ21" s="64">
        <v>46080</v>
      </c>
      <c r="EA21" s="51" t="s">
        <v>26</v>
      </c>
      <c r="EC21" s="52"/>
      <c r="ED21" s="53"/>
      <c r="EE21" s="80"/>
      <c r="EG21" s="64"/>
      <c r="EH21" s="151"/>
      <c r="EI21" s="60"/>
      <c r="EJ21" s="60"/>
      <c r="EK21" s="64"/>
      <c r="EL21" s="60"/>
      <c r="EN21" s="52">
        <v>46101</v>
      </c>
      <c r="EO21" s="53">
        <v>2600</v>
      </c>
      <c r="EP21" s="80" t="s">
        <v>168</v>
      </c>
      <c r="ER21" s="64"/>
      <c r="ES21" s="151"/>
      <c r="ET21" s="60"/>
      <c r="EU21" s="60"/>
      <c r="EV21" s="64"/>
      <c r="EW21" s="60"/>
      <c r="EY21" s="52"/>
      <c r="EZ21" s="53"/>
      <c r="FA21" s="80"/>
      <c r="FC21" s="64"/>
      <c r="FD21" s="151"/>
      <c r="FE21" s="60"/>
      <c r="FF21" s="60"/>
      <c r="FG21" s="64"/>
      <c r="FH21" s="60"/>
      <c r="FJ21" s="52"/>
      <c r="FK21" s="53"/>
      <c r="FL21" s="80"/>
      <c r="FN21" s="64"/>
      <c r="FO21" s="151"/>
      <c r="FP21" s="60"/>
      <c r="FQ21" s="60"/>
      <c r="FR21" s="64"/>
      <c r="FS21" s="60"/>
      <c r="FU21" s="52"/>
      <c r="FV21" s="53"/>
      <c r="FW21" s="80"/>
      <c r="FY21" s="64"/>
      <c r="FZ21" s="151"/>
      <c r="GA21" s="60"/>
      <c r="GB21" s="60"/>
      <c r="GC21" s="64"/>
      <c r="GD21" s="60"/>
    </row>
    <row r="22" spans="1:186" ht="15" customHeight="1" x14ac:dyDescent="0.2">
      <c r="A22" s="86">
        <v>46094</v>
      </c>
      <c r="B22" s="69">
        <v>170</v>
      </c>
      <c r="C22" s="90" t="s">
        <v>157</v>
      </c>
      <c r="E22" s="64">
        <v>46048</v>
      </c>
      <c r="F22" s="150">
        <v>15</v>
      </c>
      <c r="G22" s="51" t="s">
        <v>77</v>
      </c>
      <c r="H22" s="51" t="s">
        <v>73</v>
      </c>
      <c r="I22" s="64">
        <v>46057</v>
      </c>
      <c r="J22" s="51" t="s">
        <v>26</v>
      </c>
      <c r="N22" s="80"/>
      <c r="T22" s="64"/>
      <c r="W22" s="52">
        <v>46094</v>
      </c>
      <c r="X22" s="53">
        <v>63</v>
      </c>
      <c r="Y22" s="80"/>
      <c r="AE22" s="64"/>
      <c r="AH22" s="62">
        <v>46098</v>
      </c>
      <c r="AI22" s="53">
        <v>50</v>
      </c>
      <c r="AJ22" s="80" t="s">
        <v>155</v>
      </c>
      <c r="AP22" s="63"/>
      <c r="AS22" s="52">
        <v>46101</v>
      </c>
      <c r="AT22" s="53">
        <v>50</v>
      </c>
      <c r="AU22" s="80" t="s">
        <v>155</v>
      </c>
      <c r="BA22" s="55"/>
      <c r="BO22" s="52">
        <v>46086</v>
      </c>
      <c r="BP22" s="53">
        <v>50</v>
      </c>
      <c r="BQ22" s="54" t="s">
        <v>178</v>
      </c>
      <c r="BW22" s="64"/>
      <c r="BZ22" s="52">
        <v>46094</v>
      </c>
      <c r="CA22" s="53">
        <v>65</v>
      </c>
      <c r="CB22" s="54" t="s">
        <v>157</v>
      </c>
      <c r="CH22" s="64"/>
      <c r="CV22" s="52">
        <v>46101</v>
      </c>
      <c r="CW22" s="53">
        <v>1255</v>
      </c>
      <c r="CX22" s="54" t="s">
        <v>165</v>
      </c>
      <c r="DD22" s="64"/>
      <c r="DV22" s="64">
        <v>46080</v>
      </c>
      <c r="DW22" s="150">
        <v>15</v>
      </c>
      <c r="DX22" s="51" t="s">
        <v>77</v>
      </c>
      <c r="DY22" s="51" t="s">
        <v>73</v>
      </c>
      <c r="DZ22" s="64">
        <v>46080</v>
      </c>
      <c r="EA22" s="51" t="s">
        <v>26</v>
      </c>
      <c r="EK22" s="64"/>
      <c r="EV22" s="64"/>
      <c r="FG22" s="64"/>
      <c r="FR22" s="64"/>
      <c r="GC22" s="64"/>
    </row>
    <row r="23" spans="1:186" ht="15" customHeight="1" x14ac:dyDescent="0.2">
      <c r="A23" s="86">
        <v>46101</v>
      </c>
      <c r="B23" s="85">
        <v>170</v>
      </c>
      <c r="C23" s="90" t="s">
        <v>157</v>
      </c>
      <c r="E23" s="64">
        <v>46049</v>
      </c>
      <c r="F23" s="150">
        <v>15</v>
      </c>
      <c r="G23" s="51" t="s">
        <v>77</v>
      </c>
      <c r="H23" s="51" t="s">
        <v>73</v>
      </c>
      <c r="I23" s="64">
        <v>46057</v>
      </c>
      <c r="J23" s="51" t="s">
        <v>26</v>
      </c>
      <c r="N23" s="80"/>
      <c r="T23" s="64"/>
      <c r="W23" s="52">
        <v>46101</v>
      </c>
      <c r="X23" s="53">
        <v>63</v>
      </c>
      <c r="Y23" s="80"/>
      <c r="AE23" s="64"/>
      <c r="AH23" s="62">
        <v>46101</v>
      </c>
      <c r="AI23" s="53">
        <v>50</v>
      </c>
      <c r="AJ23" s="80" t="s">
        <v>155</v>
      </c>
      <c r="AP23" s="63"/>
      <c r="AS23" s="52">
        <v>46101</v>
      </c>
      <c r="AT23" s="53">
        <v>2750</v>
      </c>
      <c r="AU23" s="80" t="s">
        <v>165</v>
      </c>
      <c r="BA23" s="55"/>
      <c r="BO23" s="52">
        <v>46087</v>
      </c>
      <c r="BP23" s="53">
        <v>74</v>
      </c>
      <c r="BQ23" s="54" t="s">
        <v>183</v>
      </c>
      <c r="BW23" s="64"/>
      <c r="BZ23" s="52">
        <v>46101</v>
      </c>
      <c r="CA23" s="53">
        <v>1187</v>
      </c>
      <c r="CB23" s="54" t="s">
        <v>188</v>
      </c>
      <c r="CH23" s="64"/>
      <c r="DD23" s="64"/>
      <c r="DV23" s="64">
        <v>46083</v>
      </c>
      <c r="DW23" s="150">
        <v>15</v>
      </c>
      <c r="DX23" s="51" t="s">
        <v>77</v>
      </c>
      <c r="DY23" s="51" t="s">
        <v>73</v>
      </c>
      <c r="DZ23" s="64">
        <v>46086</v>
      </c>
      <c r="EA23" s="51" t="s">
        <v>26</v>
      </c>
      <c r="EK23" s="64"/>
      <c r="EV23" s="64"/>
      <c r="FG23" s="64"/>
      <c r="FR23" s="64"/>
      <c r="GC23" s="64"/>
    </row>
    <row r="24" spans="1:186" ht="15" customHeight="1" x14ac:dyDescent="0.2">
      <c r="A24" s="86">
        <v>46101</v>
      </c>
      <c r="B24" s="85">
        <v>1766</v>
      </c>
      <c r="C24" s="90" t="s">
        <v>188</v>
      </c>
      <c r="E24" s="64">
        <v>46050</v>
      </c>
      <c r="F24" s="150">
        <v>15</v>
      </c>
      <c r="G24" s="51" t="s">
        <v>77</v>
      </c>
      <c r="H24" s="51" t="s">
        <v>73</v>
      </c>
      <c r="I24" s="64">
        <v>46057</v>
      </c>
      <c r="J24" s="51" t="s">
        <v>26</v>
      </c>
      <c r="T24" s="64"/>
      <c r="W24" s="52">
        <v>46101</v>
      </c>
      <c r="X24" s="53">
        <v>1054.8</v>
      </c>
      <c r="Y24" s="80" t="s">
        <v>170</v>
      </c>
      <c r="AE24" s="64"/>
      <c r="AH24" s="62">
        <v>46101</v>
      </c>
      <c r="AI24" s="53">
        <v>1980</v>
      </c>
      <c r="AJ24" s="54" t="s">
        <v>165</v>
      </c>
      <c r="AP24" s="63"/>
      <c r="BA24" s="55"/>
      <c r="BO24" s="52">
        <v>46098</v>
      </c>
      <c r="BP24" s="53">
        <v>50</v>
      </c>
      <c r="BQ24" s="54" t="s">
        <v>155</v>
      </c>
      <c r="BW24" s="64"/>
      <c r="BZ24" s="52">
        <v>46101</v>
      </c>
      <c r="CA24" s="53">
        <v>65</v>
      </c>
      <c r="CB24" s="54" t="s">
        <v>157</v>
      </c>
      <c r="CH24" s="64"/>
      <c r="DD24" s="64"/>
      <c r="DV24" s="64">
        <v>46084</v>
      </c>
      <c r="DW24" s="150">
        <v>15</v>
      </c>
      <c r="DX24" s="51" t="s">
        <v>77</v>
      </c>
      <c r="DY24" s="51" t="s">
        <v>73</v>
      </c>
      <c r="DZ24" s="64">
        <v>46086</v>
      </c>
      <c r="EA24" s="51" t="s">
        <v>26</v>
      </c>
      <c r="EK24" s="64"/>
      <c r="EV24" s="64"/>
      <c r="FG24" s="64"/>
      <c r="FR24" s="64"/>
      <c r="GC24" s="64"/>
    </row>
    <row r="25" spans="1:186" ht="15" customHeight="1" x14ac:dyDescent="0.2">
      <c r="A25" s="86"/>
      <c r="B25" s="85"/>
      <c r="C25" s="90"/>
      <c r="E25" s="64">
        <v>46051</v>
      </c>
      <c r="F25" s="150">
        <v>15</v>
      </c>
      <c r="G25" s="51" t="s">
        <v>77</v>
      </c>
      <c r="H25" s="51" t="s">
        <v>73</v>
      </c>
      <c r="I25" s="64">
        <v>46057</v>
      </c>
      <c r="J25" s="51" t="s">
        <v>26</v>
      </c>
      <c r="T25" s="64"/>
      <c r="Y25" s="80"/>
      <c r="AE25" s="64"/>
      <c r="AP25" s="63"/>
      <c r="BA25" s="55"/>
      <c r="BO25" s="52">
        <v>46101</v>
      </c>
      <c r="BP25" s="53">
        <v>50</v>
      </c>
      <c r="BQ25" s="54" t="s">
        <v>155</v>
      </c>
      <c r="BW25" s="64"/>
      <c r="DD25" s="64"/>
      <c r="DV25" s="64">
        <v>46085</v>
      </c>
      <c r="DW25" s="150">
        <v>15</v>
      </c>
      <c r="DX25" s="51" t="s">
        <v>77</v>
      </c>
      <c r="DY25" s="51" t="s">
        <v>73</v>
      </c>
      <c r="DZ25" s="64">
        <v>46086</v>
      </c>
      <c r="EA25" s="51" t="s">
        <v>26</v>
      </c>
    </row>
    <row r="26" spans="1:186" ht="15" customHeight="1" x14ac:dyDescent="0.2">
      <c r="A26" s="86"/>
      <c r="B26" s="85"/>
      <c r="C26" s="90"/>
      <c r="E26" s="64">
        <v>46052</v>
      </c>
      <c r="F26" s="150">
        <v>15</v>
      </c>
      <c r="G26" s="51" t="s">
        <v>77</v>
      </c>
      <c r="H26" s="51" t="s">
        <v>73</v>
      </c>
      <c r="I26" s="64">
        <v>46057</v>
      </c>
      <c r="J26" s="51" t="s">
        <v>26</v>
      </c>
      <c r="T26" s="64"/>
      <c r="AE26" s="64"/>
      <c r="AP26" s="63"/>
      <c r="BA26" s="55"/>
      <c r="BO26" s="52">
        <v>46101</v>
      </c>
      <c r="BP26" s="53">
        <v>1320</v>
      </c>
      <c r="BQ26" s="54" t="s">
        <v>165</v>
      </c>
      <c r="BW26" s="64"/>
      <c r="DD26" s="64"/>
      <c r="DV26" s="64">
        <v>46086</v>
      </c>
      <c r="DW26" s="150">
        <v>15</v>
      </c>
      <c r="DX26" s="51" t="s">
        <v>77</v>
      </c>
      <c r="DY26" s="51" t="s">
        <v>73</v>
      </c>
      <c r="DZ26" s="64">
        <v>46086</v>
      </c>
      <c r="EA26" s="51" t="s">
        <v>26</v>
      </c>
    </row>
    <row r="27" spans="1:186" ht="15" customHeight="1" x14ac:dyDescent="0.2">
      <c r="A27" s="86"/>
      <c r="B27" s="85"/>
      <c r="C27" s="90"/>
      <c r="E27" s="64">
        <v>46053</v>
      </c>
      <c r="F27" s="150">
        <v>15</v>
      </c>
      <c r="G27" s="51" t="s">
        <v>77</v>
      </c>
      <c r="H27" s="51" t="s">
        <v>73</v>
      </c>
      <c r="I27" s="64">
        <v>46057</v>
      </c>
      <c r="J27" s="51" t="s">
        <v>26</v>
      </c>
      <c r="T27" s="64"/>
      <c r="AE27" s="64"/>
      <c r="AP27" s="63"/>
      <c r="BA27" s="55"/>
      <c r="BW27" s="64"/>
      <c r="DD27" s="64"/>
      <c r="DV27" s="64">
        <v>46087</v>
      </c>
      <c r="DW27" s="150">
        <v>15</v>
      </c>
      <c r="DX27" s="51" t="s">
        <v>77</v>
      </c>
      <c r="DY27" s="51" t="s">
        <v>73</v>
      </c>
      <c r="DZ27" s="64">
        <v>46086</v>
      </c>
      <c r="EA27" s="51" t="s">
        <v>26</v>
      </c>
    </row>
    <row r="28" spans="1:186" ht="15" customHeight="1" x14ac:dyDescent="0.2">
      <c r="B28" s="76"/>
      <c r="C28" s="59"/>
      <c r="E28" s="64">
        <v>46054</v>
      </c>
      <c r="F28" s="150">
        <v>15</v>
      </c>
      <c r="G28" s="51" t="s">
        <v>77</v>
      </c>
      <c r="H28" s="51" t="s">
        <v>73</v>
      </c>
      <c r="I28" s="64">
        <v>46057</v>
      </c>
      <c r="J28" s="51" t="s">
        <v>26</v>
      </c>
      <c r="T28" s="64"/>
      <c r="AE28" s="64"/>
      <c r="AP28" s="63"/>
      <c r="BA28" s="55"/>
      <c r="BW28" s="64"/>
      <c r="DD28" s="64"/>
      <c r="DV28" s="64">
        <v>46088</v>
      </c>
      <c r="DW28" s="150">
        <v>15</v>
      </c>
      <c r="DX28" s="51" t="s">
        <v>77</v>
      </c>
      <c r="DY28" s="51" t="s">
        <v>73</v>
      </c>
      <c r="DZ28" s="64">
        <v>46094</v>
      </c>
      <c r="EA28" s="51" t="s">
        <v>26</v>
      </c>
    </row>
    <row r="29" spans="1:186" ht="15" customHeight="1" x14ac:dyDescent="0.2">
      <c r="B29" s="76"/>
      <c r="C29" s="59"/>
      <c r="E29" s="64">
        <v>46055</v>
      </c>
      <c r="F29" s="150">
        <v>15</v>
      </c>
      <c r="G29" s="51" t="s">
        <v>77</v>
      </c>
      <c r="H29" s="51" t="s">
        <v>73</v>
      </c>
      <c r="I29" s="64">
        <v>46058</v>
      </c>
      <c r="J29" s="51" t="s">
        <v>26</v>
      </c>
      <c r="T29" s="64"/>
      <c r="AE29" s="64"/>
      <c r="AP29" s="63"/>
      <c r="BA29" s="55"/>
      <c r="BW29" s="64"/>
      <c r="DD29" s="64"/>
      <c r="DV29" s="64">
        <v>46090</v>
      </c>
      <c r="DW29" s="150">
        <v>15</v>
      </c>
      <c r="DX29" s="51" t="s">
        <v>77</v>
      </c>
      <c r="DY29" s="51" t="s">
        <v>73</v>
      </c>
      <c r="DZ29" s="64">
        <v>46094</v>
      </c>
      <c r="EA29" s="51" t="s">
        <v>26</v>
      </c>
    </row>
    <row r="30" spans="1:186" ht="15" customHeight="1" x14ac:dyDescent="0.2">
      <c r="C30" s="59"/>
      <c r="E30" s="64">
        <v>46056</v>
      </c>
      <c r="F30" s="150">
        <v>15</v>
      </c>
      <c r="G30" s="51" t="s">
        <v>77</v>
      </c>
      <c r="H30" s="51" t="s">
        <v>73</v>
      </c>
      <c r="I30" s="64">
        <v>46058</v>
      </c>
      <c r="J30" s="51" t="s">
        <v>26</v>
      </c>
      <c r="T30" s="64"/>
      <c r="AE30" s="64"/>
      <c r="AP30" s="63"/>
      <c r="BA30" s="55"/>
      <c r="BW30" s="64"/>
      <c r="DD30" s="64"/>
      <c r="DV30" s="64">
        <v>46091</v>
      </c>
      <c r="DW30" s="150">
        <v>15</v>
      </c>
      <c r="DX30" s="51" t="s">
        <v>77</v>
      </c>
      <c r="DY30" s="51" t="s">
        <v>73</v>
      </c>
      <c r="DZ30" s="64">
        <v>46094</v>
      </c>
      <c r="EA30" s="51" t="s">
        <v>26</v>
      </c>
    </row>
    <row r="31" spans="1:186" ht="15" customHeight="1" x14ac:dyDescent="0.2">
      <c r="C31" s="59"/>
      <c r="E31" s="64">
        <v>46057</v>
      </c>
      <c r="F31" s="150">
        <v>15</v>
      </c>
      <c r="G31" s="51" t="s">
        <v>77</v>
      </c>
      <c r="H31" s="51" t="s">
        <v>73</v>
      </c>
      <c r="I31" s="64">
        <v>46058</v>
      </c>
      <c r="J31" s="51" t="s">
        <v>26</v>
      </c>
      <c r="T31" s="64"/>
      <c r="AE31" s="64"/>
      <c r="AP31" s="63"/>
      <c r="BA31" s="55"/>
      <c r="BW31" s="64"/>
      <c r="DD31" s="64"/>
      <c r="DV31" s="64">
        <v>46092</v>
      </c>
      <c r="DW31" s="150">
        <v>15</v>
      </c>
      <c r="DX31" s="51" t="s">
        <v>77</v>
      </c>
      <c r="DY31" s="51" t="s">
        <v>73</v>
      </c>
      <c r="DZ31" s="64">
        <v>46094</v>
      </c>
      <c r="EA31" s="51" t="s">
        <v>26</v>
      </c>
    </row>
    <row r="32" spans="1:186" ht="15" customHeight="1" x14ac:dyDescent="0.2">
      <c r="C32" s="59"/>
      <c r="E32" s="64">
        <v>46058</v>
      </c>
      <c r="F32" s="150">
        <v>15</v>
      </c>
      <c r="G32" s="51" t="s">
        <v>77</v>
      </c>
      <c r="H32" s="51" t="s">
        <v>73</v>
      </c>
      <c r="I32" s="64">
        <v>46058</v>
      </c>
      <c r="J32" s="51" t="s">
        <v>26</v>
      </c>
      <c r="T32" s="64"/>
      <c r="AE32" s="64"/>
      <c r="AP32" s="63"/>
      <c r="BA32" s="55"/>
      <c r="BW32" s="64"/>
      <c r="DD32" s="64"/>
      <c r="DV32" s="64">
        <v>46093</v>
      </c>
      <c r="DW32" s="150">
        <v>15</v>
      </c>
      <c r="DX32" s="51" t="s">
        <v>77</v>
      </c>
      <c r="DY32" s="51" t="s">
        <v>73</v>
      </c>
      <c r="DZ32" s="64">
        <v>46094</v>
      </c>
      <c r="EA32" s="51" t="s">
        <v>26</v>
      </c>
    </row>
    <row r="33" spans="3:131" ht="15" customHeight="1" x14ac:dyDescent="0.2">
      <c r="C33" s="59"/>
      <c r="E33" s="64">
        <v>46059</v>
      </c>
      <c r="F33" s="150">
        <v>15</v>
      </c>
      <c r="G33" s="51" t="s">
        <v>77</v>
      </c>
      <c r="H33" s="51" t="s">
        <v>73</v>
      </c>
      <c r="I33" s="64">
        <v>46073</v>
      </c>
      <c r="J33" s="51" t="s">
        <v>26</v>
      </c>
      <c r="T33" s="64"/>
      <c r="AE33" s="64"/>
      <c r="AP33" s="63"/>
      <c r="BA33" s="55"/>
      <c r="BW33" s="64"/>
      <c r="DD33" s="64"/>
      <c r="DV33" s="64">
        <v>46094</v>
      </c>
      <c r="DW33" s="150">
        <v>15</v>
      </c>
      <c r="DX33" s="51" t="s">
        <v>77</v>
      </c>
      <c r="DY33" s="51" t="s">
        <v>73</v>
      </c>
      <c r="DZ33" s="64">
        <v>46094</v>
      </c>
      <c r="EA33" s="51" t="s">
        <v>26</v>
      </c>
    </row>
    <row r="34" spans="3:131" ht="15" customHeight="1" x14ac:dyDescent="0.2">
      <c r="C34" s="59"/>
      <c r="E34" s="64">
        <v>46060</v>
      </c>
      <c r="F34" s="150">
        <v>15</v>
      </c>
      <c r="G34" s="51" t="s">
        <v>77</v>
      </c>
      <c r="H34" s="51" t="s">
        <v>73</v>
      </c>
      <c r="I34" s="64">
        <v>46073</v>
      </c>
      <c r="J34" s="51" t="s">
        <v>26</v>
      </c>
      <c r="T34" s="64"/>
      <c r="AE34" s="64"/>
      <c r="AP34" s="63"/>
      <c r="BA34" s="55"/>
      <c r="BW34" s="64"/>
      <c r="DD34" s="64"/>
      <c r="DV34" s="64">
        <v>46097</v>
      </c>
      <c r="DW34" s="150">
        <v>15</v>
      </c>
      <c r="DX34" s="51" t="s">
        <v>77</v>
      </c>
      <c r="DY34" s="51" t="s">
        <v>73</v>
      </c>
      <c r="DZ34" s="64">
        <v>46101</v>
      </c>
      <c r="EA34" s="58" t="s">
        <v>27</v>
      </c>
    </row>
    <row r="35" spans="3:131" ht="15" customHeight="1" x14ac:dyDescent="0.2">
      <c r="C35" s="59"/>
      <c r="E35" s="64">
        <v>46062</v>
      </c>
      <c r="F35" s="150">
        <v>15</v>
      </c>
      <c r="G35" s="51" t="s">
        <v>77</v>
      </c>
      <c r="H35" s="51" t="s">
        <v>73</v>
      </c>
      <c r="I35" s="64">
        <v>46073</v>
      </c>
      <c r="J35" s="51" t="s">
        <v>26</v>
      </c>
      <c r="T35" s="64"/>
      <c r="AE35" s="64"/>
      <c r="AP35" s="63"/>
      <c r="BA35" s="55"/>
      <c r="BW35" s="64"/>
      <c r="DD35" s="64"/>
      <c r="DV35" s="64">
        <v>46098</v>
      </c>
      <c r="DW35" s="150">
        <v>15</v>
      </c>
      <c r="DX35" s="51" t="s">
        <v>77</v>
      </c>
      <c r="DY35" s="51" t="s">
        <v>73</v>
      </c>
      <c r="DZ35" s="64">
        <v>46101</v>
      </c>
      <c r="EA35" s="58" t="s">
        <v>27</v>
      </c>
    </row>
    <row r="36" spans="3:131" ht="15" customHeight="1" x14ac:dyDescent="0.2">
      <c r="C36" s="59"/>
      <c r="E36" s="64">
        <v>46063</v>
      </c>
      <c r="F36" s="150">
        <v>15</v>
      </c>
      <c r="G36" s="51" t="s">
        <v>77</v>
      </c>
      <c r="H36" s="51" t="s">
        <v>73</v>
      </c>
      <c r="I36" s="64">
        <v>46073</v>
      </c>
      <c r="J36" s="51" t="s">
        <v>26</v>
      </c>
      <c r="T36" s="64"/>
      <c r="AE36" s="64"/>
      <c r="AP36" s="63"/>
      <c r="BA36" s="55"/>
      <c r="BW36" s="64"/>
      <c r="DD36" s="64"/>
      <c r="DV36" s="64">
        <v>46099</v>
      </c>
      <c r="DW36" s="150">
        <v>15</v>
      </c>
      <c r="DX36" s="51" t="s">
        <v>77</v>
      </c>
      <c r="DY36" s="51" t="s">
        <v>73</v>
      </c>
      <c r="DZ36" s="64">
        <v>46101</v>
      </c>
      <c r="EA36" s="58" t="s">
        <v>27</v>
      </c>
    </row>
    <row r="37" spans="3:131" ht="15" customHeight="1" x14ac:dyDescent="0.2">
      <c r="C37" s="59"/>
      <c r="E37" s="64">
        <v>46064</v>
      </c>
      <c r="F37" s="150">
        <v>15</v>
      </c>
      <c r="G37" s="51" t="s">
        <v>77</v>
      </c>
      <c r="H37" s="51" t="s">
        <v>73</v>
      </c>
      <c r="I37" s="64">
        <v>46073</v>
      </c>
      <c r="J37" s="51" t="s">
        <v>26</v>
      </c>
      <c r="T37" s="64"/>
      <c r="AE37" s="64"/>
      <c r="AP37" s="63"/>
      <c r="BA37" s="55"/>
      <c r="BW37" s="64"/>
      <c r="DD37" s="64"/>
      <c r="DZ37" s="64"/>
    </row>
    <row r="38" spans="3:131" ht="15" customHeight="1" x14ac:dyDescent="0.2">
      <c r="C38" s="59"/>
      <c r="E38" s="64">
        <v>46065</v>
      </c>
      <c r="F38" s="150">
        <v>15</v>
      </c>
      <c r="G38" s="51" t="s">
        <v>77</v>
      </c>
      <c r="H38" s="51" t="s">
        <v>73</v>
      </c>
      <c r="I38" s="64">
        <v>46073</v>
      </c>
      <c r="J38" s="51" t="s">
        <v>26</v>
      </c>
      <c r="T38" s="64"/>
      <c r="AE38" s="64"/>
      <c r="AP38" s="63"/>
      <c r="BA38" s="55"/>
      <c r="BW38" s="64"/>
      <c r="DD38" s="64"/>
      <c r="DZ38" s="64"/>
    </row>
    <row r="39" spans="3:131" ht="15" customHeight="1" x14ac:dyDescent="0.2">
      <c r="C39" s="59"/>
      <c r="E39" s="64">
        <v>46066</v>
      </c>
      <c r="F39" s="150">
        <v>15</v>
      </c>
      <c r="G39" s="51" t="s">
        <v>77</v>
      </c>
      <c r="H39" s="51" t="s">
        <v>73</v>
      </c>
      <c r="I39" s="64">
        <v>46073</v>
      </c>
      <c r="J39" s="51" t="s">
        <v>26</v>
      </c>
      <c r="T39" s="64"/>
      <c r="AE39" s="64"/>
      <c r="AP39" s="63"/>
      <c r="BA39" s="55"/>
      <c r="BW39" s="64"/>
      <c r="DD39" s="64"/>
      <c r="DZ39" s="64"/>
    </row>
    <row r="40" spans="3:131" ht="15" customHeight="1" x14ac:dyDescent="0.2">
      <c r="C40" s="59"/>
      <c r="E40" s="64">
        <v>46067</v>
      </c>
      <c r="F40" s="150">
        <v>15</v>
      </c>
      <c r="G40" s="51" t="s">
        <v>77</v>
      </c>
      <c r="H40" s="51" t="s">
        <v>73</v>
      </c>
      <c r="I40" s="64">
        <v>46073</v>
      </c>
      <c r="J40" s="51" t="s">
        <v>26</v>
      </c>
      <c r="T40" s="64"/>
      <c r="AE40" s="64"/>
      <c r="AP40" s="63"/>
      <c r="BA40" s="55"/>
      <c r="BW40" s="64"/>
      <c r="DD40" s="64"/>
      <c r="DZ40" s="64"/>
    </row>
    <row r="41" spans="3:131" ht="15" customHeight="1" x14ac:dyDescent="0.2">
      <c r="C41" s="59"/>
      <c r="E41" s="64">
        <v>46069</v>
      </c>
      <c r="F41" s="150">
        <v>15</v>
      </c>
      <c r="G41" s="51" t="s">
        <v>77</v>
      </c>
      <c r="H41" s="51" t="s">
        <v>73</v>
      </c>
      <c r="I41" s="64">
        <v>46073</v>
      </c>
      <c r="J41" s="51" t="s">
        <v>26</v>
      </c>
      <c r="T41" s="64"/>
      <c r="AE41" s="64"/>
      <c r="AP41" s="63"/>
      <c r="BA41" s="55"/>
      <c r="BW41" s="64"/>
      <c r="DD41" s="64"/>
    </row>
    <row r="42" spans="3:131" ht="15" customHeight="1" x14ac:dyDescent="0.2">
      <c r="C42" s="59"/>
      <c r="E42" s="64">
        <v>46070</v>
      </c>
      <c r="F42" s="150">
        <v>15</v>
      </c>
      <c r="G42" s="51" t="s">
        <v>77</v>
      </c>
      <c r="H42" s="51" t="s">
        <v>73</v>
      </c>
      <c r="I42" s="64">
        <v>46073</v>
      </c>
      <c r="J42" s="51" t="s">
        <v>26</v>
      </c>
      <c r="T42" s="64"/>
      <c r="AE42" s="64"/>
      <c r="AP42" s="63"/>
      <c r="BA42" s="55"/>
      <c r="BW42" s="64"/>
      <c r="DD42" s="64"/>
    </row>
    <row r="43" spans="3:131" ht="15" customHeight="1" x14ac:dyDescent="0.2">
      <c r="C43" s="59"/>
      <c r="E43" s="64">
        <v>46071</v>
      </c>
      <c r="F43" s="150">
        <v>15</v>
      </c>
      <c r="G43" s="51" t="s">
        <v>77</v>
      </c>
      <c r="H43" s="51" t="s">
        <v>73</v>
      </c>
      <c r="I43" s="64">
        <v>46073</v>
      </c>
      <c r="J43" s="51" t="s">
        <v>26</v>
      </c>
      <c r="T43" s="64"/>
      <c r="AE43" s="64"/>
      <c r="AP43" s="63"/>
      <c r="BA43" s="55"/>
      <c r="BW43" s="64"/>
      <c r="DD43" s="64"/>
    </row>
    <row r="44" spans="3:131" ht="15" customHeight="1" x14ac:dyDescent="0.2">
      <c r="C44" s="59"/>
      <c r="E44" s="64">
        <v>46072</v>
      </c>
      <c r="F44" s="150">
        <v>15</v>
      </c>
      <c r="G44" s="51" t="s">
        <v>77</v>
      </c>
      <c r="H44" s="51" t="s">
        <v>73</v>
      </c>
      <c r="I44" s="64">
        <v>46073</v>
      </c>
      <c r="J44" s="51" t="s">
        <v>26</v>
      </c>
      <c r="T44" s="64"/>
      <c r="AE44" s="64"/>
      <c r="AP44" s="63"/>
      <c r="BA44" s="55"/>
      <c r="BW44" s="64"/>
      <c r="DD44" s="64"/>
    </row>
    <row r="45" spans="3:131" ht="15" customHeight="1" x14ac:dyDescent="0.2">
      <c r="C45" s="59"/>
      <c r="E45" s="64">
        <v>46073</v>
      </c>
      <c r="F45" s="150">
        <v>15</v>
      </c>
      <c r="G45" s="51" t="s">
        <v>77</v>
      </c>
      <c r="H45" s="51" t="s">
        <v>73</v>
      </c>
      <c r="I45" s="64">
        <v>46073</v>
      </c>
      <c r="J45" s="51" t="s">
        <v>26</v>
      </c>
      <c r="T45" s="64"/>
      <c r="AE45" s="64"/>
      <c r="AP45" s="63"/>
      <c r="BA45" s="55"/>
      <c r="BW45" s="64"/>
      <c r="DD45" s="64"/>
    </row>
    <row r="46" spans="3:131" ht="15" customHeight="1" x14ac:dyDescent="0.2">
      <c r="C46" s="59"/>
      <c r="F46" s="150"/>
      <c r="G46" s="51"/>
      <c r="H46" s="51"/>
      <c r="I46" s="64"/>
      <c r="T46" s="64"/>
      <c r="AE46" s="64"/>
      <c r="AP46" s="63"/>
      <c r="BA46" s="55"/>
      <c r="BW46" s="64"/>
      <c r="DD46" s="64"/>
    </row>
    <row r="47" spans="3:131" ht="15" customHeight="1" x14ac:dyDescent="0.2">
      <c r="C47" s="59"/>
      <c r="F47" s="150"/>
      <c r="G47" s="51"/>
      <c r="H47" s="51"/>
      <c r="I47" s="64"/>
      <c r="T47" s="64"/>
      <c r="AE47" s="64"/>
      <c r="AP47" s="63"/>
      <c r="BA47" s="55"/>
      <c r="BW47" s="64"/>
      <c r="DD47" s="64"/>
    </row>
    <row r="48" spans="3:131" ht="15" customHeight="1" x14ac:dyDescent="0.2">
      <c r="C48" s="59"/>
      <c r="F48" s="150"/>
      <c r="G48" s="51"/>
      <c r="H48" s="51"/>
      <c r="I48" s="64"/>
      <c r="T48" s="64"/>
      <c r="AE48" s="64"/>
      <c r="AP48" s="63"/>
      <c r="BA48" s="55"/>
      <c r="BW48" s="64"/>
      <c r="DD48" s="64"/>
    </row>
    <row r="49" spans="3:108" ht="15" customHeight="1" x14ac:dyDescent="0.2">
      <c r="C49" s="59"/>
      <c r="F49" s="150"/>
      <c r="G49" s="51"/>
      <c r="H49" s="51"/>
      <c r="I49" s="64"/>
      <c r="T49" s="64"/>
      <c r="AE49" s="64"/>
      <c r="AP49" s="63"/>
      <c r="BA49" s="55"/>
      <c r="BW49" s="64"/>
      <c r="DD49" s="64"/>
    </row>
    <row r="50" spans="3:108" ht="15" customHeight="1" x14ac:dyDescent="0.2">
      <c r="C50" s="59"/>
      <c r="F50" s="150"/>
      <c r="G50" s="51"/>
      <c r="H50" s="51"/>
      <c r="I50" s="64"/>
      <c r="T50" s="64"/>
      <c r="AE50" s="64"/>
      <c r="AP50" s="63"/>
      <c r="BA50" s="55"/>
      <c r="BW50" s="64"/>
      <c r="DD50" s="64"/>
    </row>
    <row r="51" spans="3:108" ht="15" customHeight="1" x14ac:dyDescent="0.2">
      <c r="C51" s="59"/>
      <c r="I51" s="64"/>
      <c r="T51" s="64"/>
      <c r="AE51" s="64"/>
      <c r="AP51" s="63"/>
      <c r="BA51" s="55"/>
      <c r="BW51" s="64"/>
      <c r="DD51" s="64"/>
    </row>
    <row r="52" spans="3:108" ht="15" customHeight="1" x14ac:dyDescent="0.2">
      <c r="C52" s="59"/>
      <c r="I52" s="64"/>
      <c r="T52" s="64"/>
      <c r="AE52" s="64"/>
      <c r="AP52" s="63"/>
      <c r="BA52" s="55"/>
      <c r="BW52" s="64"/>
    </row>
    <row r="53" spans="3:108" ht="15" customHeight="1" x14ac:dyDescent="0.2">
      <c r="C53" s="59"/>
      <c r="I53" s="64"/>
      <c r="T53" s="64"/>
      <c r="AE53" s="64"/>
      <c r="AP53" s="63"/>
      <c r="BA53" s="55"/>
      <c r="BW53" s="64"/>
    </row>
    <row r="54" spans="3:108" ht="15" customHeight="1" x14ac:dyDescent="0.2">
      <c r="C54" s="59"/>
      <c r="I54" s="64"/>
      <c r="T54" s="64"/>
      <c r="AE54" s="64"/>
      <c r="AP54" s="63"/>
      <c r="BA54" s="55"/>
      <c r="BW54" s="64"/>
    </row>
    <row r="55" spans="3:108" ht="15" customHeight="1" x14ac:dyDescent="0.2">
      <c r="C55" s="59"/>
      <c r="I55" s="64"/>
      <c r="T55" s="64"/>
      <c r="AE55" s="64"/>
      <c r="AP55" s="63"/>
      <c r="BA55" s="55"/>
      <c r="BW55" s="64"/>
    </row>
    <row r="56" spans="3:108" ht="15" customHeight="1" x14ac:dyDescent="0.2">
      <c r="C56" s="59"/>
      <c r="I56" s="64"/>
      <c r="T56" s="64"/>
      <c r="AE56" s="64"/>
      <c r="AP56" s="63"/>
      <c r="BA56" s="55"/>
      <c r="BW56" s="64"/>
    </row>
    <row r="57" spans="3:108" ht="15" customHeight="1" x14ac:dyDescent="0.2">
      <c r="C57" s="59"/>
      <c r="I57" s="64"/>
      <c r="T57" s="64"/>
      <c r="AE57" s="64"/>
      <c r="AP57" s="63"/>
      <c r="BA57" s="55"/>
      <c r="BW57" s="64"/>
    </row>
    <row r="58" spans="3:108" ht="15" customHeight="1" x14ac:dyDescent="0.2">
      <c r="C58" s="59"/>
      <c r="I58" s="64"/>
      <c r="T58" s="64"/>
      <c r="AE58" s="64"/>
      <c r="AP58" s="63"/>
      <c r="BA58" s="55"/>
      <c r="BW58" s="64"/>
    </row>
    <row r="59" spans="3:108" ht="15" customHeight="1" x14ac:dyDescent="0.2">
      <c r="C59" s="59"/>
      <c r="I59" s="64"/>
      <c r="T59" s="64"/>
      <c r="AE59" s="64"/>
      <c r="AP59" s="63"/>
      <c r="BA59" s="55"/>
      <c r="BW59" s="64"/>
    </row>
    <row r="60" spans="3:108" ht="15" customHeight="1" x14ac:dyDescent="0.2">
      <c r="C60" s="59"/>
      <c r="I60" s="64"/>
      <c r="T60" s="64"/>
      <c r="AE60" s="64"/>
      <c r="AP60" s="63"/>
      <c r="BA60" s="55"/>
      <c r="BW60" s="64"/>
    </row>
    <row r="61" spans="3:108" ht="15" customHeight="1" x14ac:dyDescent="0.2">
      <c r="C61" s="59"/>
      <c r="I61" s="64"/>
      <c r="T61" s="64"/>
      <c r="AE61" s="64"/>
      <c r="AP61" s="63"/>
      <c r="BA61" s="55"/>
      <c r="BW61" s="64"/>
    </row>
    <row r="62" spans="3:108" ht="15" customHeight="1" x14ac:dyDescent="0.2">
      <c r="C62" s="59"/>
      <c r="I62" s="64"/>
      <c r="T62" s="64"/>
      <c r="AE62" s="64"/>
      <c r="AP62" s="63"/>
      <c r="BA62" s="55"/>
      <c r="BW62" s="64"/>
    </row>
    <row r="63" spans="3:108" ht="15" customHeight="1" x14ac:dyDescent="0.2">
      <c r="C63" s="59"/>
      <c r="I63" s="64"/>
      <c r="T63" s="64"/>
      <c r="AE63" s="64"/>
      <c r="AP63" s="63"/>
      <c r="BA63" s="55"/>
      <c r="BW63" s="64"/>
    </row>
    <row r="64" spans="3:108" ht="15" customHeight="1" x14ac:dyDescent="0.2">
      <c r="C64" s="59"/>
      <c r="I64" s="64"/>
      <c r="T64" s="64"/>
      <c r="AE64" s="64"/>
      <c r="AP64" s="63"/>
      <c r="BA64" s="55"/>
      <c r="BW64" s="64"/>
    </row>
    <row r="65" spans="3:75" ht="15" customHeight="1" x14ac:dyDescent="0.2">
      <c r="C65" s="59"/>
      <c r="I65" s="64"/>
      <c r="T65" s="64"/>
      <c r="AE65" s="64"/>
      <c r="AP65" s="63"/>
      <c r="BA65" s="55"/>
      <c r="BW65" s="64"/>
    </row>
    <row r="66" spans="3:75" ht="15" customHeight="1" x14ac:dyDescent="0.2">
      <c r="C66" s="59"/>
      <c r="I66" s="64"/>
      <c r="T66" s="64"/>
      <c r="AE66" s="64"/>
      <c r="AP66" s="63"/>
      <c r="BA66" s="55"/>
      <c r="BW66" s="64"/>
    </row>
    <row r="67" spans="3:75" ht="15" customHeight="1" x14ac:dyDescent="0.2">
      <c r="C67" s="59"/>
      <c r="I67" s="64"/>
      <c r="T67" s="64"/>
      <c r="AE67" s="64"/>
      <c r="AP67" s="63"/>
      <c r="BA67" s="55"/>
      <c r="BW67" s="64"/>
    </row>
    <row r="68" spans="3:75" ht="15" customHeight="1" x14ac:dyDescent="0.2">
      <c r="C68" s="59"/>
      <c r="I68" s="64"/>
      <c r="T68" s="64"/>
      <c r="AE68" s="64"/>
      <c r="AP68" s="63"/>
      <c r="BA68" s="55"/>
      <c r="BW68" s="64"/>
    </row>
    <row r="69" spans="3:75" ht="15" customHeight="1" x14ac:dyDescent="0.2">
      <c r="C69" s="59"/>
      <c r="I69" s="64"/>
      <c r="T69" s="64"/>
      <c r="AE69" s="64"/>
      <c r="AP69" s="63"/>
      <c r="BA69" s="55"/>
      <c r="BW69" s="64"/>
    </row>
    <row r="70" spans="3:75" ht="15" customHeight="1" x14ac:dyDescent="0.2">
      <c r="C70" s="59"/>
      <c r="I70" s="64"/>
      <c r="T70" s="64"/>
      <c r="AE70" s="64"/>
      <c r="AP70" s="63"/>
      <c r="BA70" s="55"/>
      <c r="BW70" s="64"/>
    </row>
    <row r="71" spans="3:75" ht="15" customHeight="1" x14ac:dyDescent="0.2">
      <c r="C71" s="59"/>
      <c r="I71" s="64"/>
      <c r="T71" s="64"/>
      <c r="AE71" s="64"/>
      <c r="AP71" s="63"/>
      <c r="BA71" s="55"/>
      <c r="BW71" s="64"/>
    </row>
    <row r="72" spans="3:75" ht="15" customHeight="1" x14ac:dyDescent="0.2">
      <c r="C72" s="59"/>
      <c r="I72" s="64"/>
      <c r="T72" s="64"/>
      <c r="AE72" s="64"/>
      <c r="AP72" s="63"/>
      <c r="BA72" s="55"/>
      <c r="BW72" s="64"/>
    </row>
    <row r="73" spans="3:75" ht="15" customHeight="1" x14ac:dyDescent="0.2">
      <c r="C73" s="59"/>
      <c r="I73" s="64"/>
      <c r="T73" s="64"/>
      <c r="AE73" s="64"/>
      <c r="AP73" s="63"/>
      <c r="BA73" s="55"/>
      <c r="BW73" s="64"/>
    </row>
    <row r="74" spans="3:75" ht="15" customHeight="1" x14ac:dyDescent="0.2">
      <c r="C74" s="59"/>
      <c r="I74" s="64"/>
      <c r="T74" s="64"/>
      <c r="AE74" s="64"/>
      <c r="AP74" s="63"/>
      <c r="BA74" s="55"/>
      <c r="BW74" s="64"/>
    </row>
    <row r="75" spans="3:75" ht="15" customHeight="1" x14ac:dyDescent="0.2">
      <c r="C75" s="59"/>
      <c r="I75" s="64"/>
      <c r="T75" s="64"/>
      <c r="AE75" s="64"/>
      <c r="AP75" s="63"/>
      <c r="BA75" s="55"/>
      <c r="BW75" s="64"/>
    </row>
    <row r="76" spans="3:75" ht="15" customHeight="1" x14ac:dyDescent="0.2">
      <c r="C76" s="59"/>
      <c r="I76" s="64"/>
      <c r="T76" s="64"/>
      <c r="AE76" s="64"/>
      <c r="AP76" s="63"/>
      <c r="BA76" s="55"/>
      <c r="BW76" s="64"/>
    </row>
    <row r="77" spans="3:75" ht="15" customHeight="1" x14ac:dyDescent="0.2">
      <c r="C77" s="59"/>
      <c r="I77" s="64"/>
      <c r="T77" s="64"/>
      <c r="AE77" s="64"/>
      <c r="AP77" s="63"/>
      <c r="BA77" s="55"/>
      <c r="BW77" s="64"/>
    </row>
    <row r="78" spans="3:75" ht="15" customHeight="1" x14ac:dyDescent="0.2">
      <c r="C78" s="59"/>
      <c r="I78" s="64"/>
      <c r="T78" s="64"/>
      <c r="AE78" s="64"/>
      <c r="AP78" s="63"/>
      <c r="BA78" s="55"/>
      <c r="BW78" s="64"/>
    </row>
    <row r="79" spans="3:75" ht="15" customHeight="1" x14ac:dyDescent="0.2">
      <c r="C79" s="59"/>
      <c r="I79" s="64"/>
      <c r="T79" s="64"/>
      <c r="AE79" s="64"/>
      <c r="AP79" s="63"/>
      <c r="BA79" s="55"/>
      <c r="BW79" s="64"/>
    </row>
    <row r="80" spans="3:75" ht="15" customHeight="1" x14ac:dyDescent="0.2">
      <c r="C80" s="59"/>
      <c r="I80" s="64"/>
      <c r="T80" s="64"/>
      <c r="AE80" s="64"/>
      <c r="AP80" s="63"/>
      <c r="BA80" s="55"/>
      <c r="BW80" s="64"/>
    </row>
    <row r="81" spans="3:75" ht="15" customHeight="1" x14ac:dyDescent="0.2">
      <c r="C81" s="59"/>
      <c r="I81" s="64"/>
      <c r="T81" s="64"/>
      <c r="AE81" s="64"/>
      <c r="AP81" s="63"/>
      <c r="BA81" s="55"/>
      <c r="BW81" s="64"/>
    </row>
    <row r="82" spans="3:75" ht="15" customHeight="1" x14ac:dyDescent="0.2">
      <c r="C82" s="59"/>
      <c r="I82" s="64"/>
      <c r="T82" s="64"/>
      <c r="AE82" s="64"/>
      <c r="AP82" s="63"/>
      <c r="BA82" s="55"/>
      <c r="BW82" s="64"/>
    </row>
    <row r="83" spans="3:75" ht="15" customHeight="1" x14ac:dyDescent="0.2">
      <c r="C83" s="59"/>
      <c r="I83" s="64"/>
      <c r="T83" s="64"/>
      <c r="AE83" s="64"/>
      <c r="AP83" s="63"/>
      <c r="BA83" s="55"/>
      <c r="BW83" s="64"/>
    </row>
    <row r="84" spans="3:75" ht="15" customHeight="1" x14ac:dyDescent="0.2">
      <c r="C84" s="59"/>
      <c r="I84" s="64"/>
      <c r="T84" s="64"/>
      <c r="AE84" s="64"/>
      <c r="AP84" s="63"/>
      <c r="BA84" s="55"/>
      <c r="BW84" s="64"/>
    </row>
    <row r="85" spans="3:75" ht="15" customHeight="1" x14ac:dyDescent="0.2">
      <c r="C85" s="59"/>
      <c r="I85" s="64"/>
      <c r="T85" s="64"/>
      <c r="AE85" s="64"/>
      <c r="AP85" s="63"/>
      <c r="BA85" s="55"/>
      <c r="BW85" s="64"/>
    </row>
    <row r="86" spans="3:75" ht="15" customHeight="1" x14ac:dyDescent="0.2">
      <c r="C86" s="59"/>
      <c r="I86" s="64"/>
      <c r="T86" s="64"/>
      <c r="AE86" s="64"/>
      <c r="AP86" s="63"/>
      <c r="BA86" s="55"/>
      <c r="BW86" s="64"/>
    </row>
    <row r="87" spans="3:75" ht="15" customHeight="1" x14ac:dyDescent="0.2">
      <c r="C87" s="59"/>
      <c r="I87" s="64"/>
      <c r="T87" s="64"/>
      <c r="AE87" s="64"/>
      <c r="AP87" s="63"/>
      <c r="BA87" s="55"/>
      <c r="BW87" s="64"/>
    </row>
    <row r="88" spans="3:75" ht="15" customHeight="1" x14ac:dyDescent="0.2">
      <c r="C88" s="59"/>
      <c r="I88" s="64"/>
      <c r="T88" s="64"/>
      <c r="AE88" s="64"/>
      <c r="AP88" s="63"/>
      <c r="BA88" s="55"/>
      <c r="BW88" s="64"/>
    </row>
    <row r="89" spans="3:75" ht="15" customHeight="1" x14ac:dyDescent="0.2">
      <c r="C89" s="59"/>
      <c r="I89" s="64"/>
      <c r="T89" s="64"/>
      <c r="AE89" s="64"/>
      <c r="AP89" s="63"/>
      <c r="BA89" s="55"/>
      <c r="BW89" s="64"/>
    </row>
    <row r="90" spans="3:75" ht="15" customHeight="1" x14ac:dyDescent="0.2">
      <c r="C90" s="59"/>
      <c r="I90" s="64"/>
      <c r="T90" s="64"/>
      <c r="AE90" s="64"/>
      <c r="AP90" s="63"/>
      <c r="BA90" s="55"/>
      <c r="BW90" s="64"/>
    </row>
    <row r="91" spans="3:75" ht="15" customHeight="1" x14ac:dyDescent="0.2">
      <c r="C91" s="59"/>
      <c r="I91" s="64"/>
      <c r="T91" s="64"/>
      <c r="AE91" s="64"/>
      <c r="AP91" s="63"/>
      <c r="BA91" s="55"/>
      <c r="BW91" s="64"/>
    </row>
    <row r="92" spans="3:75" ht="15" customHeight="1" x14ac:dyDescent="0.2">
      <c r="C92" s="59"/>
      <c r="I92" s="64"/>
      <c r="T92" s="64"/>
      <c r="AE92" s="64"/>
      <c r="AP92" s="63"/>
      <c r="BA92" s="55"/>
      <c r="BW92" s="64"/>
    </row>
    <row r="93" spans="3:75" ht="15" customHeight="1" x14ac:dyDescent="0.2">
      <c r="I93" s="64"/>
      <c r="T93" s="64"/>
      <c r="AE93" s="64"/>
      <c r="AP93" s="63"/>
      <c r="BA93" s="55"/>
      <c r="BW93" s="64"/>
    </row>
    <row r="94" spans="3:75" ht="15" customHeight="1" x14ac:dyDescent="0.2">
      <c r="I94" s="64"/>
      <c r="T94" s="64"/>
      <c r="AE94" s="64"/>
      <c r="AP94" s="63"/>
      <c r="BA94" s="55"/>
      <c r="BW94" s="64"/>
    </row>
    <row r="95" spans="3:75" ht="15" customHeight="1" x14ac:dyDescent="0.2">
      <c r="I95" s="64"/>
      <c r="T95" s="64"/>
      <c r="AE95" s="64"/>
      <c r="AP95" s="63"/>
      <c r="BA95" s="55"/>
      <c r="BW95" s="64"/>
    </row>
    <row r="96" spans="3:75" ht="15" customHeight="1" x14ac:dyDescent="0.2">
      <c r="I96" s="64"/>
      <c r="T96" s="64"/>
      <c r="AE96" s="64"/>
      <c r="AP96" s="63"/>
      <c r="BA96" s="55"/>
      <c r="BW96" s="64"/>
    </row>
    <row r="97" spans="9:75" ht="15" customHeight="1" x14ac:dyDescent="0.2">
      <c r="I97" s="64"/>
      <c r="T97" s="64"/>
      <c r="AE97" s="64"/>
      <c r="AP97" s="63"/>
      <c r="BA97" s="55"/>
      <c r="BW97" s="64"/>
    </row>
    <row r="98" spans="9:75" ht="15" customHeight="1" x14ac:dyDescent="0.2">
      <c r="I98" s="64"/>
      <c r="T98" s="64"/>
      <c r="AE98" s="64"/>
      <c r="AP98" s="63"/>
      <c r="BA98" s="55"/>
      <c r="BW98" s="64"/>
    </row>
    <row r="99" spans="9:75" ht="15" customHeight="1" x14ac:dyDescent="0.2">
      <c r="I99" s="64"/>
      <c r="T99" s="64"/>
      <c r="AE99" s="64"/>
      <c r="AP99" s="63"/>
      <c r="BA99" s="55"/>
      <c r="BW99" s="64"/>
    </row>
    <row r="100" spans="9:75" ht="15" customHeight="1" x14ac:dyDescent="0.2">
      <c r="I100" s="64"/>
      <c r="T100" s="64"/>
      <c r="AE100" s="64"/>
      <c r="AP100" s="63"/>
      <c r="BA100" s="55"/>
      <c r="BW100" s="64"/>
    </row>
    <row r="101" spans="9:75" ht="15" customHeight="1" x14ac:dyDescent="0.2">
      <c r="I101" s="64"/>
      <c r="T101" s="64"/>
      <c r="AE101" s="64"/>
      <c r="AP101" s="63"/>
      <c r="BA101" s="55"/>
      <c r="BW101" s="64"/>
    </row>
    <row r="102" spans="9:75" ht="15" customHeight="1" x14ac:dyDescent="0.2">
      <c r="I102" s="64"/>
      <c r="T102" s="64"/>
      <c r="AE102" s="64"/>
      <c r="AP102" s="63"/>
      <c r="BA102" s="55"/>
      <c r="BW102" s="64"/>
    </row>
    <row r="103" spans="9:75" ht="15" customHeight="1" x14ac:dyDescent="0.2">
      <c r="I103" s="64"/>
      <c r="T103" s="64"/>
      <c r="AE103" s="64"/>
      <c r="AP103" s="63"/>
      <c r="BA103" s="55"/>
      <c r="BW103" s="64"/>
    </row>
    <row r="104" spans="9:75" ht="15" customHeight="1" x14ac:dyDescent="0.2">
      <c r="I104" s="64"/>
      <c r="T104" s="64"/>
      <c r="AE104" s="64"/>
      <c r="AP104" s="63"/>
      <c r="BA104" s="55"/>
      <c r="BW104" s="64"/>
    </row>
    <row r="105" spans="9:75" ht="15" customHeight="1" x14ac:dyDescent="0.2">
      <c r="I105" s="64"/>
      <c r="T105" s="64"/>
      <c r="AE105" s="64"/>
      <c r="AP105" s="63"/>
      <c r="BA105" s="55"/>
      <c r="BW105" s="64"/>
    </row>
    <row r="106" spans="9:75" ht="15" customHeight="1" x14ac:dyDescent="0.2">
      <c r="I106" s="64"/>
      <c r="T106" s="64"/>
      <c r="AE106" s="64"/>
      <c r="AP106" s="63"/>
      <c r="BA106" s="55"/>
      <c r="BW106" s="64"/>
    </row>
    <row r="107" spans="9:75" ht="15" customHeight="1" x14ac:dyDescent="0.2">
      <c r="I107" s="64"/>
      <c r="T107" s="64"/>
      <c r="AE107" s="64"/>
      <c r="AP107" s="63"/>
      <c r="BA107" s="55"/>
      <c r="BW107" s="64"/>
    </row>
    <row r="108" spans="9:75" ht="15" customHeight="1" x14ac:dyDescent="0.2">
      <c r="I108" s="64"/>
      <c r="T108" s="64"/>
      <c r="AE108" s="64"/>
      <c r="AP108" s="63"/>
      <c r="BA108" s="55"/>
      <c r="BW108" s="64"/>
    </row>
    <row r="109" spans="9:75" ht="15" customHeight="1" x14ac:dyDescent="0.2">
      <c r="I109" s="64"/>
      <c r="T109" s="64"/>
      <c r="AE109" s="64"/>
      <c r="AP109" s="63"/>
      <c r="BA109" s="55"/>
      <c r="BW109" s="64"/>
    </row>
    <row r="110" spans="9:75" ht="15" customHeight="1" x14ac:dyDescent="0.2">
      <c r="I110" s="64"/>
      <c r="T110" s="64"/>
      <c r="AE110" s="64"/>
      <c r="AP110" s="63"/>
      <c r="BA110" s="55"/>
      <c r="BW110" s="64"/>
    </row>
    <row r="111" spans="9:75" ht="15" customHeight="1" x14ac:dyDescent="0.2">
      <c r="I111" s="64"/>
      <c r="T111" s="64"/>
      <c r="AE111" s="64"/>
      <c r="AP111" s="63"/>
      <c r="BA111" s="55"/>
      <c r="BW111" s="64"/>
    </row>
    <row r="112" spans="9:75" ht="15" customHeight="1" x14ac:dyDescent="0.2">
      <c r="I112" s="64"/>
      <c r="T112" s="64"/>
      <c r="AE112" s="64"/>
      <c r="AP112" s="63"/>
      <c r="BA112" s="55"/>
      <c r="BW112" s="64"/>
    </row>
    <row r="113" spans="9:75" ht="15" customHeight="1" x14ac:dyDescent="0.2">
      <c r="I113" s="64"/>
      <c r="T113" s="64"/>
      <c r="AE113" s="64"/>
      <c r="AP113" s="63"/>
      <c r="BA113" s="55"/>
      <c r="BW113" s="64"/>
    </row>
    <row r="114" spans="9:75" ht="15" customHeight="1" x14ac:dyDescent="0.2">
      <c r="I114" s="64"/>
      <c r="T114" s="64"/>
      <c r="AE114" s="64"/>
      <c r="AP114" s="63"/>
      <c r="BA114" s="55"/>
      <c r="BW114" s="64"/>
    </row>
    <row r="115" spans="9:75" ht="15" customHeight="1" x14ac:dyDescent="0.2">
      <c r="I115" s="64"/>
      <c r="T115" s="64"/>
      <c r="AE115" s="64"/>
      <c r="AP115" s="63"/>
      <c r="BA115" s="55"/>
      <c r="BW115" s="64"/>
    </row>
    <row r="116" spans="9:75" ht="15" customHeight="1" x14ac:dyDescent="0.2">
      <c r="I116" s="64"/>
      <c r="T116" s="64"/>
      <c r="AE116" s="64"/>
      <c r="AP116" s="63"/>
      <c r="BA116" s="55"/>
      <c r="BW116" s="64"/>
    </row>
    <row r="117" spans="9:75" ht="15" customHeight="1" x14ac:dyDescent="0.2">
      <c r="I117" s="64"/>
      <c r="T117" s="64"/>
      <c r="AE117" s="64"/>
      <c r="AP117" s="63"/>
      <c r="BA117" s="55"/>
      <c r="BW117" s="64"/>
    </row>
    <row r="118" spans="9:75" ht="15" customHeight="1" x14ac:dyDescent="0.2">
      <c r="I118" s="64"/>
      <c r="T118" s="64"/>
      <c r="AE118" s="64"/>
      <c r="AP118" s="63"/>
      <c r="BA118" s="55"/>
      <c r="BW118" s="64"/>
    </row>
    <row r="119" spans="9:75" ht="15" customHeight="1" x14ac:dyDescent="0.2">
      <c r="I119" s="64"/>
      <c r="T119" s="64"/>
      <c r="AE119" s="64"/>
      <c r="AP119" s="63"/>
      <c r="BA119" s="55"/>
      <c r="BW119" s="64"/>
    </row>
    <row r="120" spans="9:75" ht="15" customHeight="1" x14ac:dyDescent="0.2">
      <c r="I120" s="64"/>
      <c r="T120" s="64"/>
      <c r="AE120" s="64"/>
      <c r="AP120" s="63"/>
      <c r="BA120" s="55"/>
      <c r="BW120" s="64"/>
    </row>
    <row r="121" spans="9:75" ht="15" customHeight="1" x14ac:dyDescent="0.2">
      <c r="I121" s="64"/>
      <c r="T121" s="64"/>
      <c r="AE121" s="64"/>
      <c r="AP121" s="63"/>
      <c r="BA121" s="55"/>
      <c r="BW121" s="64"/>
    </row>
    <row r="122" spans="9:75" ht="15" customHeight="1" x14ac:dyDescent="0.2">
      <c r="I122" s="64"/>
      <c r="T122" s="64"/>
      <c r="AE122" s="64"/>
      <c r="AP122" s="63"/>
      <c r="BW122" s="64"/>
    </row>
    <row r="123" spans="9:75" ht="15" customHeight="1" x14ac:dyDescent="0.2">
      <c r="I123" s="64"/>
      <c r="T123" s="64"/>
      <c r="AE123" s="64"/>
      <c r="AP123" s="63"/>
      <c r="BW123" s="64"/>
    </row>
    <row r="124" spans="9:75" ht="15" customHeight="1" x14ac:dyDescent="0.2">
      <c r="I124" s="64"/>
      <c r="T124" s="64"/>
      <c r="AE124" s="64"/>
      <c r="AP124" s="63"/>
      <c r="BW124" s="64"/>
    </row>
    <row r="125" spans="9:75" ht="15" customHeight="1" x14ac:dyDescent="0.2">
      <c r="I125" s="64"/>
      <c r="T125" s="64"/>
      <c r="AE125" s="64"/>
      <c r="AP125" s="63"/>
      <c r="BW125" s="64"/>
    </row>
    <row r="126" spans="9:75" ht="15" customHeight="1" x14ac:dyDescent="0.2">
      <c r="I126" s="64"/>
      <c r="T126" s="64"/>
      <c r="AE126" s="64"/>
      <c r="AP126" s="63"/>
      <c r="BW126" s="64"/>
    </row>
    <row r="127" spans="9:75" ht="15" customHeight="1" x14ac:dyDescent="0.2">
      <c r="I127" s="64"/>
      <c r="T127" s="64"/>
      <c r="AE127" s="64"/>
      <c r="AP127" s="63"/>
      <c r="BW127" s="64"/>
    </row>
    <row r="128" spans="9:75" ht="15" customHeight="1" x14ac:dyDescent="0.2">
      <c r="I128" s="64"/>
      <c r="T128" s="64"/>
      <c r="AE128" s="64"/>
      <c r="AP128" s="63"/>
      <c r="BW128" s="64"/>
    </row>
    <row r="129" spans="9:75" ht="15" customHeight="1" x14ac:dyDescent="0.2">
      <c r="I129" s="64"/>
      <c r="T129" s="64"/>
      <c r="AE129" s="64"/>
      <c r="AP129" s="63"/>
      <c r="BW129" s="64"/>
    </row>
    <row r="130" spans="9:75" ht="15" customHeight="1" x14ac:dyDescent="0.2">
      <c r="I130" s="64"/>
      <c r="T130" s="64"/>
      <c r="AE130" s="64"/>
      <c r="AP130" s="63"/>
      <c r="BW130" s="64"/>
    </row>
    <row r="131" spans="9:75" ht="15" customHeight="1" x14ac:dyDescent="0.2">
      <c r="I131" s="64"/>
      <c r="T131" s="64"/>
      <c r="AE131" s="64"/>
      <c r="AP131" s="63"/>
      <c r="BW131" s="64"/>
    </row>
    <row r="132" spans="9:75" ht="15" customHeight="1" x14ac:dyDescent="0.2">
      <c r="I132" s="64"/>
      <c r="T132" s="64"/>
      <c r="AE132" s="64"/>
      <c r="AP132" s="63"/>
      <c r="BW132" s="64"/>
    </row>
    <row r="133" spans="9:75" ht="15" customHeight="1" x14ac:dyDescent="0.2">
      <c r="I133" s="64"/>
      <c r="T133" s="64"/>
      <c r="AE133" s="64"/>
      <c r="AP133" s="63"/>
      <c r="BW133" s="64"/>
    </row>
    <row r="134" spans="9:75" ht="15" customHeight="1" x14ac:dyDescent="0.2">
      <c r="I134" s="64"/>
      <c r="T134" s="64"/>
      <c r="AE134" s="64"/>
      <c r="AP134" s="63"/>
      <c r="BW134" s="64"/>
    </row>
    <row r="135" spans="9:75" ht="15" customHeight="1" x14ac:dyDescent="0.2">
      <c r="I135" s="64"/>
      <c r="T135" s="64"/>
      <c r="AE135" s="64"/>
      <c r="AP135" s="63"/>
      <c r="BW135" s="64"/>
    </row>
    <row r="136" spans="9:75" ht="15" customHeight="1" x14ac:dyDescent="0.2">
      <c r="I136" s="64"/>
      <c r="T136" s="64"/>
      <c r="AE136" s="64"/>
      <c r="AP136" s="63"/>
      <c r="BW136" s="64"/>
    </row>
    <row r="137" spans="9:75" ht="15" customHeight="1" x14ac:dyDescent="0.2">
      <c r="I137" s="64"/>
      <c r="T137" s="64"/>
      <c r="AE137" s="64"/>
      <c r="AP137" s="63"/>
      <c r="BW137" s="64"/>
    </row>
    <row r="138" spans="9:75" ht="15" customHeight="1" x14ac:dyDescent="0.2">
      <c r="I138" s="64"/>
      <c r="T138" s="64"/>
      <c r="AE138" s="64"/>
      <c r="AP138" s="63"/>
      <c r="BW138" s="64"/>
    </row>
    <row r="139" spans="9:75" ht="15" customHeight="1" x14ac:dyDescent="0.2">
      <c r="I139" s="64"/>
      <c r="T139" s="64"/>
      <c r="AE139" s="64"/>
      <c r="AP139" s="63"/>
      <c r="BW139" s="64"/>
    </row>
    <row r="140" spans="9:75" ht="15" customHeight="1" x14ac:dyDescent="0.2">
      <c r="I140" s="64"/>
      <c r="T140" s="64"/>
      <c r="AE140" s="64"/>
      <c r="AP140" s="63"/>
      <c r="BW140" s="64"/>
    </row>
    <row r="141" spans="9:75" ht="15" customHeight="1" x14ac:dyDescent="0.2">
      <c r="I141" s="64"/>
      <c r="T141" s="64"/>
      <c r="AE141" s="64"/>
      <c r="AP141" s="63"/>
      <c r="BW141" s="64"/>
    </row>
    <row r="142" spans="9:75" ht="15" customHeight="1" x14ac:dyDescent="0.2">
      <c r="I142" s="64"/>
      <c r="T142" s="64"/>
      <c r="AE142" s="64"/>
      <c r="AP142" s="63"/>
      <c r="BW142" s="64"/>
    </row>
    <row r="143" spans="9:75" ht="15" customHeight="1" x14ac:dyDescent="0.2">
      <c r="I143" s="64"/>
      <c r="T143" s="64"/>
      <c r="AE143" s="64"/>
      <c r="AP143" s="63"/>
      <c r="BW143" s="64"/>
    </row>
    <row r="144" spans="9:75" ht="15" customHeight="1" x14ac:dyDescent="0.2">
      <c r="I144" s="64"/>
      <c r="T144" s="64"/>
      <c r="AE144" s="64"/>
      <c r="AP144" s="63"/>
      <c r="BW144" s="64"/>
    </row>
    <row r="145" spans="9:75" ht="15" customHeight="1" x14ac:dyDescent="0.2">
      <c r="I145" s="64"/>
      <c r="T145" s="64"/>
      <c r="AE145" s="64"/>
      <c r="AP145" s="63"/>
      <c r="BW145" s="64"/>
    </row>
    <row r="146" spans="9:75" ht="15" customHeight="1" x14ac:dyDescent="0.2">
      <c r="I146" s="64"/>
      <c r="T146" s="64"/>
      <c r="AE146" s="64"/>
      <c r="AP146" s="63"/>
      <c r="BW146" s="64"/>
    </row>
    <row r="147" spans="9:75" ht="15" customHeight="1" x14ac:dyDescent="0.2">
      <c r="I147" s="64"/>
      <c r="T147" s="64"/>
      <c r="AE147" s="64"/>
      <c r="AP147" s="63"/>
      <c r="BW147" s="64"/>
    </row>
    <row r="148" spans="9:75" ht="15" customHeight="1" x14ac:dyDescent="0.2">
      <c r="I148" s="64"/>
      <c r="T148" s="64"/>
      <c r="AE148" s="64"/>
      <c r="AP148" s="63"/>
      <c r="BW148" s="64"/>
    </row>
    <row r="149" spans="9:75" ht="15" customHeight="1" x14ac:dyDescent="0.2">
      <c r="I149" s="64"/>
      <c r="T149" s="64"/>
      <c r="AE149" s="64"/>
      <c r="AP149" s="63"/>
      <c r="BW149" s="64"/>
    </row>
    <row r="150" spans="9:75" ht="15" customHeight="1" x14ac:dyDescent="0.2">
      <c r="I150" s="64"/>
      <c r="T150" s="64"/>
      <c r="AE150" s="64"/>
      <c r="AP150" s="63"/>
      <c r="BW150" s="64"/>
    </row>
    <row r="151" spans="9:75" ht="15" customHeight="1" x14ac:dyDescent="0.2">
      <c r="I151" s="64"/>
      <c r="T151" s="64"/>
      <c r="AE151" s="64"/>
      <c r="AP151" s="63"/>
      <c r="BW151" s="64"/>
    </row>
    <row r="152" spans="9:75" ht="15" customHeight="1" x14ac:dyDescent="0.2">
      <c r="I152" s="64"/>
      <c r="T152" s="64"/>
      <c r="AE152" s="64"/>
      <c r="AP152" s="63"/>
      <c r="BW152" s="64"/>
    </row>
    <row r="153" spans="9:75" ht="15" customHeight="1" x14ac:dyDescent="0.2">
      <c r="I153" s="64"/>
      <c r="T153" s="64"/>
      <c r="AE153" s="64"/>
      <c r="AP153" s="63"/>
      <c r="BW153" s="64"/>
    </row>
    <row r="154" spans="9:75" ht="15" customHeight="1" x14ac:dyDescent="0.2">
      <c r="I154" s="64"/>
      <c r="T154" s="64"/>
      <c r="AE154" s="64"/>
      <c r="AP154" s="63"/>
      <c r="BW154" s="64"/>
    </row>
    <row r="155" spans="9:75" ht="15" customHeight="1" x14ac:dyDescent="0.2">
      <c r="I155" s="64"/>
      <c r="T155" s="64"/>
      <c r="AE155" s="64"/>
      <c r="AP155" s="63"/>
      <c r="BW155" s="64"/>
    </row>
    <row r="156" spans="9:75" ht="15" customHeight="1" x14ac:dyDescent="0.2">
      <c r="I156" s="64"/>
      <c r="T156" s="64"/>
      <c r="AE156" s="64"/>
      <c r="AP156" s="63"/>
      <c r="BW156" s="64"/>
    </row>
    <row r="157" spans="9:75" ht="15" customHeight="1" x14ac:dyDescent="0.2">
      <c r="I157" s="64"/>
      <c r="T157" s="64"/>
      <c r="AE157" s="64"/>
      <c r="AP157" s="63"/>
      <c r="BW157" s="64"/>
    </row>
    <row r="158" spans="9:75" ht="15" customHeight="1" x14ac:dyDescent="0.2">
      <c r="I158" s="64"/>
      <c r="T158" s="64"/>
      <c r="AE158" s="64"/>
      <c r="AP158" s="63"/>
      <c r="BW158" s="64"/>
    </row>
    <row r="159" spans="9:75" ht="15" customHeight="1" x14ac:dyDescent="0.2">
      <c r="I159" s="64"/>
      <c r="T159" s="64"/>
      <c r="AE159" s="64"/>
      <c r="AP159" s="63"/>
      <c r="BW159" s="64"/>
    </row>
    <row r="160" spans="9:75" ht="15" customHeight="1" x14ac:dyDescent="0.2">
      <c r="I160" s="64"/>
      <c r="T160" s="64"/>
      <c r="AE160" s="64"/>
      <c r="AP160" s="63"/>
      <c r="BW160" s="64"/>
    </row>
    <row r="161" spans="9:75" ht="15" customHeight="1" x14ac:dyDescent="0.2">
      <c r="I161" s="64"/>
      <c r="T161" s="64"/>
      <c r="AE161" s="64"/>
      <c r="AP161" s="63"/>
      <c r="BW161" s="64"/>
    </row>
    <row r="162" spans="9:75" ht="15" customHeight="1" x14ac:dyDescent="0.2">
      <c r="I162" s="64"/>
      <c r="T162" s="64"/>
      <c r="AE162" s="64"/>
      <c r="AP162" s="63"/>
      <c r="BW162" s="64"/>
    </row>
    <row r="163" spans="9:75" ht="15" customHeight="1" x14ac:dyDescent="0.2">
      <c r="I163" s="64"/>
      <c r="T163" s="64"/>
      <c r="AE163" s="64"/>
      <c r="AP163" s="63"/>
      <c r="BW163" s="64"/>
    </row>
    <row r="164" spans="9:75" ht="15" customHeight="1" x14ac:dyDescent="0.2">
      <c r="I164" s="64"/>
      <c r="T164" s="64"/>
      <c r="AE164" s="64"/>
      <c r="AP164" s="63"/>
      <c r="BW164" s="64"/>
    </row>
    <row r="165" spans="9:75" ht="15" customHeight="1" x14ac:dyDescent="0.2">
      <c r="I165" s="64"/>
      <c r="T165" s="64"/>
      <c r="AE165" s="64"/>
      <c r="AP165" s="63"/>
      <c r="BW165" s="64"/>
    </row>
    <row r="166" spans="9:75" ht="15" customHeight="1" x14ac:dyDescent="0.2">
      <c r="I166" s="64"/>
      <c r="T166" s="64"/>
      <c r="AE166" s="64"/>
      <c r="AP166" s="63"/>
      <c r="BW166" s="64"/>
    </row>
    <row r="167" spans="9:75" ht="15" customHeight="1" x14ac:dyDescent="0.2">
      <c r="I167" s="64"/>
      <c r="T167" s="64"/>
      <c r="AE167" s="64"/>
      <c r="AP167" s="63"/>
      <c r="BW167" s="64"/>
    </row>
    <row r="168" spans="9:75" ht="15" customHeight="1" x14ac:dyDescent="0.2">
      <c r="I168" s="64"/>
      <c r="T168" s="64"/>
      <c r="AE168" s="64"/>
      <c r="AP168" s="63"/>
      <c r="BW168" s="64"/>
    </row>
    <row r="169" spans="9:75" ht="15" customHeight="1" x14ac:dyDescent="0.2">
      <c r="I169" s="64"/>
      <c r="T169" s="64"/>
      <c r="AE169" s="64"/>
      <c r="AP169" s="63"/>
      <c r="BW169" s="64"/>
    </row>
    <row r="170" spans="9:75" ht="15" customHeight="1" x14ac:dyDescent="0.2">
      <c r="I170" s="64"/>
      <c r="T170" s="64"/>
      <c r="AE170" s="64"/>
      <c r="AP170" s="63"/>
      <c r="BW170" s="64"/>
    </row>
    <row r="171" spans="9:75" ht="15" customHeight="1" x14ac:dyDescent="0.2">
      <c r="I171" s="64"/>
      <c r="T171" s="64"/>
      <c r="AE171" s="64"/>
      <c r="AP171" s="63"/>
      <c r="BW171" s="64"/>
    </row>
    <row r="172" spans="9:75" ht="15" customHeight="1" x14ac:dyDescent="0.2">
      <c r="I172" s="64"/>
      <c r="T172" s="64"/>
      <c r="AE172" s="64"/>
      <c r="AP172" s="63"/>
    </row>
    <row r="173" spans="9:75" ht="15" customHeight="1" x14ac:dyDescent="0.2">
      <c r="I173" s="64"/>
      <c r="T173" s="64"/>
      <c r="AE173" s="64"/>
      <c r="AP173" s="63"/>
    </row>
    <row r="174" spans="9:75" ht="15" customHeight="1" x14ac:dyDescent="0.2">
      <c r="I174" s="64"/>
      <c r="T174" s="64"/>
      <c r="AE174" s="64"/>
      <c r="AP174" s="63"/>
    </row>
    <row r="175" spans="9:75" ht="15" customHeight="1" x14ac:dyDescent="0.2">
      <c r="I175" s="64"/>
      <c r="T175" s="64"/>
      <c r="AE175" s="64"/>
      <c r="AP175" s="63"/>
    </row>
    <row r="176" spans="9:75" ht="15" customHeight="1" x14ac:dyDescent="0.2">
      <c r="I176" s="64"/>
      <c r="T176" s="64"/>
      <c r="AE176" s="64"/>
      <c r="AP176" s="63"/>
    </row>
    <row r="177" spans="9:42" ht="15" customHeight="1" x14ac:dyDescent="0.2">
      <c r="I177" s="64"/>
      <c r="T177" s="64"/>
      <c r="AE177" s="64"/>
      <c r="AP177" s="63"/>
    </row>
    <row r="178" spans="9:42" ht="15" customHeight="1" x14ac:dyDescent="0.2">
      <c r="I178" s="64"/>
      <c r="T178" s="64"/>
      <c r="AE178" s="64"/>
      <c r="AP178" s="63"/>
    </row>
    <row r="179" spans="9:42" ht="15" customHeight="1" x14ac:dyDescent="0.2">
      <c r="I179" s="64"/>
      <c r="T179" s="64"/>
      <c r="AE179" s="64"/>
      <c r="AP179" s="63"/>
    </row>
    <row r="180" spans="9:42" ht="15" customHeight="1" x14ac:dyDescent="0.2">
      <c r="I180" s="64"/>
      <c r="T180" s="64"/>
      <c r="AE180" s="64"/>
      <c r="AP180" s="63"/>
    </row>
    <row r="181" spans="9:42" ht="15" customHeight="1" x14ac:dyDescent="0.2">
      <c r="I181" s="64"/>
      <c r="T181" s="64"/>
      <c r="AE181" s="64"/>
      <c r="AP181" s="63"/>
    </row>
    <row r="182" spans="9:42" ht="15" customHeight="1" x14ac:dyDescent="0.2">
      <c r="I182" s="64"/>
      <c r="T182" s="64"/>
      <c r="AE182" s="64"/>
      <c r="AP182" s="63"/>
    </row>
    <row r="183" spans="9:42" ht="15" customHeight="1" x14ac:dyDescent="0.2">
      <c r="I183" s="64"/>
      <c r="T183" s="64"/>
      <c r="AE183" s="64"/>
      <c r="AP183" s="63"/>
    </row>
    <row r="184" spans="9:42" ht="15" customHeight="1" x14ac:dyDescent="0.2">
      <c r="I184" s="64"/>
      <c r="T184" s="64"/>
      <c r="AE184" s="64"/>
      <c r="AP184" s="63"/>
    </row>
    <row r="185" spans="9:42" ht="15" customHeight="1" x14ac:dyDescent="0.2">
      <c r="I185" s="64"/>
      <c r="T185" s="64"/>
      <c r="AP185" s="63"/>
    </row>
    <row r="186" spans="9:42" ht="15" customHeight="1" x14ac:dyDescent="0.2">
      <c r="I186" s="64"/>
      <c r="T186" s="64"/>
      <c r="AP186" s="63"/>
    </row>
    <row r="187" spans="9:42" ht="15" customHeight="1" x14ac:dyDescent="0.2">
      <c r="I187" s="64"/>
      <c r="T187" s="64"/>
      <c r="AP187" s="63"/>
    </row>
    <row r="188" spans="9:42" ht="15" customHeight="1" x14ac:dyDescent="0.2">
      <c r="I188" s="64"/>
      <c r="T188" s="64"/>
      <c r="AP188" s="63"/>
    </row>
    <row r="189" spans="9:42" ht="15" customHeight="1" x14ac:dyDescent="0.2">
      <c r="I189" s="64"/>
      <c r="T189" s="64"/>
      <c r="AP189" s="63"/>
    </row>
    <row r="190" spans="9:42" ht="15" customHeight="1" x14ac:dyDescent="0.2">
      <c r="I190" s="64"/>
      <c r="T190" s="64"/>
      <c r="AP190" s="63"/>
    </row>
    <row r="191" spans="9:42" ht="15" customHeight="1" x14ac:dyDescent="0.2">
      <c r="I191" s="64"/>
      <c r="T191" s="64"/>
      <c r="AP191" s="63"/>
    </row>
    <row r="192" spans="9:42" ht="15" customHeight="1" x14ac:dyDescent="0.2">
      <c r="I192" s="64"/>
      <c r="T192" s="64"/>
      <c r="AP192" s="63"/>
    </row>
    <row r="193" spans="9:42" ht="15" customHeight="1" x14ac:dyDescent="0.2">
      <c r="I193" s="64"/>
      <c r="T193" s="64"/>
      <c r="AP193" s="63"/>
    </row>
    <row r="194" spans="9:42" ht="15" customHeight="1" x14ac:dyDescent="0.2">
      <c r="I194" s="64"/>
      <c r="T194" s="64"/>
      <c r="AP194" s="63"/>
    </row>
    <row r="195" spans="9:42" ht="15" customHeight="1" x14ac:dyDescent="0.2">
      <c r="I195" s="64"/>
      <c r="T195" s="64"/>
      <c r="AP195" s="63"/>
    </row>
    <row r="196" spans="9:42" ht="15" customHeight="1" x14ac:dyDescent="0.2">
      <c r="I196" s="64"/>
      <c r="T196" s="64"/>
      <c r="AP196" s="63"/>
    </row>
    <row r="197" spans="9:42" ht="15" customHeight="1" x14ac:dyDescent="0.2">
      <c r="I197" s="64"/>
      <c r="T197" s="64"/>
      <c r="AP197" s="63"/>
    </row>
    <row r="198" spans="9:42" ht="15" customHeight="1" x14ac:dyDescent="0.2">
      <c r="I198" s="64"/>
      <c r="T198" s="64"/>
      <c r="AP198" s="63"/>
    </row>
    <row r="199" spans="9:42" ht="15" customHeight="1" x14ac:dyDescent="0.2">
      <c r="I199" s="64"/>
      <c r="T199" s="64"/>
      <c r="AP199" s="63"/>
    </row>
    <row r="200" spans="9:42" ht="15" customHeight="1" x14ac:dyDescent="0.2">
      <c r="I200" s="64"/>
      <c r="T200" s="64"/>
      <c r="AP200" s="63"/>
    </row>
    <row r="201" spans="9:42" ht="15" customHeight="1" x14ac:dyDescent="0.2">
      <c r="I201" s="64"/>
      <c r="T201" s="64"/>
      <c r="AP201" s="63"/>
    </row>
    <row r="202" spans="9:42" ht="15" customHeight="1" x14ac:dyDescent="0.2">
      <c r="I202" s="64"/>
      <c r="T202" s="64"/>
      <c r="AP202" s="63"/>
    </row>
    <row r="203" spans="9:42" ht="15" customHeight="1" x14ac:dyDescent="0.2">
      <c r="I203" s="64"/>
      <c r="T203" s="64"/>
      <c r="AP203" s="63"/>
    </row>
    <row r="204" spans="9:42" ht="15" customHeight="1" x14ac:dyDescent="0.2">
      <c r="I204" s="64"/>
      <c r="T204" s="64"/>
      <c r="AP204" s="63"/>
    </row>
    <row r="205" spans="9:42" ht="15" customHeight="1" x14ac:dyDescent="0.2">
      <c r="I205" s="64"/>
      <c r="T205" s="64"/>
      <c r="AP205" s="63"/>
    </row>
    <row r="206" spans="9:42" ht="15" customHeight="1" x14ac:dyDescent="0.2">
      <c r="I206" s="64"/>
      <c r="T206" s="64"/>
      <c r="AP206" s="63"/>
    </row>
    <row r="207" spans="9:42" ht="15" customHeight="1" x14ac:dyDescent="0.2">
      <c r="I207" s="64"/>
      <c r="T207" s="64"/>
      <c r="AP207" s="63"/>
    </row>
    <row r="208" spans="9:42" ht="15" customHeight="1" x14ac:dyDescent="0.2">
      <c r="I208" s="64"/>
      <c r="T208" s="64"/>
      <c r="AP208" s="63"/>
    </row>
    <row r="209" spans="9:42" ht="15" customHeight="1" x14ac:dyDescent="0.2">
      <c r="I209" s="64"/>
      <c r="T209" s="64"/>
      <c r="AP209" s="63"/>
    </row>
    <row r="210" spans="9:42" ht="15" customHeight="1" x14ac:dyDescent="0.2">
      <c r="I210" s="64"/>
      <c r="T210" s="64"/>
      <c r="AP210" s="63"/>
    </row>
    <row r="211" spans="9:42" ht="15" customHeight="1" x14ac:dyDescent="0.2">
      <c r="I211" s="64"/>
      <c r="T211" s="64"/>
      <c r="AP211" s="63"/>
    </row>
    <row r="212" spans="9:42" ht="15" customHeight="1" x14ac:dyDescent="0.2">
      <c r="I212" s="64"/>
      <c r="T212" s="64"/>
      <c r="AP212" s="63"/>
    </row>
    <row r="213" spans="9:42" ht="15" customHeight="1" x14ac:dyDescent="0.2">
      <c r="I213" s="64"/>
      <c r="T213" s="64"/>
      <c r="AP213" s="63"/>
    </row>
    <row r="214" spans="9:42" ht="15" customHeight="1" x14ac:dyDescent="0.2">
      <c r="I214" s="64"/>
      <c r="T214" s="64"/>
      <c r="AP214" s="63"/>
    </row>
    <row r="215" spans="9:42" ht="15" customHeight="1" x14ac:dyDescent="0.2">
      <c r="I215" s="64"/>
      <c r="T215" s="64"/>
      <c r="AP215" s="63"/>
    </row>
    <row r="216" spans="9:42" ht="15" customHeight="1" x14ac:dyDescent="0.2">
      <c r="I216" s="64"/>
      <c r="T216" s="64"/>
      <c r="AP216" s="63"/>
    </row>
    <row r="217" spans="9:42" ht="15" customHeight="1" x14ac:dyDescent="0.2">
      <c r="I217" s="64"/>
      <c r="T217" s="64"/>
      <c r="AP217" s="63"/>
    </row>
    <row r="218" spans="9:42" ht="15" customHeight="1" x14ac:dyDescent="0.2">
      <c r="I218" s="64"/>
      <c r="T218" s="64"/>
      <c r="AP218" s="63"/>
    </row>
    <row r="219" spans="9:42" ht="15" customHeight="1" x14ac:dyDescent="0.2">
      <c r="I219" s="64"/>
      <c r="T219" s="64"/>
      <c r="AP219" s="63"/>
    </row>
    <row r="220" spans="9:42" ht="15" customHeight="1" x14ac:dyDescent="0.2">
      <c r="I220" s="64"/>
      <c r="T220" s="64"/>
      <c r="AP220" s="63"/>
    </row>
    <row r="221" spans="9:42" ht="15" customHeight="1" x14ac:dyDescent="0.2">
      <c r="I221" s="64"/>
      <c r="T221" s="64"/>
      <c r="AP221" s="63"/>
    </row>
    <row r="222" spans="9:42" ht="15" customHeight="1" x14ac:dyDescent="0.2">
      <c r="I222" s="64"/>
      <c r="T222" s="64"/>
      <c r="AP222" s="63"/>
    </row>
    <row r="223" spans="9:42" ht="15" customHeight="1" x14ac:dyDescent="0.2">
      <c r="I223" s="64"/>
      <c r="T223" s="64"/>
      <c r="AP223" s="63"/>
    </row>
    <row r="224" spans="9:42" ht="15" customHeight="1" x14ac:dyDescent="0.2">
      <c r="I224" s="64"/>
      <c r="T224" s="64"/>
      <c r="AP224" s="63"/>
    </row>
    <row r="225" spans="9:42" ht="15" customHeight="1" x14ac:dyDescent="0.2">
      <c r="I225" s="64"/>
      <c r="T225" s="64"/>
      <c r="AP225" s="63"/>
    </row>
    <row r="226" spans="9:42" ht="15" customHeight="1" x14ac:dyDescent="0.2">
      <c r="I226" s="64"/>
      <c r="T226" s="64"/>
      <c r="AP226" s="63"/>
    </row>
    <row r="227" spans="9:42" ht="15" customHeight="1" x14ac:dyDescent="0.2">
      <c r="I227" s="64"/>
      <c r="T227" s="64"/>
      <c r="AP227" s="63"/>
    </row>
    <row r="228" spans="9:42" ht="15" customHeight="1" x14ac:dyDescent="0.2">
      <c r="I228" s="64"/>
      <c r="T228" s="64"/>
      <c r="AP228" s="63"/>
    </row>
    <row r="229" spans="9:42" ht="15" customHeight="1" x14ac:dyDescent="0.2">
      <c r="I229" s="64"/>
      <c r="T229" s="64"/>
      <c r="AP229" s="63"/>
    </row>
    <row r="230" spans="9:42" ht="15" customHeight="1" x14ac:dyDescent="0.2">
      <c r="I230" s="64"/>
      <c r="T230" s="64"/>
      <c r="AP230" s="63"/>
    </row>
    <row r="231" spans="9:42" ht="15" customHeight="1" x14ac:dyDescent="0.2">
      <c r="I231" s="64"/>
      <c r="T231" s="64"/>
      <c r="AP231" s="63"/>
    </row>
    <row r="232" spans="9:42" ht="15" customHeight="1" x14ac:dyDescent="0.2">
      <c r="I232" s="64"/>
      <c r="T232" s="64"/>
      <c r="AP232" s="63"/>
    </row>
    <row r="233" spans="9:42" ht="15" customHeight="1" x14ac:dyDescent="0.2">
      <c r="I233" s="64"/>
      <c r="T233" s="64"/>
      <c r="AP233" s="63"/>
    </row>
    <row r="234" spans="9:42" ht="15" customHeight="1" x14ac:dyDescent="0.2">
      <c r="I234" s="64"/>
      <c r="T234" s="64"/>
      <c r="AP234" s="63"/>
    </row>
    <row r="235" spans="9:42" ht="15" customHeight="1" x14ac:dyDescent="0.2">
      <c r="I235" s="64"/>
      <c r="T235" s="64"/>
      <c r="AP235" s="63"/>
    </row>
    <row r="236" spans="9:42" ht="15" customHeight="1" x14ac:dyDescent="0.2">
      <c r="I236" s="64"/>
      <c r="T236" s="64"/>
      <c r="AP236" s="63"/>
    </row>
    <row r="237" spans="9:42" ht="15" customHeight="1" x14ac:dyDescent="0.2">
      <c r="I237" s="64"/>
      <c r="T237" s="64"/>
      <c r="AP237" s="63"/>
    </row>
    <row r="238" spans="9:42" ht="15" customHeight="1" x14ac:dyDescent="0.2">
      <c r="I238" s="64"/>
      <c r="T238" s="64"/>
      <c r="AP238" s="63"/>
    </row>
    <row r="239" spans="9:42" ht="15" customHeight="1" x14ac:dyDescent="0.2">
      <c r="I239" s="64"/>
      <c r="T239" s="64"/>
      <c r="AP239" s="63"/>
    </row>
    <row r="240" spans="9:42" ht="15" customHeight="1" x14ac:dyDescent="0.2">
      <c r="I240" s="64"/>
      <c r="T240" s="64"/>
      <c r="AP240" s="63"/>
    </row>
    <row r="241" spans="9:42" ht="15" customHeight="1" x14ac:dyDescent="0.2">
      <c r="I241" s="64"/>
      <c r="T241" s="64"/>
      <c r="AP241" s="63"/>
    </row>
    <row r="242" spans="9:42" ht="15" customHeight="1" x14ac:dyDescent="0.2">
      <c r="I242" s="64"/>
      <c r="T242" s="64"/>
      <c r="AP242" s="63"/>
    </row>
    <row r="243" spans="9:42" ht="15" customHeight="1" x14ac:dyDescent="0.2">
      <c r="I243" s="64"/>
      <c r="T243" s="64"/>
      <c r="AP243" s="63"/>
    </row>
    <row r="244" spans="9:42" ht="15" customHeight="1" x14ac:dyDescent="0.2">
      <c r="I244" s="64"/>
      <c r="T244" s="64"/>
      <c r="AP244" s="63"/>
    </row>
    <row r="245" spans="9:42" ht="15" customHeight="1" x14ac:dyDescent="0.2">
      <c r="I245" s="64"/>
      <c r="T245" s="64"/>
      <c r="AP245" s="63"/>
    </row>
    <row r="246" spans="9:42" ht="15" customHeight="1" x14ac:dyDescent="0.2">
      <c r="I246" s="64"/>
      <c r="T246" s="64"/>
      <c r="AP246" s="63"/>
    </row>
    <row r="247" spans="9:42" ht="15" customHeight="1" x14ac:dyDescent="0.2">
      <c r="I247" s="64"/>
      <c r="T247" s="64"/>
      <c r="AP247" s="63"/>
    </row>
    <row r="248" spans="9:42" ht="15" customHeight="1" x14ac:dyDescent="0.2">
      <c r="I248" s="64"/>
      <c r="T248" s="64"/>
      <c r="AP248" s="63"/>
    </row>
    <row r="249" spans="9:42" ht="15" customHeight="1" x14ac:dyDescent="0.2">
      <c r="I249" s="64"/>
      <c r="T249" s="64"/>
      <c r="AP249" s="63"/>
    </row>
    <row r="250" spans="9:42" ht="15" customHeight="1" x14ac:dyDescent="0.2">
      <c r="I250" s="64"/>
      <c r="T250" s="64"/>
      <c r="AP250" s="63"/>
    </row>
    <row r="251" spans="9:42" ht="15" customHeight="1" x14ac:dyDescent="0.2">
      <c r="I251" s="64"/>
      <c r="T251" s="64"/>
      <c r="AP251" s="63"/>
    </row>
    <row r="252" spans="9:42" ht="15" customHeight="1" x14ac:dyDescent="0.2">
      <c r="I252" s="64"/>
      <c r="T252" s="64"/>
      <c r="AP252" s="63"/>
    </row>
    <row r="253" spans="9:42" ht="15" customHeight="1" x14ac:dyDescent="0.2">
      <c r="I253" s="64"/>
      <c r="T253" s="64"/>
      <c r="AP253" s="63"/>
    </row>
    <row r="254" spans="9:42" ht="15" customHeight="1" x14ac:dyDescent="0.2">
      <c r="I254" s="64"/>
      <c r="T254" s="64"/>
      <c r="AP254" s="63"/>
    </row>
    <row r="255" spans="9:42" ht="15" customHeight="1" x14ac:dyDescent="0.2">
      <c r="I255" s="64"/>
      <c r="T255" s="64"/>
      <c r="AP255" s="63"/>
    </row>
    <row r="256" spans="9:42" ht="15" customHeight="1" x14ac:dyDescent="0.2">
      <c r="I256" s="64"/>
      <c r="T256" s="64"/>
      <c r="AP256" s="63"/>
    </row>
    <row r="257" spans="9:42" ht="15" customHeight="1" x14ac:dyDescent="0.2">
      <c r="I257" s="64"/>
      <c r="T257" s="64"/>
      <c r="AP257" s="63"/>
    </row>
    <row r="258" spans="9:42" ht="15" customHeight="1" x14ac:dyDescent="0.2">
      <c r="I258" s="64"/>
      <c r="T258" s="64"/>
      <c r="AP258" s="63"/>
    </row>
    <row r="259" spans="9:42" ht="15" customHeight="1" x14ac:dyDescent="0.2">
      <c r="I259" s="64"/>
      <c r="T259" s="64"/>
      <c r="AP259" s="63"/>
    </row>
    <row r="260" spans="9:42" ht="15" customHeight="1" x14ac:dyDescent="0.2">
      <c r="I260" s="64"/>
      <c r="T260" s="64"/>
      <c r="AP260" s="63"/>
    </row>
    <row r="261" spans="9:42" ht="15" customHeight="1" x14ac:dyDescent="0.2">
      <c r="I261" s="64"/>
      <c r="T261" s="64"/>
      <c r="AP261" s="63"/>
    </row>
    <row r="262" spans="9:42" ht="15" customHeight="1" x14ac:dyDescent="0.2">
      <c r="I262" s="64"/>
      <c r="T262" s="64"/>
      <c r="AP262" s="63"/>
    </row>
    <row r="263" spans="9:42" ht="15" customHeight="1" x14ac:dyDescent="0.2">
      <c r="I263" s="64"/>
      <c r="T263" s="64"/>
      <c r="AP263" s="63"/>
    </row>
    <row r="264" spans="9:42" ht="15" customHeight="1" x14ac:dyDescent="0.2">
      <c r="I264" s="64"/>
      <c r="T264" s="64"/>
      <c r="AP264" s="63"/>
    </row>
    <row r="265" spans="9:42" ht="15" customHeight="1" x14ac:dyDescent="0.2">
      <c r="I265" s="64"/>
      <c r="T265" s="64"/>
      <c r="AP265" s="63"/>
    </row>
    <row r="266" spans="9:42" ht="15" customHeight="1" x14ac:dyDescent="0.2">
      <c r="I266" s="64"/>
      <c r="T266" s="64"/>
      <c r="AP266" s="63"/>
    </row>
    <row r="267" spans="9:42" ht="15" customHeight="1" x14ac:dyDescent="0.2">
      <c r="I267" s="64"/>
      <c r="T267" s="64"/>
      <c r="AP267" s="63"/>
    </row>
    <row r="268" spans="9:42" ht="15" customHeight="1" x14ac:dyDescent="0.2">
      <c r="I268" s="64"/>
      <c r="T268" s="64"/>
      <c r="AP268" s="63"/>
    </row>
    <row r="269" spans="9:42" ht="15" customHeight="1" x14ac:dyDescent="0.2">
      <c r="I269" s="64"/>
      <c r="T269" s="64"/>
      <c r="AP269" s="63"/>
    </row>
    <row r="270" spans="9:42" ht="15" customHeight="1" x14ac:dyDescent="0.2">
      <c r="I270" s="64"/>
      <c r="T270" s="64"/>
      <c r="AP270" s="63"/>
    </row>
    <row r="271" spans="9:42" ht="15" customHeight="1" x14ac:dyDescent="0.2">
      <c r="I271" s="64"/>
      <c r="T271" s="64"/>
      <c r="AP271" s="63"/>
    </row>
    <row r="272" spans="9:42" ht="15" customHeight="1" x14ac:dyDescent="0.2">
      <c r="I272" s="64"/>
      <c r="T272" s="64"/>
      <c r="AP272" s="63"/>
    </row>
    <row r="273" spans="9:42" ht="15" customHeight="1" x14ac:dyDescent="0.2">
      <c r="I273" s="64"/>
      <c r="T273" s="64"/>
      <c r="AP273" s="63"/>
    </row>
    <row r="274" spans="9:42" ht="15" customHeight="1" x14ac:dyDescent="0.2">
      <c r="I274" s="64"/>
      <c r="T274" s="64"/>
      <c r="AP274" s="63"/>
    </row>
    <row r="275" spans="9:42" ht="15" customHeight="1" x14ac:dyDescent="0.2">
      <c r="I275" s="64"/>
      <c r="T275" s="64"/>
      <c r="AP275" s="63"/>
    </row>
    <row r="276" spans="9:42" ht="15" customHeight="1" x14ac:dyDescent="0.2">
      <c r="I276" s="64"/>
      <c r="T276" s="64"/>
      <c r="AP276" s="63"/>
    </row>
    <row r="277" spans="9:42" ht="15" customHeight="1" x14ac:dyDescent="0.2">
      <c r="I277" s="64"/>
      <c r="T277" s="64"/>
      <c r="AP277" s="63"/>
    </row>
    <row r="278" spans="9:42" ht="15" customHeight="1" x14ac:dyDescent="0.2">
      <c r="I278" s="64"/>
      <c r="T278" s="64"/>
      <c r="AP278" s="63"/>
    </row>
    <row r="279" spans="9:42" ht="15" customHeight="1" x14ac:dyDescent="0.2">
      <c r="I279" s="64"/>
      <c r="T279" s="64"/>
      <c r="AP279" s="63"/>
    </row>
    <row r="280" spans="9:42" ht="15" customHeight="1" x14ac:dyDescent="0.2">
      <c r="I280" s="64"/>
      <c r="T280" s="64"/>
      <c r="AP280" s="63"/>
    </row>
    <row r="281" spans="9:42" ht="15" customHeight="1" x14ac:dyDescent="0.2">
      <c r="I281" s="64"/>
      <c r="T281" s="64"/>
      <c r="AP281" s="63"/>
    </row>
    <row r="282" spans="9:42" ht="15" customHeight="1" x14ac:dyDescent="0.2">
      <c r="I282" s="64"/>
      <c r="T282" s="64"/>
      <c r="AP282" s="63"/>
    </row>
    <row r="283" spans="9:42" ht="15" customHeight="1" x14ac:dyDescent="0.2">
      <c r="I283" s="64"/>
      <c r="T283" s="64"/>
      <c r="AP283" s="63"/>
    </row>
    <row r="284" spans="9:42" ht="15" customHeight="1" x14ac:dyDescent="0.2">
      <c r="I284" s="64"/>
      <c r="T284" s="64"/>
      <c r="AP284" s="63"/>
    </row>
    <row r="285" spans="9:42" ht="15" customHeight="1" x14ac:dyDescent="0.2">
      <c r="I285" s="64"/>
      <c r="T285" s="64"/>
      <c r="AP285" s="63"/>
    </row>
    <row r="286" spans="9:42" ht="15" customHeight="1" x14ac:dyDescent="0.2">
      <c r="I286" s="64"/>
      <c r="T286" s="64"/>
      <c r="AP286" s="63"/>
    </row>
    <row r="287" spans="9:42" ht="15" customHeight="1" x14ac:dyDescent="0.2">
      <c r="I287" s="64"/>
      <c r="T287" s="64"/>
      <c r="AP287" s="63"/>
    </row>
    <row r="288" spans="9:42" ht="15" customHeight="1" x14ac:dyDescent="0.2">
      <c r="I288" s="64"/>
      <c r="T288" s="64"/>
      <c r="AP288" s="63"/>
    </row>
    <row r="289" spans="9:42" ht="15" customHeight="1" x14ac:dyDescent="0.2">
      <c r="I289" s="64"/>
      <c r="T289" s="64"/>
      <c r="AP289" s="63"/>
    </row>
    <row r="290" spans="9:42" ht="15" customHeight="1" x14ac:dyDescent="0.2">
      <c r="I290" s="64"/>
      <c r="T290" s="64"/>
      <c r="AP290" s="63"/>
    </row>
    <row r="291" spans="9:42" ht="15" customHeight="1" x14ac:dyDescent="0.2">
      <c r="I291" s="64"/>
      <c r="T291" s="64"/>
      <c r="AP291" s="63"/>
    </row>
    <row r="292" spans="9:42" ht="15" customHeight="1" x14ac:dyDescent="0.2">
      <c r="I292" s="64"/>
      <c r="T292" s="64"/>
      <c r="AP292" s="63"/>
    </row>
    <row r="293" spans="9:42" ht="15" customHeight="1" x14ac:dyDescent="0.2">
      <c r="I293" s="64"/>
      <c r="T293" s="64"/>
      <c r="AP293" s="63"/>
    </row>
    <row r="294" spans="9:42" ht="15" customHeight="1" x14ac:dyDescent="0.2">
      <c r="I294" s="64"/>
      <c r="AP294" s="63"/>
    </row>
    <row r="295" spans="9:42" ht="15" customHeight="1" x14ac:dyDescent="0.2">
      <c r="I295" s="64"/>
      <c r="AP295" s="63"/>
    </row>
    <row r="296" spans="9:42" ht="15" customHeight="1" x14ac:dyDescent="0.2">
      <c r="I296" s="64"/>
      <c r="AP296" s="63"/>
    </row>
    <row r="297" spans="9:42" ht="15" customHeight="1" x14ac:dyDescent="0.2">
      <c r="I297" s="64"/>
      <c r="AP297" s="63"/>
    </row>
    <row r="298" spans="9:42" ht="15" customHeight="1" x14ac:dyDescent="0.2">
      <c r="I298" s="64"/>
      <c r="AP298" s="63"/>
    </row>
    <row r="299" spans="9:42" ht="15" customHeight="1" x14ac:dyDescent="0.2">
      <c r="I299" s="64"/>
      <c r="AP299" s="63"/>
    </row>
    <row r="300" spans="9:42" ht="15" customHeight="1" x14ac:dyDescent="0.2">
      <c r="I300" s="64"/>
      <c r="AP300" s="63"/>
    </row>
    <row r="301" spans="9:42" ht="15" customHeight="1" x14ac:dyDescent="0.2">
      <c r="I301" s="64"/>
      <c r="AP301" s="63"/>
    </row>
    <row r="302" spans="9:42" ht="15" customHeight="1" x14ac:dyDescent="0.2">
      <c r="I302" s="64"/>
      <c r="AP302" s="63"/>
    </row>
    <row r="303" spans="9:42" ht="15" customHeight="1" x14ac:dyDescent="0.2">
      <c r="I303" s="64"/>
      <c r="AP303" s="63"/>
    </row>
    <row r="304" spans="9:42" ht="15" customHeight="1" x14ac:dyDescent="0.2">
      <c r="I304" s="64"/>
      <c r="AP304" s="63"/>
    </row>
    <row r="305" spans="9:42" ht="15" customHeight="1" x14ac:dyDescent="0.2">
      <c r="I305" s="64"/>
      <c r="AP305" s="63"/>
    </row>
    <row r="306" spans="9:42" ht="15" customHeight="1" x14ac:dyDescent="0.2">
      <c r="I306" s="64"/>
      <c r="AP306" s="63"/>
    </row>
    <row r="307" spans="9:42" ht="15" customHeight="1" x14ac:dyDescent="0.2">
      <c r="I307" s="64"/>
      <c r="AP307" s="63"/>
    </row>
    <row r="308" spans="9:42" ht="15" customHeight="1" x14ac:dyDescent="0.2">
      <c r="I308" s="64"/>
      <c r="AP308" s="63"/>
    </row>
    <row r="309" spans="9:42" ht="15" customHeight="1" x14ac:dyDescent="0.2">
      <c r="I309" s="64"/>
      <c r="AP309" s="63"/>
    </row>
    <row r="310" spans="9:42" ht="15" customHeight="1" x14ac:dyDescent="0.2">
      <c r="I310" s="64"/>
      <c r="AP310" s="63"/>
    </row>
    <row r="311" spans="9:42" ht="15" customHeight="1" x14ac:dyDescent="0.2">
      <c r="I311" s="64"/>
      <c r="AP311" s="63"/>
    </row>
    <row r="312" spans="9:42" ht="15" customHeight="1" x14ac:dyDescent="0.2">
      <c r="I312" s="64"/>
      <c r="AP312" s="63"/>
    </row>
    <row r="313" spans="9:42" ht="15" customHeight="1" x14ac:dyDescent="0.2">
      <c r="I313" s="64"/>
      <c r="AP313" s="63"/>
    </row>
    <row r="314" spans="9:42" ht="15" customHeight="1" x14ac:dyDescent="0.2">
      <c r="AP314" s="63"/>
    </row>
    <row r="315" spans="9:42" ht="15" customHeight="1" x14ac:dyDescent="0.2">
      <c r="AP315" s="63"/>
    </row>
    <row r="316" spans="9:42" ht="15" customHeight="1" x14ac:dyDescent="0.2">
      <c r="AP316" s="63"/>
    </row>
    <row r="317" spans="9:42" ht="15" customHeight="1" x14ac:dyDescent="0.2">
      <c r="AP317" s="63"/>
    </row>
    <row r="318" spans="9:42" ht="15" customHeight="1" x14ac:dyDescent="0.2">
      <c r="AP318" s="63"/>
    </row>
    <row r="319" spans="9:42" ht="15" customHeight="1" x14ac:dyDescent="0.2">
      <c r="AP319" s="63"/>
    </row>
    <row r="320" spans="9:42" ht="15" customHeight="1" x14ac:dyDescent="0.2">
      <c r="AP320" s="63"/>
    </row>
    <row r="321" spans="42:42" ht="15" customHeight="1" x14ac:dyDescent="0.2">
      <c r="AP321" s="63"/>
    </row>
    <row r="322" spans="42:42" ht="15" customHeight="1" x14ac:dyDescent="0.2">
      <c r="AP322" s="63"/>
    </row>
    <row r="323" spans="42:42" ht="15" customHeight="1" x14ac:dyDescent="0.2">
      <c r="AP323" s="63"/>
    </row>
    <row r="324" spans="42:42" ht="15" customHeight="1" x14ac:dyDescent="0.2">
      <c r="AP324" s="63"/>
    </row>
    <row r="325" spans="42:42" ht="15" customHeight="1" x14ac:dyDescent="0.2">
      <c r="AP325" s="63"/>
    </row>
    <row r="326" spans="42:42" ht="15" customHeight="1" x14ac:dyDescent="0.2">
      <c r="AP326" s="63"/>
    </row>
    <row r="327" spans="42:42" ht="15" customHeight="1" x14ac:dyDescent="0.2">
      <c r="AP327" s="63"/>
    </row>
    <row r="328" spans="42:42" ht="15" customHeight="1" x14ac:dyDescent="0.2">
      <c r="AP328" s="63"/>
    </row>
    <row r="329" spans="42:42" ht="15" customHeight="1" x14ac:dyDescent="0.2">
      <c r="AP329" s="63"/>
    </row>
    <row r="330" spans="42:42" ht="15" customHeight="1" x14ac:dyDescent="0.2">
      <c r="AP330" s="63"/>
    </row>
    <row r="331" spans="42:42" ht="15" customHeight="1" x14ac:dyDescent="0.2">
      <c r="AP331" s="63"/>
    </row>
    <row r="332" spans="42:42" ht="15" customHeight="1" x14ac:dyDescent="0.2">
      <c r="AP332" s="63"/>
    </row>
    <row r="333" spans="42:42" ht="15" customHeight="1" x14ac:dyDescent="0.2">
      <c r="AP333" s="63"/>
    </row>
    <row r="334" spans="42:42" ht="15" customHeight="1" x14ac:dyDescent="0.2">
      <c r="AP334" s="63"/>
    </row>
    <row r="335" spans="42:42" ht="15" customHeight="1" x14ac:dyDescent="0.2">
      <c r="AP335" s="63"/>
    </row>
    <row r="336" spans="42:42" ht="15" customHeight="1" x14ac:dyDescent="0.2">
      <c r="AP336" s="63"/>
    </row>
    <row r="337" spans="42:42" ht="15" customHeight="1" x14ac:dyDescent="0.2">
      <c r="AP337" s="63"/>
    </row>
    <row r="338" spans="42:42" ht="15" customHeight="1" x14ac:dyDescent="0.2">
      <c r="AP338" s="63"/>
    </row>
    <row r="339" spans="42:42" ht="15" customHeight="1" x14ac:dyDescent="0.2">
      <c r="AP339" s="63"/>
    </row>
    <row r="340" spans="42:42" ht="15" customHeight="1" x14ac:dyDescent="0.2">
      <c r="AP340" s="63"/>
    </row>
    <row r="341" spans="42:42" ht="15" customHeight="1" x14ac:dyDescent="0.2">
      <c r="AP341" s="63"/>
    </row>
    <row r="342" spans="42:42" ht="15" customHeight="1" x14ac:dyDescent="0.2">
      <c r="AP342" s="63"/>
    </row>
    <row r="343" spans="42:42" ht="15" customHeight="1" x14ac:dyDescent="0.2">
      <c r="AP343" s="63"/>
    </row>
    <row r="344" spans="42:42" ht="15" customHeight="1" x14ac:dyDescent="0.2">
      <c r="AP344" s="63"/>
    </row>
    <row r="345" spans="42:42" ht="15" customHeight="1" x14ac:dyDescent="0.2">
      <c r="AP345" s="63"/>
    </row>
    <row r="346" spans="42:42" ht="15" customHeight="1" x14ac:dyDescent="0.2">
      <c r="AP346" s="63"/>
    </row>
    <row r="347" spans="42:42" ht="15" customHeight="1" x14ac:dyDescent="0.2">
      <c r="AP347" s="63"/>
    </row>
    <row r="348" spans="42:42" ht="15" customHeight="1" x14ac:dyDescent="0.2">
      <c r="AP348" s="63"/>
    </row>
    <row r="349" spans="42:42" ht="15" customHeight="1" x14ac:dyDescent="0.2">
      <c r="AP349" s="63"/>
    </row>
    <row r="350" spans="42:42" ht="15" customHeight="1" x14ac:dyDescent="0.2">
      <c r="AP350" s="63"/>
    </row>
    <row r="351" spans="42:42" ht="15" customHeight="1" x14ac:dyDescent="0.2">
      <c r="AP351" s="63"/>
    </row>
    <row r="352" spans="42:42" ht="15" customHeight="1" x14ac:dyDescent="0.2">
      <c r="AP352" s="63"/>
    </row>
    <row r="353" spans="42:42" ht="15" customHeight="1" x14ac:dyDescent="0.2">
      <c r="AP353" s="63"/>
    </row>
    <row r="354" spans="42:42" ht="15" customHeight="1" x14ac:dyDescent="0.2">
      <c r="AP354" s="63"/>
    </row>
    <row r="355" spans="42:42" ht="15" customHeight="1" x14ac:dyDescent="0.2">
      <c r="AP355" s="63"/>
    </row>
    <row r="356" spans="42:42" ht="15" customHeight="1" x14ac:dyDescent="0.2">
      <c r="AP356" s="63"/>
    </row>
    <row r="357" spans="42:42" ht="15" customHeight="1" x14ac:dyDescent="0.2">
      <c r="AP357" s="63"/>
    </row>
    <row r="358" spans="42:42" ht="15" customHeight="1" x14ac:dyDescent="0.2">
      <c r="AP358" s="63"/>
    </row>
    <row r="359" spans="42:42" ht="15" customHeight="1" x14ac:dyDescent="0.2">
      <c r="AP359" s="63"/>
    </row>
    <row r="360" spans="42:42" ht="15" customHeight="1" x14ac:dyDescent="0.2">
      <c r="AP360" s="63"/>
    </row>
    <row r="361" spans="42:42" ht="15" customHeight="1" x14ac:dyDescent="0.2">
      <c r="AP361" s="63"/>
    </row>
    <row r="362" spans="42:42" ht="15" customHeight="1" x14ac:dyDescent="0.2">
      <c r="AP362" s="63"/>
    </row>
    <row r="363" spans="42:42" ht="15" customHeight="1" x14ac:dyDescent="0.2">
      <c r="AP363" s="63"/>
    </row>
    <row r="364" spans="42:42" ht="15" customHeight="1" x14ac:dyDescent="0.2">
      <c r="AP364" s="63"/>
    </row>
    <row r="365" spans="42:42" ht="15" customHeight="1" x14ac:dyDescent="0.2">
      <c r="AP365" s="63"/>
    </row>
    <row r="366" spans="42:42" ht="15" customHeight="1" x14ac:dyDescent="0.2">
      <c r="AP366" s="63"/>
    </row>
    <row r="367" spans="42:42" ht="15" customHeight="1" x14ac:dyDescent="0.2">
      <c r="AP367" s="63"/>
    </row>
    <row r="368" spans="42:42" ht="15" customHeight="1" x14ac:dyDescent="0.2">
      <c r="AP368" s="63"/>
    </row>
    <row r="369" spans="42:42" ht="15" customHeight="1" x14ac:dyDescent="0.2">
      <c r="AP369" s="63"/>
    </row>
    <row r="370" spans="42:42" ht="15" customHeight="1" x14ac:dyDescent="0.2">
      <c r="AP370" s="63"/>
    </row>
    <row r="371" spans="42:42" ht="15" customHeight="1" x14ac:dyDescent="0.2">
      <c r="AP371" s="63"/>
    </row>
    <row r="372" spans="42:42" ht="15" customHeight="1" x14ac:dyDescent="0.2">
      <c r="AP372" s="63"/>
    </row>
    <row r="373" spans="42:42" ht="15" customHeight="1" x14ac:dyDescent="0.2">
      <c r="AP373" s="63"/>
    </row>
    <row r="374" spans="42:42" ht="15" customHeight="1" x14ac:dyDescent="0.2">
      <c r="AP374" s="63"/>
    </row>
    <row r="375" spans="42:42" ht="15" customHeight="1" x14ac:dyDescent="0.2">
      <c r="AP375" s="63"/>
    </row>
    <row r="376" spans="42:42" ht="15" customHeight="1" x14ac:dyDescent="0.2">
      <c r="AP376" s="63"/>
    </row>
    <row r="377" spans="42:42" ht="15" customHeight="1" x14ac:dyDescent="0.2">
      <c r="AP377" s="63"/>
    </row>
    <row r="378" spans="42:42" ht="15" customHeight="1" x14ac:dyDescent="0.2">
      <c r="AP378" s="63"/>
    </row>
    <row r="379" spans="42:42" ht="15" customHeight="1" x14ac:dyDescent="0.2">
      <c r="AP379" s="63"/>
    </row>
    <row r="380" spans="42:42" ht="15" customHeight="1" x14ac:dyDescent="0.2">
      <c r="AP380" s="63"/>
    </row>
    <row r="381" spans="42:42" ht="15" customHeight="1" x14ac:dyDescent="0.2">
      <c r="AP381" s="63"/>
    </row>
    <row r="382" spans="42:42" ht="15" customHeight="1" x14ac:dyDescent="0.2">
      <c r="AP382" s="63"/>
    </row>
    <row r="383" spans="42:42" ht="15" customHeight="1" x14ac:dyDescent="0.2">
      <c r="AP383" s="63"/>
    </row>
    <row r="384" spans="42:42" ht="15" customHeight="1" x14ac:dyDescent="0.2">
      <c r="AP384" s="63"/>
    </row>
    <row r="385" spans="42:42" ht="15" customHeight="1" x14ac:dyDescent="0.2">
      <c r="AP385" s="63"/>
    </row>
    <row r="386" spans="42:42" ht="15" customHeight="1" x14ac:dyDescent="0.2">
      <c r="AP386" s="63"/>
    </row>
    <row r="387" spans="42:42" ht="15" customHeight="1" x14ac:dyDescent="0.2">
      <c r="AP387" s="63"/>
    </row>
    <row r="388" spans="42:42" ht="15" customHeight="1" x14ac:dyDescent="0.2">
      <c r="AP388" s="63"/>
    </row>
    <row r="389" spans="42:42" ht="15" customHeight="1" x14ac:dyDescent="0.2">
      <c r="AP389" s="63"/>
    </row>
    <row r="390" spans="42:42" ht="15" customHeight="1" x14ac:dyDescent="0.2">
      <c r="AP390" s="63"/>
    </row>
    <row r="391" spans="42:42" ht="15" customHeight="1" x14ac:dyDescent="0.2">
      <c r="AP391" s="63"/>
    </row>
    <row r="392" spans="42:42" ht="15" customHeight="1" x14ac:dyDescent="0.2">
      <c r="AP392" s="63"/>
    </row>
    <row r="393" spans="42:42" ht="15" customHeight="1" x14ac:dyDescent="0.2">
      <c r="AP393" s="63"/>
    </row>
    <row r="394" spans="42:42" ht="15" customHeight="1" x14ac:dyDescent="0.2">
      <c r="AP394" s="63"/>
    </row>
    <row r="395" spans="42:42" ht="15" customHeight="1" x14ac:dyDescent="0.2">
      <c r="AP395" s="63"/>
    </row>
    <row r="396" spans="42:42" ht="15" customHeight="1" x14ac:dyDescent="0.2">
      <c r="AP396" s="63"/>
    </row>
    <row r="397" spans="42:42" ht="15" customHeight="1" x14ac:dyDescent="0.2">
      <c r="AP397" s="63"/>
    </row>
    <row r="398" spans="42:42" ht="15" customHeight="1" x14ac:dyDescent="0.2">
      <c r="AP398" s="63"/>
    </row>
    <row r="399" spans="42:42" ht="15" customHeight="1" x14ac:dyDescent="0.2">
      <c r="AP399" s="63"/>
    </row>
    <row r="400" spans="42:42" ht="15" customHeight="1" x14ac:dyDescent="0.2">
      <c r="AP400" s="63"/>
    </row>
  </sheetData>
  <sortState xmlns:xlrd2="http://schemas.microsoft.com/office/spreadsheetml/2017/richdata2" ref="BS7:BX11">
    <sortCondition ref="BS6:BS11"/>
  </sortState>
  <mergeCells count="170">
    <mergeCell ref="FU1:FV1"/>
    <mergeCell ref="FW1:FZ1"/>
    <mergeCell ref="GA1:GB1"/>
    <mergeCell ref="GC1:GD1"/>
    <mergeCell ref="FU2:FV2"/>
    <mergeCell ref="FW2:FZ2"/>
    <mergeCell ref="GA2:GB2"/>
    <mergeCell ref="GC2:GD2"/>
    <mergeCell ref="FU4:FW4"/>
    <mergeCell ref="FY4:GD4"/>
    <mergeCell ref="FJ1:FK1"/>
    <mergeCell ref="FL1:FO1"/>
    <mergeCell ref="FP1:FQ1"/>
    <mergeCell ref="FR1:FS1"/>
    <mergeCell ref="FJ2:FK2"/>
    <mergeCell ref="FL2:FO2"/>
    <mergeCell ref="FP2:FQ2"/>
    <mergeCell ref="FR2:FS2"/>
    <mergeCell ref="FJ4:FL4"/>
    <mergeCell ref="FN4:FS4"/>
    <mergeCell ref="EY1:EZ1"/>
    <mergeCell ref="FA1:FD1"/>
    <mergeCell ref="FE1:FF1"/>
    <mergeCell ref="FG1:FH1"/>
    <mergeCell ref="EY2:EZ2"/>
    <mergeCell ref="FA2:FD2"/>
    <mergeCell ref="FE2:FF2"/>
    <mergeCell ref="FG2:FH2"/>
    <mergeCell ref="EY4:FA4"/>
    <mergeCell ref="FC4:FH4"/>
    <mergeCell ref="EN1:EO1"/>
    <mergeCell ref="EP1:ES1"/>
    <mergeCell ref="ET1:EU1"/>
    <mergeCell ref="EV1:EW1"/>
    <mergeCell ref="EN2:EO2"/>
    <mergeCell ref="EP2:ES2"/>
    <mergeCell ref="ET2:EU2"/>
    <mergeCell ref="EV2:EW2"/>
    <mergeCell ref="EN4:EP4"/>
    <mergeCell ref="ER4:EW4"/>
    <mergeCell ref="EC1:ED1"/>
    <mergeCell ref="EE1:EH1"/>
    <mergeCell ref="EI1:EJ1"/>
    <mergeCell ref="EK1:EL1"/>
    <mergeCell ref="EC2:ED2"/>
    <mergeCell ref="EE2:EH2"/>
    <mergeCell ref="EI2:EJ2"/>
    <mergeCell ref="EK2:EL2"/>
    <mergeCell ref="EC4:EE4"/>
    <mergeCell ref="EG4:EL4"/>
    <mergeCell ref="DG4:DI4"/>
    <mergeCell ref="DK4:DP4"/>
    <mergeCell ref="DG1:DH1"/>
    <mergeCell ref="DI1:DL1"/>
    <mergeCell ref="DM1:DN1"/>
    <mergeCell ref="DO1:DP1"/>
    <mergeCell ref="DG2:DH2"/>
    <mergeCell ref="DI2:DL2"/>
    <mergeCell ref="DM2:DN2"/>
    <mergeCell ref="DO2:DP2"/>
    <mergeCell ref="CZ4:DE4"/>
    <mergeCell ref="CV1:CW1"/>
    <mergeCell ref="CX1:DA1"/>
    <mergeCell ref="DB1:DC1"/>
    <mergeCell ref="DD1:DE1"/>
    <mergeCell ref="CV2:CW2"/>
    <mergeCell ref="CX2:DA2"/>
    <mergeCell ref="DB2:DC2"/>
    <mergeCell ref="DD2:DE2"/>
    <mergeCell ref="AS4:AU4"/>
    <mergeCell ref="AW4:BB4"/>
    <mergeCell ref="BD2:BE2"/>
    <mergeCell ref="BF2:BI2"/>
    <mergeCell ref="BJ2:BK2"/>
    <mergeCell ref="BL2:BM2"/>
    <mergeCell ref="BD4:BF4"/>
    <mergeCell ref="BH4:BM4"/>
    <mergeCell ref="CV4:CX4"/>
    <mergeCell ref="CD4:CI4"/>
    <mergeCell ref="A1:B1"/>
    <mergeCell ref="A2:B2"/>
    <mergeCell ref="AH4:AJ4"/>
    <mergeCell ref="W4:Y4"/>
    <mergeCell ref="AA4:AF4"/>
    <mergeCell ref="L1:M1"/>
    <mergeCell ref="N1:Q1"/>
    <mergeCell ref="R1:S1"/>
    <mergeCell ref="L2:M2"/>
    <mergeCell ref="N2:Q2"/>
    <mergeCell ref="R2:S2"/>
    <mergeCell ref="W1:X1"/>
    <mergeCell ref="Y1:AB1"/>
    <mergeCell ref="AC1:AD1"/>
    <mergeCell ref="W2:X2"/>
    <mergeCell ref="A4:C4"/>
    <mergeCell ref="E4:J4"/>
    <mergeCell ref="G1:H1"/>
    <mergeCell ref="G2:H2"/>
    <mergeCell ref="C1:F1"/>
    <mergeCell ref="C2:F2"/>
    <mergeCell ref="I2:J2"/>
    <mergeCell ref="I1:J1"/>
    <mergeCell ref="L4:N4"/>
    <mergeCell ref="P4:U4"/>
    <mergeCell ref="BA2:BB2"/>
    <mergeCell ref="BA1:BB1"/>
    <mergeCell ref="AP2:AQ2"/>
    <mergeCell ref="AP1:AQ1"/>
    <mergeCell ref="AE2:AF2"/>
    <mergeCell ref="AE1:AF1"/>
    <mergeCell ref="AH1:AI1"/>
    <mergeCell ref="AJ1:AM1"/>
    <mergeCell ref="AN1:AO1"/>
    <mergeCell ref="AL4:AQ4"/>
    <mergeCell ref="AJ2:AM2"/>
    <mergeCell ref="AN2:AO2"/>
    <mergeCell ref="AS1:AT1"/>
    <mergeCell ref="AU1:AX1"/>
    <mergeCell ref="Y2:AB2"/>
    <mergeCell ref="AC2:AD2"/>
    <mergeCell ref="AH2:AI2"/>
    <mergeCell ref="AY1:AZ1"/>
    <mergeCell ref="T2:U2"/>
    <mergeCell ref="T1:U1"/>
    <mergeCell ref="AS2:AT2"/>
    <mergeCell ref="AU2:AX2"/>
    <mergeCell ref="AY2:AZ2"/>
    <mergeCell ref="BD1:BE1"/>
    <mergeCell ref="BF1:BI1"/>
    <mergeCell ref="BJ1:BK1"/>
    <mergeCell ref="BL1:BM1"/>
    <mergeCell ref="BO1:BP1"/>
    <mergeCell ref="BQ1:BT1"/>
    <mergeCell ref="BU1:BV1"/>
    <mergeCell ref="BW1:BX1"/>
    <mergeCell ref="BZ4:CB4"/>
    <mergeCell ref="BZ1:CA1"/>
    <mergeCell ref="BZ2:CA2"/>
    <mergeCell ref="BO4:BQ4"/>
    <mergeCell ref="BS4:BX4"/>
    <mergeCell ref="BO2:BP2"/>
    <mergeCell ref="BQ2:BT2"/>
    <mergeCell ref="BU2:BV2"/>
    <mergeCell ref="BW2:BX2"/>
    <mergeCell ref="CB1:CE1"/>
    <mergeCell ref="CF1:CG1"/>
    <mergeCell ref="CH1:CI1"/>
    <mergeCell ref="CB2:CE2"/>
    <mergeCell ref="CF2:CG2"/>
    <mergeCell ref="CH2:CI2"/>
    <mergeCell ref="CK1:CL1"/>
    <mergeCell ref="CM1:CP1"/>
    <mergeCell ref="CQ1:CR1"/>
    <mergeCell ref="CK4:CM4"/>
    <mergeCell ref="CO4:CT4"/>
    <mergeCell ref="CS1:CT1"/>
    <mergeCell ref="CK2:CL2"/>
    <mergeCell ref="CM2:CP2"/>
    <mergeCell ref="CQ2:CR2"/>
    <mergeCell ref="CS2:CT2"/>
    <mergeCell ref="DR1:DS1"/>
    <mergeCell ref="DT1:DW1"/>
    <mergeCell ref="DX1:DY1"/>
    <mergeCell ref="DZ1:EA1"/>
    <mergeCell ref="DR2:DS2"/>
    <mergeCell ref="DT2:DW2"/>
    <mergeCell ref="DX2:DY2"/>
    <mergeCell ref="DZ2:EA2"/>
    <mergeCell ref="DR4:DT4"/>
    <mergeCell ref="DV4:EA4"/>
  </mergeCells>
  <phoneticPr fontId="2" type="noConversion"/>
  <conditionalFormatting sqref="I1:I2 T1:T2 AE1:AE2 AP1:AP2 BA1:BA2 U3:U1048576">
    <cfRule type="containsText" dxfId="2192" priority="367" operator="containsText" text="PROGRAMADO">
      <formula>NOT(ISERROR(SEARCH("PROGRAMADO",I1)))</formula>
    </cfRule>
    <cfRule type="containsText" dxfId="2191" priority="368" operator="containsText" text="EM ABERTO">
      <formula>NOT(ISERROR(SEARCH("EM ABERTO",I1)))</formula>
    </cfRule>
    <cfRule type="containsText" dxfId="2190" priority="369" operator="containsText" text="PAGO">
      <formula>NOT(ISERROR(SEARCH("PAGO",I1)))</formula>
    </cfRule>
    <cfRule type="containsText" dxfId="2189" priority="370" operator="containsText" text="PAGO">
      <formula>NOT(ISERROR(SEARCH("PAGO",I1)))</formula>
    </cfRule>
  </conditionalFormatting>
  <conditionalFormatting sqref="J3:J7 J46:J1048576">
    <cfRule type="containsText" dxfId="2188" priority="207" operator="containsText" text="PROGRAMADO">
      <formula>NOT(ISERROR(SEARCH("PROGRAMADO",J3)))</formula>
    </cfRule>
    <cfRule type="containsText" dxfId="2187" priority="208" operator="containsText" text="EM ABERTO">
      <formula>NOT(ISERROR(SEARCH("EM ABERTO",J3)))</formula>
    </cfRule>
    <cfRule type="containsText" dxfId="2186" priority="209" operator="containsText" text="PAGO">
      <formula>NOT(ISERROR(SEARCH("PAGO",J3)))</formula>
    </cfRule>
    <cfRule type="containsText" dxfId="2185" priority="210" operator="containsText" text="PAGO">
      <formula>NOT(ISERROR(SEARCH("PAGO",J3)))</formula>
    </cfRule>
  </conditionalFormatting>
  <conditionalFormatting sqref="AF3:AF14">
    <cfRule type="containsText" dxfId="2184" priority="243" operator="containsText" text="PROGRAMADO">
      <formula>NOT(ISERROR(SEARCH("PROGRAMADO",AF3)))</formula>
    </cfRule>
    <cfRule type="containsText" dxfId="2183" priority="244" operator="containsText" text="EM ABERTO">
      <formula>NOT(ISERROR(SEARCH("EM ABERTO",AF3)))</formula>
    </cfRule>
    <cfRule type="containsText" dxfId="2182" priority="245" operator="containsText" text="PAGO">
      <formula>NOT(ISERROR(SEARCH("PAGO",AF3)))</formula>
    </cfRule>
  </conditionalFormatting>
  <conditionalFormatting sqref="AF3:AF1048576">
    <cfRule type="containsText" dxfId="2181" priority="242" operator="containsText" text="PAGO">
      <formula>NOT(ISERROR(SEARCH("PAGO",AF3)))</formula>
    </cfRule>
  </conditionalFormatting>
  <conditionalFormatting sqref="AF13">
    <cfRule type="containsText" dxfId="2180" priority="239" operator="containsText" text="PROGRAMADO">
      <formula>NOT(ISERROR(SEARCH("PROGRAMADO",AF13)))</formula>
    </cfRule>
    <cfRule type="containsText" dxfId="2179" priority="240" operator="containsText" text="EM ABERTO">
      <formula>NOT(ISERROR(SEARCH("EM ABERTO",AF13)))</formula>
    </cfRule>
    <cfRule type="containsText" dxfId="2178" priority="241" operator="containsText" text="PAGO">
      <formula>NOT(ISERROR(SEARCH("PAGO",AF13)))</formula>
    </cfRule>
  </conditionalFormatting>
  <conditionalFormatting sqref="AF14:AF1048576">
    <cfRule type="containsText" dxfId="2177" priority="251" operator="containsText" text="PROGRAMADO">
      <formula>NOT(ISERROR(SEARCH("PROGRAMADO",AF14)))</formula>
    </cfRule>
    <cfRule type="containsText" dxfId="2176" priority="252" operator="containsText" text="EM ABERTO">
      <formula>NOT(ISERROR(SEARCH("EM ABERTO",AF14)))</formula>
    </cfRule>
    <cfRule type="containsText" dxfId="2175" priority="253" operator="containsText" text="PAGO">
      <formula>NOT(ISERROR(SEARCH("PAGO",AF14)))</formula>
    </cfRule>
  </conditionalFormatting>
  <conditionalFormatting sqref="AQ3:AQ10">
    <cfRule type="containsText" dxfId="2174" priority="259" operator="containsText" text="PROGRAMADO">
      <formula>NOT(ISERROR(SEARCH("PROGRAMADO",AQ3)))</formula>
    </cfRule>
    <cfRule type="containsText" dxfId="2173" priority="260" operator="containsText" text="EM ABERTO">
      <formula>NOT(ISERROR(SEARCH("EM ABERTO",AQ3)))</formula>
    </cfRule>
    <cfRule type="containsText" dxfId="2172" priority="261" operator="containsText" text="PAGO">
      <formula>NOT(ISERROR(SEARCH("PAGO",AQ3)))</formula>
    </cfRule>
  </conditionalFormatting>
  <conditionalFormatting sqref="AQ3:AQ1048576">
    <cfRule type="containsText" dxfId="2171" priority="258" operator="containsText" text="PAGO">
      <formula>NOT(ISERROR(SEARCH("PAGO",AQ3)))</formula>
    </cfRule>
  </conditionalFormatting>
  <conditionalFormatting sqref="AQ9">
    <cfRule type="containsText" dxfId="2170" priority="255" operator="containsText" text="PROGRAMADO">
      <formula>NOT(ISERROR(SEARCH("PROGRAMADO",AQ9)))</formula>
    </cfRule>
    <cfRule type="containsText" dxfId="2169" priority="256" operator="containsText" text="EM ABERTO">
      <formula>NOT(ISERROR(SEARCH("EM ABERTO",AQ9)))</formula>
    </cfRule>
    <cfRule type="containsText" dxfId="2168" priority="257" operator="containsText" text="PAGO">
      <formula>NOT(ISERROR(SEARCH("PAGO",AQ9)))</formula>
    </cfRule>
  </conditionalFormatting>
  <conditionalFormatting sqref="AQ10:AQ1048576">
    <cfRule type="containsText" dxfId="2167" priority="343" operator="containsText" text="PROGRAMADO">
      <formula>NOT(ISERROR(SEARCH("PROGRAMADO",AQ10)))</formula>
    </cfRule>
    <cfRule type="containsText" dxfId="2166" priority="344" operator="containsText" text="EM ABERTO">
      <formula>NOT(ISERROR(SEARCH("EM ABERTO",AQ10)))</formula>
    </cfRule>
    <cfRule type="containsText" dxfId="2165" priority="345" operator="containsText" text="PAGO">
      <formula>NOT(ISERROR(SEARCH("PAGO",AQ10)))</formula>
    </cfRule>
  </conditionalFormatting>
  <conditionalFormatting sqref="BB3:BB6 BB8 BB20:BB1048576">
    <cfRule type="containsText" dxfId="2164" priority="279" operator="containsText" text="PROGRAMADO">
      <formula>NOT(ISERROR(SEARCH("PROGRAMADO",BB3)))</formula>
    </cfRule>
    <cfRule type="containsText" dxfId="2163" priority="280" operator="containsText" text="EM ABERTO">
      <formula>NOT(ISERROR(SEARCH("EM ABERTO",BB3)))</formula>
    </cfRule>
    <cfRule type="containsText" dxfId="2162" priority="281" operator="containsText" text="PAGO">
      <formula>NOT(ISERROR(SEARCH("PAGO",BB3)))</formula>
    </cfRule>
    <cfRule type="containsText" dxfId="2161" priority="282" operator="containsText" text="PAGO">
      <formula>NOT(ISERROR(SEARCH("PAGO",BB3)))</formula>
    </cfRule>
  </conditionalFormatting>
  <conditionalFormatting sqref="BF1:BI1">
    <cfRule type="containsText" dxfId="2160" priority="267" operator="containsText" text="DESCANSO">
      <formula>NOT(ISERROR(SEARCH("DESCANSO",BF1)))</formula>
    </cfRule>
    <cfRule type="containsText" dxfId="2159" priority="268" operator="containsText" text="FALTOU">
      <formula>NOT(ISERROR(SEARCH("FALTOU",BF1)))</formula>
    </cfRule>
  </conditionalFormatting>
  <conditionalFormatting sqref="BL1:BL2 BM3:BM1048576">
    <cfRule type="containsText" dxfId="2158" priority="269" operator="containsText" text="PROGRAMADO">
      <formula>NOT(ISERROR(SEARCH("PROGRAMADO",BL1)))</formula>
    </cfRule>
    <cfRule type="containsText" dxfId="2157" priority="270" operator="containsText" text="EM ABERTO">
      <formula>NOT(ISERROR(SEARCH("EM ABERTO",BL1)))</formula>
    </cfRule>
    <cfRule type="containsText" dxfId="2156" priority="271" operator="containsText" text="PAGO">
      <formula>NOT(ISERROR(SEARCH("PAGO",BL1)))</formula>
    </cfRule>
    <cfRule type="containsText" dxfId="2155" priority="272" operator="containsText" text="PAGO">
      <formula>NOT(ISERROR(SEARCH("PAGO",BL1)))</formula>
    </cfRule>
  </conditionalFormatting>
  <conditionalFormatting sqref="BQ1:BT1">
    <cfRule type="containsText" dxfId="2154" priority="211" operator="containsText" text="DESCANSO">
      <formula>NOT(ISERROR(SEARCH("DESCANSO",BQ1)))</formula>
    </cfRule>
    <cfRule type="containsText" dxfId="2153" priority="212" operator="containsText" text="FALTOU">
      <formula>NOT(ISERROR(SEARCH("FALTOU",BQ1)))</formula>
    </cfRule>
  </conditionalFormatting>
  <conditionalFormatting sqref="BW1:BW2 BX3:BX1048576">
    <cfRule type="containsText" dxfId="2152" priority="213" operator="containsText" text="PROGRAMADO">
      <formula>NOT(ISERROR(SEARCH("PROGRAMADO",BW1)))</formula>
    </cfRule>
    <cfRule type="containsText" dxfId="2151" priority="214" operator="containsText" text="EM ABERTO">
      <formula>NOT(ISERROR(SEARCH("EM ABERTO",BW1)))</formula>
    </cfRule>
    <cfRule type="containsText" dxfId="2150" priority="215" operator="containsText" text="PAGO">
      <formula>NOT(ISERROR(SEARCH("PAGO",BW1)))</formula>
    </cfRule>
    <cfRule type="containsText" dxfId="2149" priority="216" operator="containsText" text="PAGO">
      <formula>NOT(ISERROR(SEARCH("PAGO",BW1)))</formula>
    </cfRule>
  </conditionalFormatting>
  <conditionalFormatting sqref="CB1:CE1">
    <cfRule type="containsText" dxfId="2148" priority="185" operator="containsText" text="DESCANSO">
      <formula>NOT(ISERROR(SEARCH("DESCANSO",CB1)))</formula>
    </cfRule>
    <cfRule type="containsText" dxfId="2147" priority="186" operator="containsText" text="FALTOU">
      <formula>NOT(ISERROR(SEARCH("FALTOU",CB1)))</formula>
    </cfRule>
  </conditionalFormatting>
  <conditionalFormatting sqref="CH1:CH2 CI3:CI1048576">
    <cfRule type="containsText" dxfId="2146" priority="187" operator="containsText" text="PROGRAMADO">
      <formula>NOT(ISERROR(SEARCH("PROGRAMADO",CH1)))</formula>
    </cfRule>
    <cfRule type="containsText" dxfId="2145" priority="188" operator="containsText" text="EM ABERTO">
      <formula>NOT(ISERROR(SEARCH("EM ABERTO",CH1)))</formula>
    </cfRule>
    <cfRule type="containsText" dxfId="2144" priority="189" operator="containsText" text="PAGO">
      <formula>NOT(ISERROR(SEARCH("PAGO",CH1)))</formula>
    </cfRule>
    <cfRule type="containsText" dxfId="2143" priority="190" operator="containsText" text="PAGO">
      <formula>NOT(ISERROR(SEARCH("PAGO",CH1)))</formula>
    </cfRule>
  </conditionalFormatting>
  <conditionalFormatting sqref="CM1:CP1">
    <cfRule type="containsText" dxfId="2142" priority="179" operator="containsText" text="DESCANSO">
      <formula>NOT(ISERROR(SEARCH("DESCANSO",CM1)))</formula>
    </cfRule>
    <cfRule type="containsText" dxfId="2141" priority="180" operator="containsText" text="FALTOU">
      <formula>NOT(ISERROR(SEARCH("FALTOU",CM1)))</formula>
    </cfRule>
  </conditionalFormatting>
  <conditionalFormatting sqref="CS1:CS2 CT3:CT1048576">
    <cfRule type="containsText" dxfId="2140" priority="181" operator="containsText" text="PROGRAMADO">
      <formula>NOT(ISERROR(SEARCH("PROGRAMADO",CS1)))</formula>
    </cfRule>
    <cfRule type="containsText" dxfId="2139" priority="182" operator="containsText" text="EM ABERTO">
      <formula>NOT(ISERROR(SEARCH("EM ABERTO",CS1)))</formula>
    </cfRule>
    <cfRule type="containsText" dxfId="2138" priority="183" operator="containsText" text="PAGO">
      <formula>NOT(ISERROR(SEARCH("PAGO",CS1)))</formula>
    </cfRule>
    <cfRule type="containsText" dxfId="2137" priority="184" operator="containsText" text="PAGO">
      <formula>NOT(ISERROR(SEARCH("PAGO",CS1)))</formula>
    </cfRule>
  </conditionalFormatting>
  <conditionalFormatting sqref="CX1:DA1">
    <cfRule type="containsText" dxfId="2136" priority="173" operator="containsText" text="DESCANSO">
      <formula>NOT(ISERROR(SEARCH("DESCANSO",CX1)))</formula>
    </cfRule>
    <cfRule type="containsText" dxfId="2135" priority="174" operator="containsText" text="FALTOU">
      <formula>NOT(ISERROR(SEARCH("FALTOU",CX1)))</formula>
    </cfRule>
  </conditionalFormatting>
  <conditionalFormatting sqref="DD1:DD2 DE3:DE1048576">
    <cfRule type="containsText" dxfId="2134" priority="175" operator="containsText" text="PROGRAMADO">
      <formula>NOT(ISERROR(SEARCH("PROGRAMADO",DD1)))</formula>
    </cfRule>
    <cfRule type="containsText" dxfId="2133" priority="176" operator="containsText" text="EM ABERTO">
      <formula>NOT(ISERROR(SEARCH("EM ABERTO",DD1)))</formula>
    </cfRule>
    <cfRule type="containsText" dxfId="2132" priority="177" operator="containsText" text="PAGO">
      <formula>NOT(ISERROR(SEARCH("PAGO",DD1)))</formula>
    </cfRule>
    <cfRule type="containsText" dxfId="2131" priority="178" operator="containsText" text="PAGO">
      <formula>NOT(ISERROR(SEARCH("PAGO",DD1)))</formula>
    </cfRule>
  </conditionalFormatting>
  <conditionalFormatting sqref="DI1:DL1">
    <cfRule type="containsText" dxfId="2130" priority="167" operator="containsText" text="DESCANSO">
      <formula>NOT(ISERROR(SEARCH("DESCANSO",DI1)))</formula>
    </cfRule>
    <cfRule type="containsText" dxfId="2129" priority="168" operator="containsText" text="FALTOU">
      <formula>NOT(ISERROR(SEARCH("FALTOU",DI1)))</formula>
    </cfRule>
  </conditionalFormatting>
  <conditionalFormatting sqref="DO1:DO2 DP3:DP1048576">
    <cfRule type="containsText" dxfId="2128" priority="169" operator="containsText" text="PROGRAMADO">
      <formula>NOT(ISERROR(SEARCH("PROGRAMADO",DO1)))</formula>
    </cfRule>
    <cfRule type="containsText" dxfId="2127" priority="170" operator="containsText" text="EM ABERTO">
      <formula>NOT(ISERROR(SEARCH("EM ABERTO",DO1)))</formula>
    </cfRule>
    <cfRule type="containsText" dxfId="2126" priority="171" operator="containsText" text="PAGO">
      <formula>NOT(ISERROR(SEARCH("PAGO",DO1)))</formula>
    </cfRule>
    <cfRule type="containsText" dxfId="2125" priority="172" operator="containsText" text="PAGO">
      <formula>NOT(ISERROR(SEARCH("PAGO",DO1)))</formula>
    </cfRule>
  </conditionalFormatting>
  <conditionalFormatting sqref="BB7">
    <cfRule type="containsText" dxfId="2124" priority="163" operator="containsText" text="PROGRAMADO">
      <formula>NOT(ISERROR(SEARCH("PROGRAMADO",BB7)))</formula>
    </cfRule>
    <cfRule type="containsText" dxfId="2123" priority="164" operator="containsText" text="EM ABERTO">
      <formula>NOT(ISERROR(SEARCH("EM ABERTO",BB7)))</formula>
    </cfRule>
    <cfRule type="containsText" dxfId="2122" priority="165" operator="containsText" text="PAGO">
      <formula>NOT(ISERROR(SEARCH("PAGO",BB7)))</formula>
    </cfRule>
    <cfRule type="containsText" dxfId="2121" priority="166" operator="containsText" text="PAGO">
      <formula>NOT(ISERROR(SEARCH("PAGO",BB7)))</formula>
    </cfRule>
  </conditionalFormatting>
  <conditionalFormatting sqref="BB9:BB15">
    <cfRule type="containsText" dxfId="2120" priority="159" operator="containsText" text="PROGRAMADO">
      <formula>NOT(ISERROR(SEARCH("PROGRAMADO",BB9)))</formula>
    </cfRule>
    <cfRule type="containsText" dxfId="2119" priority="160" operator="containsText" text="EM ABERTO">
      <formula>NOT(ISERROR(SEARCH("EM ABERTO",BB9)))</formula>
    </cfRule>
    <cfRule type="containsText" dxfId="2118" priority="161" operator="containsText" text="PAGO">
      <formula>NOT(ISERROR(SEARCH("PAGO",BB9)))</formula>
    </cfRule>
    <cfRule type="containsText" dxfId="2117" priority="162" operator="containsText" text="PAGO">
      <formula>NOT(ISERROR(SEARCH("PAGO",BB9)))</formula>
    </cfRule>
  </conditionalFormatting>
  <conditionalFormatting sqref="BB16">
    <cfRule type="containsText" dxfId="2116" priority="138" operator="containsText" text="PROGRAMADO">
      <formula>NOT(ISERROR(SEARCH("PROGRAMADO",BB16)))</formula>
    </cfRule>
    <cfRule type="containsText" dxfId="2115" priority="139" operator="containsText" text="EM ABERTO">
      <formula>NOT(ISERROR(SEARCH("EM ABERTO",BB16)))</formula>
    </cfRule>
    <cfRule type="containsText" dxfId="2114" priority="140" operator="containsText" text="PAGO">
      <formula>NOT(ISERROR(SEARCH("PAGO",BB16)))</formula>
    </cfRule>
  </conditionalFormatting>
  <conditionalFormatting sqref="BB16">
    <cfRule type="containsText" dxfId="2113" priority="137" operator="containsText" text="PAGO">
      <formula>NOT(ISERROR(SEARCH("PAGO",BB16)))</formula>
    </cfRule>
  </conditionalFormatting>
  <conditionalFormatting sqref="J8:J18">
    <cfRule type="containsText" dxfId="2112" priority="133" operator="containsText" text="PROGRAMADO">
      <formula>NOT(ISERROR(SEARCH("PROGRAMADO",J8)))</formula>
    </cfRule>
    <cfRule type="containsText" dxfId="2111" priority="134" operator="containsText" text="EM ABERTO">
      <formula>NOT(ISERROR(SEARCH("EM ABERTO",J8)))</formula>
    </cfRule>
    <cfRule type="containsText" dxfId="2110" priority="135" operator="containsText" text="PAGO">
      <formula>NOT(ISERROR(SEARCH("PAGO",J8)))</formula>
    </cfRule>
    <cfRule type="containsText" dxfId="2109" priority="136" operator="containsText" text="PAGO">
      <formula>NOT(ISERROR(SEARCH("PAGO",J8)))</formula>
    </cfRule>
  </conditionalFormatting>
  <conditionalFormatting sqref="BB17">
    <cfRule type="containsText" dxfId="2108" priority="130" operator="containsText" text="PROGRAMADO">
      <formula>NOT(ISERROR(SEARCH("PROGRAMADO",BB17)))</formula>
    </cfRule>
    <cfRule type="containsText" dxfId="2107" priority="131" operator="containsText" text="EM ABERTO">
      <formula>NOT(ISERROR(SEARCH("EM ABERTO",BB17)))</formula>
    </cfRule>
    <cfRule type="containsText" dxfId="2106" priority="132" operator="containsText" text="PAGO">
      <formula>NOT(ISERROR(SEARCH("PAGO",BB17)))</formula>
    </cfRule>
  </conditionalFormatting>
  <conditionalFormatting sqref="BB17">
    <cfRule type="containsText" dxfId="2105" priority="129" operator="containsText" text="PAGO">
      <formula>NOT(ISERROR(SEARCH("PAGO",BB17)))</formula>
    </cfRule>
  </conditionalFormatting>
  <conditionalFormatting sqref="BB18">
    <cfRule type="containsText" dxfId="2104" priority="126" operator="containsText" text="PROGRAMADO">
      <formula>NOT(ISERROR(SEARCH("PROGRAMADO",BB18)))</formula>
    </cfRule>
    <cfRule type="containsText" dxfId="2103" priority="127" operator="containsText" text="EM ABERTO">
      <formula>NOT(ISERROR(SEARCH("EM ABERTO",BB18)))</formula>
    </cfRule>
    <cfRule type="containsText" dxfId="2102" priority="128" operator="containsText" text="PAGO">
      <formula>NOT(ISERROR(SEARCH("PAGO",BB18)))</formula>
    </cfRule>
  </conditionalFormatting>
  <conditionalFormatting sqref="BB18">
    <cfRule type="containsText" dxfId="2101" priority="125" operator="containsText" text="PAGO">
      <formula>NOT(ISERROR(SEARCH("PAGO",BB18)))</formula>
    </cfRule>
  </conditionalFormatting>
  <conditionalFormatting sqref="J19:J32">
    <cfRule type="containsText" dxfId="2100" priority="121" operator="containsText" text="PROGRAMADO">
      <formula>NOT(ISERROR(SEARCH("PROGRAMADO",J19)))</formula>
    </cfRule>
    <cfRule type="containsText" dxfId="2099" priority="122" operator="containsText" text="EM ABERTO">
      <formula>NOT(ISERROR(SEARCH("EM ABERTO",J19)))</formula>
    </cfRule>
    <cfRule type="containsText" dxfId="2098" priority="123" operator="containsText" text="PAGO">
      <formula>NOT(ISERROR(SEARCH("PAGO",J19)))</formula>
    </cfRule>
    <cfRule type="containsText" dxfId="2097" priority="124" operator="containsText" text="PAGO">
      <formula>NOT(ISERROR(SEARCH("PAGO",J19)))</formula>
    </cfRule>
  </conditionalFormatting>
  <conditionalFormatting sqref="DT1:DW1">
    <cfRule type="containsText" dxfId="2096" priority="115" operator="containsText" text="DESCANSO">
      <formula>NOT(ISERROR(SEARCH("DESCANSO",DT1)))</formula>
    </cfRule>
    <cfRule type="containsText" dxfId="2095" priority="116" operator="containsText" text="FALTOU">
      <formula>NOT(ISERROR(SEARCH("FALTOU",DT1)))</formula>
    </cfRule>
  </conditionalFormatting>
  <conditionalFormatting sqref="DZ1:DZ2 EA3:EA1048576">
    <cfRule type="containsText" dxfId="2094" priority="117" operator="containsText" text="PROGRAMADO">
      <formula>NOT(ISERROR(SEARCH("PROGRAMADO",DZ1)))</formula>
    </cfRule>
    <cfRule type="containsText" dxfId="2093" priority="118" operator="containsText" text="EM ABERTO">
      <formula>NOT(ISERROR(SEARCH("EM ABERTO",DZ1)))</formula>
    </cfRule>
    <cfRule type="containsText" dxfId="2092" priority="119" operator="containsText" text="PAGO">
      <formula>NOT(ISERROR(SEARCH("PAGO",DZ1)))</formula>
    </cfRule>
    <cfRule type="containsText" dxfId="2091" priority="120" operator="containsText" text="PAGO">
      <formula>NOT(ISERROR(SEARCH("PAGO",DZ1)))</formula>
    </cfRule>
  </conditionalFormatting>
  <conditionalFormatting sqref="BB19">
    <cfRule type="containsText" dxfId="2090" priority="112" operator="containsText" text="PROGRAMADO">
      <formula>NOT(ISERROR(SEARCH("PROGRAMADO",BB19)))</formula>
    </cfRule>
    <cfRule type="containsText" dxfId="2089" priority="113" operator="containsText" text="EM ABERTO">
      <formula>NOT(ISERROR(SEARCH("EM ABERTO",BB19)))</formula>
    </cfRule>
    <cfRule type="containsText" dxfId="2088" priority="114" operator="containsText" text="PAGO">
      <formula>NOT(ISERROR(SEARCH("PAGO",BB19)))</formula>
    </cfRule>
  </conditionalFormatting>
  <conditionalFormatting sqref="BB19">
    <cfRule type="containsText" dxfId="2087" priority="111" operator="containsText" text="PAGO">
      <formula>NOT(ISERROR(SEARCH("PAGO",BB19)))</formula>
    </cfRule>
  </conditionalFormatting>
  <conditionalFormatting sqref="EK1:EK2 EL3:EL1048576">
    <cfRule type="containsText" dxfId="2086" priority="107" operator="containsText" text="PROGRAMADO">
      <formula>NOT(ISERROR(SEARCH("PROGRAMADO",EK1)))</formula>
    </cfRule>
    <cfRule type="containsText" dxfId="2085" priority="108" operator="containsText" text="EM ABERTO">
      <formula>NOT(ISERROR(SEARCH("EM ABERTO",EK1)))</formula>
    </cfRule>
    <cfRule type="containsText" dxfId="2084" priority="109" operator="containsText" text="PAGO">
      <formula>NOT(ISERROR(SEARCH("PAGO",EK1)))</formula>
    </cfRule>
    <cfRule type="containsText" dxfId="2083" priority="110" operator="containsText" text="PAGO">
      <formula>NOT(ISERROR(SEARCH("PAGO",EK1)))</formula>
    </cfRule>
  </conditionalFormatting>
  <conditionalFormatting sqref="EE1:EH1">
    <cfRule type="containsText" dxfId="2082" priority="104" operator="containsText" text="ATESTADO">
      <formula>NOT(ISERROR(SEARCH("ATESTADO",EE1)))</formula>
    </cfRule>
  </conditionalFormatting>
  <conditionalFormatting sqref="EE1:EH1">
    <cfRule type="containsText" dxfId="2081" priority="99" operator="containsText" text="DOMINGO">
      <formula>NOT(ISERROR(SEARCH("DOMINGO",EE1)))</formula>
    </cfRule>
    <cfRule type="containsText" dxfId="2080" priority="100" operator="containsText" text="SÁBADO">
      <formula>NOT(ISERROR(SEARCH("SÁBADO",EE1)))</formula>
    </cfRule>
    <cfRule type="containsText" dxfId="2079" priority="101" operator="containsText" text="FERIADO">
      <formula>NOT(ISERROR(SEARCH("FERIADO",EE1)))</formula>
    </cfRule>
  </conditionalFormatting>
  <conditionalFormatting sqref="EE1:EH1">
    <cfRule type="containsText" dxfId="2078" priority="102" operator="containsText" text="DESCANSO">
      <formula>NOT(ISERROR(SEARCH("DESCANSO",EE1)))</formula>
    </cfRule>
    <cfRule type="containsText" dxfId="2077" priority="103" operator="containsText" text="FALTOU">
      <formula>NOT(ISERROR(SEARCH("FALTOU",EE1)))</formula>
    </cfRule>
  </conditionalFormatting>
  <conditionalFormatting sqref="EE1:EH1">
    <cfRule type="containsText" dxfId="2076" priority="97" operator="containsText" text="DESCANSO">
      <formula>NOT(ISERROR(SEARCH("DESCANSO",EE1)))</formula>
    </cfRule>
    <cfRule type="containsText" dxfId="2075" priority="98" operator="containsText" text="FALTOU">
      <formula>NOT(ISERROR(SEARCH("FALTOU",EE1)))</formula>
    </cfRule>
  </conditionalFormatting>
  <conditionalFormatting sqref="EV1:EV2 EW3:EW1048576">
    <cfRule type="containsText" dxfId="2074" priority="93" operator="containsText" text="PROGRAMADO">
      <formula>NOT(ISERROR(SEARCH("PROGRAMADO",EV1)))</formula>
    </cfRule>
    <cfRule type="containsText" dxfId="2073" priority="94" operator="containsText" text="EM ABERTO">
      <formula>NOT(ISERROR(SEARCH("EM ABERTO",EV1)))</formula>
    </cfRule>
    <cfRule type="containsText" dxfId="2072" priority="95" operator="containsText" text="PAGO">
      <formula>NOT(ISERROR(SEARCH("PAGO",EV1)))</formula>
    </cfRule>
    <cfRule type="containsText" dxfId="2071" priority="96" operator="containsText" text="PAGO">
      <formula>NOT(ISERROR(SEARCH("PAGO",EV1)))</formula>
    </cfRule>
  </conditionalFormatting>
  <conditionalFormatting sqref="EP1:ES1">
    <cfRule type="containsText" dxfId="2070" priority="84" operator="containsText" text="ATESTADO">
      <formula>NOT(ISERROR(SEARCH("ATESTADO",EP1)))</formula>
    </cfRule>
  </conditionalFormatting>
  <conditionalFormatting sqref="EP1:ES1">
    <cfRule type="containsText" dxfId="2069" priority="79" operator="containsText" text="DOMINGO">
      <formula>NOT(ISERROR(SEARCH("DOMINGO",EP1)))</formula>
    </cfRule>
    <cfRule type="containsText" dxfId="2068" priority="80" operator="containsText" text="SÁBADO">
      <formula>NOT(ISERROR(SEARCH("SÁBADO",EP1)))</formula>
    </cfRule>
    <cfRule type="containsText" dxfId="2067" priority="81" operator="containsText" text="FERIADO">
      <formula>NOT(ISERROR(SEARCH("FERIADO",EP1)))</formula>
    </cfRule>
  </conditionalFormatting>
  <conditionalFormatting sqref="EP1:ES1">
    <cfRule type="containsText" dxfId="2066" priority="82" operator="containsText" text="DESCANSO">
      <formula>NOT(ISERROR(SEARCH("DESCANSO",EP1)))</formula>
    </cfRule>
    <cfRule type="containsText" dxfId="2065" priority="83" operator="containsText" text="FALTOU">
      <formula>NOT(ISERROR(SEARCH("FALTOU",EP1)))</formula>
    </cfRule>
  </conditionalFormatting>
  <conditionalFormatting sqref="EP1:ES1">
    <cfRule type="containsText" dxfId="2064" priority="77" operator="containsText" text="DESCANSO">
      <formula>NOT(ISERROR(SEARCH("DESCANSO",EP1)))</formula>
    </cfRule>
    <cfRule type="containsText" dxfId="2063" priority="78" operator="containsText" text="FALTOU">
      <formula>NOT(ISERROR(SEARCH("FALTOU",EP1)))</formula>
    </cfRule>
  </conditionalFormatting>
  <conditionalFormatting sqref="FG1:FG2 FH3:FH1048576">
    <cfRule type="containsText" dxfId="2062" priority="73" operator="containsText" text="PROGRAMADO">
      <formula>NOT(ISERROR(SEARCH("PROGRAMADO",FG1)))</formula>
    </cfRule>
    <cfRule type="containsText" dxfId="2061" priority="74" operator="containsText" text="EM ABERTO">
      <formula>NOT(ISERROR(SEARCH("EM ABERTO",FG1)))</formula>
    </cfRule>
    <cfRule type="containsText" dxfId="2060" priority="75" operator="containsText" text="PAGO">
      <formula>NOT(ISERROR(SEARCH("PAGO",FG1)))</formula>
    </cfRule>
    <cfRule type="containsText" dxfId="2059" priority="76" operator="containsText" text="PAGO">
      <formula>NOT(ISERROR(SEARCH("PAGO",FG1)))</formula>
    </cfRule>
  </conditionalFormatting>
  <conditionalFormatting sqref="FA1:FD1">
    <cfRule type="containsText" dxfId="2058" priority="64" operator="containsText" text="ATESTADO">
      <formula>NOT(ISERROR(SEARCH("ATESTADO",FA1)))</formula>
    </cfRule>
  </conditionalFormatting>
  <conditionalFormatting sqref="FA1:FD1">
    <cfRule type="containsText" dxfId="2057" priority="59" operator="containsText" text="DOMINGO">
      <formula>NOT(ISERROR(SEARCH("DOMINGO",FA1)))</formula>
    </cfRule>
    <cfRule type="containsText" dxfId="2056" priority="60" operator="containsText" text="SÁBADO">
      <formula>NOT(ISERROR(SEARCH("SÁBADO",FA1)))</formula>
    </cfRule>
    <cfRule type="containsText" dxfId="2055" priority="61" operator="containsText" text="FERIADO">
      <formula>NOT(ISERROR(SEARCH("FERIADO",FA1)))</formula>
    </cfRule>
  </conditionalFormatting>
  <conditionalFormatting sqref="FA1:FD1">
    <cfRule type="containsText" dxfId="2054" priority="62" operator="containsText" text="DESCANSO">
      <formula>NOT(ISERROR(SEARCH("DESCANSO",FA1)))</formula>
    </cfRule>
    <cfRule type="containsText" dxfId="2053" priority="63" operator="containsText" text="FALTOU">
      <formula>NOT(ISERROR(SEARCH("FALTOU",FA1)))</formula>
    </cfRule>
  </conditionalFormatting>
  <conditionalFormatting sqref="FA1:FD1">
    <cfRule type="containsText" dxfId="2052" priority="57" operator="containsText" text="DESCANSO">
      <formula>NOT(ISERROR(SEARCH("DESCANSO",FA1)))</formula>
    </cfRule>
    <cfRule type="containsText" dxfId="2051" priority="58" operator="containsText" text="FALTOU">
      <formula>NOT(ISERROR(SEARCH("FALTOU",FA1)))</formula>
    </cfRule>
  </conditionalFormatting>
  <conditionalFormatting sqref="J33:J45">
    <cfRule type="containsText" dxfId="2050" priority="45" operator="containsText" text="PROGRAMADO">
      <formula>NOT(ISERROR(SEARCH("PROGRAMADO",J33)))</formula>
    </cfRule>
    <cfRule type="containsText" dxfId="2049" priority="46" operator="containsText" text="EM ABERTO">
      <formula>NOT(ISERROR(SEARCH("EM ABERTO",J33)))</formula>
    </cfRule>
    <cfRule type="containsText" dxfId="2048" priority="47" operator="containsText" text="PAGO">
      <formula>NOT(ISERROR(SEARCH("PAGO",J33)))</formula>
    </cfRule>
    <cfRule type="containsText" dxfId="2047" priority="48" operator="containsText" text="PAGO">
      <formula>NOT(ISERROR(SEARCH("PAGO",J33)))</formula>
    </cfRule>
  </conditionalFormatting>
  <conditionalFormatting sqref="FR1:FR2 FS3:FS1048576">
    <cfRule type="containsText" dxfId="2046" priority="41" operator="containsText" text="PROGRAMADO">
      <formula>NOT(ISERROR(SEARCH("PROGRAMADO",FR1)))</formula>
    </cfRule>
    <cfRule type="containsText" dxfId="2045" priority="42" operator="containsText" text="EM ABERTO">
      <formula>NOT(ISERROR(SEARCH("EM ABERTO",FR1)))</formula>
    </cfRule>
    <cfRule type="containsText" dxfId="2044" priority="43" operator="containsText" text="PAGO">
      <formula>NOT(ISERROR(SEARCH("PAGO",FR1)))</formula>
    </cfRule>
    <cfRule type="containsText" dxfId="2043" priority="44" operator="containsText" text="PAGO">
      <formula>NOT(ISERROR(SEARCH("PAGO",FR1)))</formula>
    </cfRule>
  </conditionalFormatting>
  <conditionalFormatting sqref="FL1:FO1">
    <cfRule type="containsText" dxfId="2042" priority="40" operator="containsText" text="ATESTADO">
      <formula>NOT(ISERROR(SEARCH("ATESTADO",FL1)))</formula>
    </cfRule>
  </conditionalFormatting>
  <conditionalFormatting sqref="FL1:FO1">
    <cfRule type="containsText" dxfId="2041" priority="35" operator="containsText" text="DOMINGO">
      <formula>NOT(ISERROR(SEARCH("DOMINGO",FL1)))</formula>
    </cfRule>
    <cfRule type="containsText" dxfId="2040" priority="36" operator="containsText" text="SÁBADO">
      <formula>NOT(ISERROR(SEARCH("SÁBADO",FL1)))</formula>
    </cfRule>
    <cfRule type="containsText" dxfId="2039" priority="37" operator="containsText" text="FERIADO">
      <formula>NOT(ISERROR(SEARCH("FERIADO",FL1)))</formula>
    </cfRule>
  </conditionalFormatting>
  <conditionalFormatting sqref="FL1:FO1">
    <cfRule type="containsText" dxfId="2038" priority="38" operator="containsText" text="DESCANSO">
      <formula>NOT(ISERROR(SEARCH("DESCANSO",FL1)))</formula>
    </cfRule>
    <cfRule type="containsText" dxfId="2037" priority="39" operator="containsText" text="FALTOU">
      <formula>NOT(ISERROR(SEARCH("FALTOU",FL1)))</formula>
    </cfRule>
  </conditionalFormatting>
  <conditionalFormatting sqref="FL1:FO1">
    <cfRule type="containsText" dxfId="2036" priority="33" operator="containsText" text="DESCANSO">
      <formula>NOT(ISERROR(SEARCH("DESCANSO",FL1)))</formula>
    </cfRule>
    <cfRule type="containsText" dxfId="2035" priority="34" operator="containsText" text="FALTOU">
      <formula>NOT(ISERROR(SEARCH("FALTOU",FL1)))</formula>
    </cfRule>
  </conditionalFormatting>
  <conditionalFormatting sqref="GC1:GC2 GD3:GD1048576">
    <cfRule type="containsText" dxfId="2034" priority="17" operator="containsText" text="PROGRAMADO">
      <formula>NOT(ISERROR(SEARCH("PROGRAMADO",GC1)))</formula>
    </cfRule>
    <cfRule type="containsText" dxfId="2033" priority="18" operator="containsText" text="EM ABERTO">
      <formula>NOT(ISERROR(SEARCH("EM ABERTO",GC1)))</formula>
    </cfRule>
    <cfRule type="containsText" dxfId="2032" priority="19" operator="containsText" text="PAGO">
      <formula>NOT(ISERROR(SEARCH("PAGO",GC1)))</formula>
    </cfRule>
    <cfRule type="containsText" dxfId="2031" priority="20" operator="containsText" text="PAGO">
      <formula>NOT(ISERROR(SEARCH("PAGO",GC1)))</formula>
    </cfRule>
  </conditionalFormatting>
  <conditionalFormatting sqref="FW1:FZ1">
    <cfRule type="containsText" dxfId="2030" priority="8" operator="containsText" text="ATESTADO">
      <formula>NOT(ISERROR(SEARCH("ATESTADO",FW1)))</formula>
    </cfRule>
  </conditionalFormatting>
  <conditionalFormatting sqref="FW1:FZ1">
    <cfRule type="containsText" dxfId="2029" priority="3" operator="containsText" text="DOMINGO">
      <formula>NOT(ISERROR(SEARCH("DOMINGO",FW1)))</formula>
    </cfRule>
    <cfRule type="containsText" dxfId="2028" priority="4" operator="containsText" text="SÁBADO">
      <formula>NOT(ISERROR(SEARCH("SÁBADO",FW1)))</formula>
    </cfRule>
    <cfRule type="containsText" dxfId="2027" priority="5" operator="containsText" text="FERIADO">
      <formula>NOT(ISERROR(SEARCH("FERIADO",FW1)))</formula>
    </cfRule>
  </conditionalFormatting>
  <conditionalFormatting sqref="FW1:FZ1">
    <cfRule type="containsText" dxfId="2026" priority="6" operator="containsText" text="DESCANSO">
      <formula>NOT(ISERROR(SEARCH("DESCANSO",FW1)))</formula>
    </cfRule>
    <cfRule type="containsText" dxfId="2025" priority="7" operator="containsText" text="FALTOU">
      <formula>NOT(ISERROR(SEARCH("FALTOU",FW1)))</formula>
    </cfRule>
  </conditionalFormatting>
  <conditionalFormatting sqref="FW1:FZ1">
    <cfRule type="containsText" dxfId="2024" priority="1" operator="containsText" text="DESCANSO">
      <formula>NOT(ISERROR(SEARCH("DESCANSO",FW1)))</formula>
    </cfRule>
    <cfRule type="containsText" dxfId="2023" priority="2" operator="containsText" text="FALTOU">
      <formula>NOT(ISERROR(SEARCH("FALTOU",FW1)))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8CD97E5-7D86-469B-ABC4-87EE14482389}">
          <x14:formula1>
            <xm:f>Lista!$A$2:$A$5</xm:f>
          </x14:formula1>
          <xm:sqref>J4 BB6:BB1048576 AF6:AF1048576 U4 AF4 AQ4 BM6:BM1048576 BB4 U6:U1048576 BM4 AQ6:AQ1048576 J6:J1048576 CI4 BX4 CT6:CT1048576 CI6:CI1048576 CT4 DP4 FH4 DE4 DP6:DP1048576 EW6:EW1048576 EA4 DE6:DE1048576 EL6:EL1048576 EL4 GD6:GD1048576 EW4 FH6:FH1048576 FS6:FS1048576 FS4 EA6:EA1048576 GD4 BX6:BX1048576</xm:sqref>
        </x14:dataValidation>
        <x14:dataValidation type="list" allowBlank="1" showInputMessage="1" showErrorMessage="1" xr:uid="{FD21D113-A0BE-48D2-9140-253EECB5F072}">
          <x14:formula1>
            <xm:f>Lista!$C$2:$C$23</xm:f>
          </x14:formula1>
          <xm:sqref>H1:H2 BW172:BW472 FR25:FR472 H19:H1048576 DY6:DY36 EV25:EV472 EK25:EK472 GC25:GC472 FG25:FG472 H6:H17 DD52:DD472 CS6:CS472 DO6:DO472 BL19:BL472 I314:I1048576 T294:T472 AP401:AP472 H4:I4 AE185:AE472 CH25:CH472 S6:S472 DZ41:DZ472</xm:sqref>
        </x14:dataValidation>
        <x14:dataValidation type="list" allowBlank="1" showInputMessage="1" showErrorMessage="1" xr:uid="{81325A5D-AD2E-4167-8B43-B5778F31A395}">
          <x14:formula1>
            <xm:f>Lista!$C$2:$C$24</xm:f>
          </x14:formula1>
          <xm:sqref>AD6:AD337 DC8:DC9 AZ8:AZ220 AZ6 AO6:AO228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313-2220-483D-A412-61439A4027B3}">
  <sheetPr>
    <tabColor theme="7" tint="0.39997558519241921"/>
  </sheetPr>
  <dimension ref="A1:G15"/>
  <sheetViews>
    <sheetView showGridLines="0" workbookViewId="0">
      <selection activeCell="I13" sqref="I13"/>
    </sheetView>
  </sheetViews>
  <sheetFormatPr defaultRowHeight="15" x14ac:dyDescent="0.25"/>
  <cols>
    <col min="1" max="1" width="18.5703125" bestFit="1" customWidth="1"/>
    <col min="2" max="2" width="13.28515625" bestFit="1" customWidth="1"/>
    <col min="3" max="7" width="16.140625" customWidth="1"/>
  </cols>
  <sheetData>
    <row r="1" spans="1:7" x14ac:dyDescent="0.25">
      <c r="A1" t="s">
        <v>57</v>
      </c>
      <c r="B1" s="75" t="e">
        <f>PAGAMENTOS!I2+PAGAMENTOS!#REF!+PAGAMENTOS!#REF!+PAGAMENTOS!T2+PAGAMENTOS!AE2+PAGAMENTOS!#REF!+PAGAMENTOS!AP2+PAGAMENTOS!#REF!+PAGAMENTOS!BA2</f>
        <v>#REF!</v>
      </c>
    </row>
    <row r="3" spans="1:7" ht="15.75" thickBot="1" x14ac:dyDescent="0.3">
      <c r="A3" s="280" t="s">
        <v>22</v>
      </c>
      <c r="B3" s="281"/>
      <c r="C3" s="281"/>
      <c r="D3" s="281"/>
      <c r="E3" s="281"/>
      <c r="F3" s="281"/>
      <c r="G3" s="281"/>
    </row>
    <row r="4" spans="1:7" ht="15.75" thickBot="1" x14ac:dyDescent="0.3">
      <c r="A4" s="278" t="s">
        <v>1</v>
      </c>
      <c r="B4" s="279"/>
      <c r="C4" s="2" t="s">
        <v>18</v>
      </c>
      <c r="D4" s="2" t="s">
        <v>19</v>
      </c>
      <c r="E4" s="2" t="s">
        <v>20</v>
      </c>
      <c r="F4" s="2" t="s">
        <v>41</v>
      </c>
      <c r="G4" s="2" t="s">
        <v>21</v>
      </c>
    </row>
    <row r="5" spans="1:7" x14ac:dyDescent="0.25">
      <c r="A5" s="283" t="s">
        <v>32</v>
      </c>
      <c r="B5" s="283"/>
      <c r="C5" s="35"/>
      <c r="D5" s="35"/>
      <c r="E5" s="35"/>
      <c r="F5" s="36"/>
      <c r="G5" s="41"/>
    </row>
    <row r="6" spans="1:7" x14ac:dyDescent="0.25">
      <c r="A6" s="284" t="s">
        <v>35</v>
      </c>
      <c r="B6" s="284"/>
      <c r="C6" s="37"/>
      <c r="D6" s="37"/>
      <c r="E6" s="37"/>
      <c r="F6" s="38"/>
      <c r="G6" s="42"/>
    </row>
    <row r="7" spans="1:7" x14ac:dyDescent="0.25">
      <c r="A7" s="282" t="s">
        <v>30</v>
      </c>
      <c r="B7" s="282"/>
      <c r="C7" s="39"/>
      <c r="D7" s="39"/>
      <c r="E7" s="39"/>
      <c r="F7" s="40"/>
      <c r="G7" s="43"/>
    </row>
    <row r="8" spans="1:7" x14ac:dyDescent="0.25">
      <c r="A8" s="284" t="s">
        <v>29</v>
      </c>
      <c r="B8" s="284"/>
      <c r="C8" s="37"/>
      <c r="D8" s="37"/>
      <c r="E8" s="37"/>
      <c r="F8" s="38"/>
      <c r="G8" s="42"/>
    </row>
    <row r="9" spans="1:7" x14ac:dyDescent="0.25">
      <c r="A9" s="282" t="s">
        <v>31</v>
      </c>
      <c r="B9" s="282"/>
      <c r="C9" s="39"/>
      <c r="D9" s="39"/>
      <c r="E9" s="39"/>
      <c r="F9" s="40"/>
      <c r="G9" s="43"/>
    </row>
    <row r="10" spans="1:7" x14ac:dyDescent="0.25">
      <c r="A10" s="284" t="s">
        <v>40</v>
      </c>
      <c r="B10" s="284"/>
      <c r="C10" s="37"/>
      <c r="D10" s="37"/>
      <c r="E10" s="37"/>
      <c r="F10" s="38"/>
      <c r="G10" s="42"/>
    </row>
    <row r="11" spans="1:7" x14ac:dyDescent="0.25">
      <c r="A11" s="282" t="s">
        <v>39</v>
      </c>
      <c r="B11" s="282"/>
      <c r="C11" s="39"/>
      <c r="D11" s="39"/>
      <c r="E11" s="39"/>
      <c r="F11" s="40"/>
      <c r="G11" s="43"/>
    </row>
    <row r="12" spans="1:7" x14ac:dyDescent="0.25">
      <c r="A12" s="284" t="s">
        <v>38</v>
      </c>
      <c r="B12" s="284"/>
      <c r="C12" s="37"/>
      <c r="D12" s="37"/>
      <c r="E12" s="37"/>
      <c r="F12" s="38"/>
      <c r="G12" s="42"/>
    </row>
    <row r="13" spans="1:7" x14ac:dyDescent="0.25">
      <c r="A13" s="282" t="s">
        <v>43</v>
      </c>
      <c r="B13" s="282"/>
      <c r="C13" s="39"/>
      <c r="D13" s="39"/>
      <c r="E13" s="39"/>
      <c r="F13" s="40"/>
      <c r="G13" s="43"/>
    </row>
    <row r="14" spans="1:7" x14ac:dyDescent="0.25">
      <c r="A14" s="284" t="s">
        <v>33</v>
      </c>
      <c r="B14" s="284"/>
      <c r="C14" s="37"/>
      <c r="D14" s="37"/>
      <c r="E14" s="37"/>
      <c r="F14" s="38"/>
      <c r="G14" s="42"/>
    </row>
    <row r="15" spans="1:7" x14ac:dyDescent="0.25">
      <c r="A15" s="282" t="s">
        <v>34</v>
      </c>
      <c r="B15" s="282"/>
      <c r="C15" s="39"/>
      <c r="D15" s="39"/>
      <c r="E15" s="39"/>
      <c r="F15" s="40"/>
      <c r="G15" s="43"/>
    </row>
  </sheetData>
  <mergeCells count="13">
    <mergeCell ref="A4:B4"/>
    <mergeCell ref="A3:G3"/>
    <mergeCell ref="A15:B15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727BA0-EED6-4F5F-BA58-97535DEF4EAF}">
          <x14:formula1>
            <xm:f>Lista!$C$2:$C$23</xm:f>
          </x14:formula1>
          <xm:sqref>A5:B15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919F-A5D1-4BE8-AE5D-234E993D14F9}">
  <sheetPr>
    <tabColor theme="3"/>
  </sheetPr>
  <dimension ref="A1:K15"/>
  <sheetViews>
    <sheetView showGridLines="0" workbookViewId="0">
      <selection activeCell="C19" sqref="C19"/>
    </sheetView>
  </sheetViews>
  <sheetFormatPr defaultRowHeight="16.5" customHeight="1" x14ac:dyDescent="0.2"/>
  <cols>
    <col min="1" max="1" width="23.42578125" style="94" customWidth="1"/>
    <col min="2" max="2" width="11.7109375" style="94" customWidth="1"/>
    <col min="3" max="3" width="21.42578125" style="94" customWidth="1"/>
    <col min="4" max="4" width="14.42578125" style="94" customWidth="1"/>
    <col min="5" max="5" width="23.7109375" style="94" customWidth="1"/>
    <col min="6" max="6" width="15" style="94" customWidth="1"/>
    <col min="7" max="7" width="2.28515625" style="14" customWidth="1"/>
    <col min="8" max="8" width="22.5703125" style="14" customWidth="1"/>
    <col min="9" max="9" width="14.28515625" style="14" customWidth="1"/>
    <col min="10" max="10" width="15" style="14" customWidth="1"/>
    <col min="11" max="11" width="15.42578125" style="14" customWidth="1"/>
    <col min="12" max="16384" width="9.140625" style="14"/>
  </cols>
  <sheetData>
    <row r="1" spans="1:11" ht="16.5" customHeight="1" thickBot="1" x14ac:dyDescent="0.3">
      <c r="A1" s="285" t="s">
        <v>62</v>
      </c>
      <c r="B1" s="286"/>
      <c r="C1" s="286"/>
      <c r="D1" s="286"/>
      <c r="E1" s="286"/>
      <c r="F1" s="287"/>
      <c r="H1" s="288" t="s">
        <v>69</v>
      </c>
      <c r="I1" s="288"/>
      <c r="J1" s="288"/>
      <c r="K1" s="288"/>
    </row>
    <row r="2" spans="1:11" ht="16.5" customHeight="1" thickBot="1" x14ac:dyDescent="0.25">
      <c r="A2" s="96" t="s">
        <v>17</v>
      </c>
      <c r="B2" s="96" t="s">
        <v>52</v>
      </c>
      <c r="C2" s="96" t="s">
        <v>63</v>
      </c>
      <c r="D2" s="96" t="s">
        <v>12</v>
      </c>
      <c r="E2" s="96" t="s">
        <v>13</v>
      </c>
      <c r="F2" s="96" t="s">
        <v>14</v>
      </c>
      <c r="H2" s="97" t="s">
        <v>63</v>
      </c>
      <c r="I2" s="97" t="s">
        <v>26</v>
      </c>
      <c r="J2" s="97" t="s">
        <v>28</v>
      </c>
      <c r="K2" s="98" t="s">
        <v>27</v>
      </c>
    </row>
    <row r="3" spans="1:11" ht="16.5" customHeight="1" x14ac:dyDescent="0.2">
      <c r="A3" s="95"/>
      <c r="B3" s="95"/>
      <c r="C3" s="95"/>
      <c r="D3" s="95"/>
      <c r="E3" s="95"/>
      <c r="F3" s="95"/>
      <c r="H3" s="94" t="s">
        <v>32</v>
      </c>
      <c r="I3" s="94"/>
      <c r="J3" s="94"/>
      <c r="K3" s="94"/>
    </row>
    <row r="4" spans="1:11" ht="16.5" customHeight="1" x14ac:dyDescent="0.2">
      <c r="H4" s="99" t="s">
        <v>35</v>
      </c>
      <c r="I4" s="99"/>
      <c r="J4" s="99"/>
      <c r="K4" s="99"/>
    </row>
    <row r="5" spans="1:11" ht="16.5" customHeight="1" x14ac:dyDescent="0.2">
      <c r="H5" s="94" t="s">
        <v>30</v>
      </c>
      <c r="I5" s="94"/>
      <c r="J5" s="94"/>
      <c r="K5" s="94"/>
    </row>
    <row r="6" spans="1:11" ht="16.5" customHeight="1" x14ac:dyDescent="0.2">
      <c r="H6" s="99" t="s">
        <v>56</v>
      </c>
      <c r="I6" s="99"/>
      <c r="J6" s="99"/>
      <c r="K6" s="99"/>
    </row>
    <row r="7" spans="1:11" ht="16.5" customHeight="1" x14ac:dyDescent="0.2">
      <c r="H7" s="94" t="s">
        <v>29</v>
      </c>
      <c r="I7" s="94"/>
      <c r="J7" s="94"/>
      <c r="K7" s="94"/>
    </row>
    <row r="8" spans="1:11" ht="16.5" customHeight="1" x14ac:dyDescent="0.2">
      <c r="H8" s="99" t="s">
        <v>31</v>
      </c>
      <c r="I8" s="99"/>
      <c r="J8" s="99"/>
      <c r="K8" s="99"/>
    </row>
    <row r="9" spans="1:11" ht="16.5" customHeight="1" x14ac:dyDescent="0.2">
      <c r="H9" s="94" t="s">
        <v>40</v>
      </c>
      <c r="I9" s="94"/>
      <c r="J9" s="94"/>
      <c r="K9" s="94"/>
    </row>
    <row r="10" spans="1:11" ht="16.5" customHeight="1" x14ac:dyDescent="0.2">
      <c r="H10" s="99" t="s">
        <v>61</v>
      </c>
      <c r="I10" s="99"/>
      <c r="J10" s="99"/>
      <c r="K10" s="99"/>
    </row>
    <row r="11" spans="1:11" ht="16.5" customHeight="1" x14ac:dyDescent="0.2">
      <c r="H11" s="94" t="s">
        <v>39</v>
      </c>
      <c r="I11" s="94"/>
      <c r="J11" s="94"/>
      <c r="K11" s="94"/>
    </row>
    <row r="12" spans="1:11" ht="16.5" customHeight="1" x14ac:dyDescent="0.2">
      <c r="H12" s="99" t="s">
        <v>38</v>
      </c>
      <c r="I12" s="99"/>
      <c r="J12" s="99"/>
      <c r="K12" s="99"/>
    </row>
    <row r="13" spans="1:11" ht="16.5" customHeight="1" x14ac:dyDescent="0.2">
      <c r="H13" s="94" t="s">
        <v>43</v>
      </c>
      <c r="I13" s="94"/>
      <c r="J13" s="94"/>
      <c r="K13" s="94"/>
    </row>
    <row r="14" spans="1:11" ht="16.5" customHeight="1" x14ac:dyDescent="0.2">
      <c r="H14" s="99" t="s">
        <v>33</v>
      </c>
      <c r="I14" s="99"/>
      <c r="J14" s="99"/>
      <c r="K14" s="99"/>
    </row>
    <row r="15" spans="1:11" ht="16.5" customHeight="1" x14ac:dyDescent="0.2">
      <c r="H15" s="94" t="s">
        <v>34</v>
      </c>
      <c r="I15" s="94"/>
      <c r="J15" s="94"/>
      <c r="K15" s="94"/>
    </row>
  </sheetData>
  <mergeCells count="2">
    <mergeCell ref="A1:F1"/>
    <mergeCell ref="H1:K1"/>
  </mergeCells>
  <conditionalFormatting sqref="A1:XFD1048576">
    <cfRule type="containsText" dxfId="2022" priority="1" operator="containsText" text="PROGRAMADO">
      <formula>NOT(ISERROR(SEARCH("PROGRAMADO",A1)))</formula>
    </cfRule>
    <cfRule type="containsText" dxfId="2021" priority="2" operator="containsText" text="EM ABERTO">
      <formula>NOT(ISERROR(SEARCH("EM ABERTO",A1)))</formula>
    </cfRule>
    <cfRule type="containsText" dxfId="2020" priority="3" operator="containsText" text="PAGO">
      <formula>NOT(ISERROR(SEARCH("PAGO",A1)))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46567A-CDA4-4C27-B174-1B28CF69ECBC}">
          <x14:formula1>
            <xm:f>Lista!$A$2:$A$4</xm:f>
          </x14:formula1>
          <xm:sqref>F1 F3:F1048576</xm:sqref>
        </x14:dataValidation>
        <x14:dataValidation type="list" allowBlank="1" showInputMessage="1" showErrorMessage="1" xr:uid="{B8034BAA-1C0F-429D-8165-65F651C27F8A}">
          <x14:formula1>
            <xm:f>Lista!$E$2:$E$10</xm:f>
          </x14:formula1>
          <xm:sqref>A2:A1048576</xm:sqref>
        </x14:dataValidation>
        <x14:dataValidation type="list" allowBlank="1" showInputMessage="1" showErrorMessage="1" xr:uid="{2131BCC6-0F83-4A88-82B5-DC174465BDCF}">
          <x14:formula1>
            <xm:f>Lista!$C$2:$C$23</xm:f>
          </x14:formula1>
          <xm:sqref>C1 C3:C1048576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C2B8-A12C-4913-8AA2-E9252F9D4F2C}">
  <sheetPr>
    <tabColor theme="6"/>
  </sheetPr>
  <dimension ref="A1:E23"/>
  <sheetViews>
    <sheetView workbookViewId="0">
      <selection activeCell="C18" sqref="C18"/>
    </sheetView>
  </sheetViews>
  <sheetFormatPr defaultRowHeight="15" x14ac:dyDescent="0.25"/>
  <cols>
    <col min="1" max="1" width="15.7109375" style="1" customWidth="1"/>
    <col min="2" max="2" width="3.140625" style="1" customWidth="1"/>
    <col min="3" max="3" width="26.140625" style="1" customWidth="1"/>
    <col min="4" max="4" width="2.28515625" style="1" customWidth="1"/>
    <col min="5" max="5" width="27.42578125" style="1" bestFit="1" customWidth="1"/>
    <col min="6" max="16384" width="9.140625" style="1"/>
  </cols>
  <sheetData>
    <row r="1" spans="1:5" x14ac:dyDescent="0.25">
      <c r="A1" s="92" t="s">
        <v>14</v>
      </c>
      <c r="C1" s="93" t="s">
        <v>1</v>
      </c>
      <c r="E1" s="93" t="s">
        <v>17</v>
      </c>
    </row>
    <row r="2" spans="1:5" x14ac:dyDescent="0.25">
      <c r="A2" s="14" t="s">
        <v>26</v>
      </c>
      <c r="C2" s="14" t="s">
        <v>32</v>
      </c>
      <c r="E2" s="14" t="s">
        <v>64</v>
      </c>
    </row>
    <row r="3" spans="1:5" x14ac:dyDescent="0.25">
      <c r="A3" s="14" t="s">
        <v>27</v>
      </c>
      <c r="C3" s="14" t="s">
        <v>35</v>
      </c>
      <c r="E3" s="14" t="s">
        <v>59</v>
      </c>
    </row>
    <row r="4" spans="1:5" x14ac:dyDescent="0.25">
      <c r="A4" s="14" t="s">
        <v>28</v>
      </c>
      <c r="C4" s="14" t="s">
        <v>75</v>
      </c>
      <c r="E4" s="14" t="s">
        <v>65</v>
      </c>
    </row>
    <row r="5" spans="1:5" x14ac:dyDescent="0.25">
      <c r="C5" s="14" t="s">
        <v>30</v>
      </c>
      <c r="E5" s="14" t="s">
        <v>66</v>
      </c>
    </row>
    <row r="6" spans="1:5" x14ac:dyDescent="0.25">
      <c r="C6" s="14" t="s">
        <v>56</v>
      </c>
      <c r="E6" s="14" t="s">
        <v>58</v>
      </c>
    </row>
    <row r="7" spans="1:5" x14ac:dyDescent="0.25">
      <c r="C7" s="14" t="s">
        <v>29</v>
      </c>
      <c r="E7" s="14" t="s">
        <v>67</v>
      </c>
    </row>
    <row r="8" spans="1:5" x14ac:dyDescent="0.25">
      <c r="C8" s="14" t="s">
        <v>60</v>
      </c>
      <c r="E8" s="14" t="s">
        <v>68</v>
      </c>
    </row>
    <row r="9" spans="1:5" x14ac:dyDescent="0.25">
      <c r="C9" s="14" t="s">
        <v>31</v>
      </c>
      <c r="E9" s="14" t="s">
        <v>49</v>
      </c>
    </row>
    <row r="10" spans="1:5" x14ac:dyDescent="0.25">
      <c r="C10" s="14" t="s">
        <v>40</v>
      </c>
    </row>
    <row r="11" spans="1:5" x14ac:dyDescent="0.25">
      <c r="C11" s="14" t="s">
        <v>61</v>
      </c>
    </row>
    <row r="12" spans="1:5" x14ac:dyDescent="0.25">
      <c r="C12" s="14" t="s">
        <v>73</v>
      </c>
    </row>
    <row r="13" spans="1:5" x14ac:dyDescent="0.25">
      <c r="C13" s="14" t="s">
        <v>39</v>
      </c>
    </row>
    <row r="14" spans="1:5" x14ac:dyDescent="0.25">
      <c r="C14" s="14" t="s">
        <v>38</v>
      </c>
    </row>
    <row r="15" spans="1:5" x14ac:dyDescent="0.25">
      <c r="C15" s="14" t="s">
        <v>76</v>
      </c>
    </row>
    <row r="16" spans="1:5" x14ac:dyDescent="0.25">
      <c r="C16" s="14" t="s">
        <v>43</v>
      </c>
    </row>
    <row r="17" spans="3:3" x14ac:dyDescent="0.25">
      <c r="C17" s="14" t="s">
        <v>187</v>
      </c>
    </row>
    <row r="18" spans="3:3" x14ac:dyDescent="0.25">
      <c r="C18" s="14" t="s">
        <v>33</v>
      </c>
    </row>
    <row r="19" spans="3:3" x14ac:dyDescent="0.25">
      <c r="C19" s="14" t="s">
        <v>34</v>
      </c>
    </row>
    <row r="20" spans="3:3" x14ac:dyDescent="0.25">
      <c r="C20" s="14" t="s">
        <v>36</v>
      </c>
    </row>
    <row r="21" spans="3:3" x14ac:dyDescent="0.25">
      <c r="C21" s="14" t="s">
        <v>37</v>
      </c>
    </row>
    <row r="22" spans="3:3" x14ac:dyDescent="0.25">
      <c r="C22" s="14" t="s">
        <v>60</v>
      </c>
    </row>
    <row r="23" spans="3:3" x14ac:dyDescent="0.25">
      <c r="C23" s="14" t="s">
        <v>50</v>
      </c>
    </row>
  </sheetData>
  <sortState xmlns:xlrd2="http://schemas.microsoft.com/office/spreadsheetml/2017/richdata2" ref="E2:E9">
    <sortCondition ref="E2:E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DIÁRIAS</vt:lpstr>
      <vt:lpstr>PAGAMENTOS</vt:lpstr>
      <vt:lpstr>RESUMO</vt:lpstr>
      <vt:lpstr>CENTRO DE CUSTOS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Angelin</dc:creator>
  <cp:lastModifiedBy>Boshi</cp:lastModifiedBy>
  <dcterms:created xsi:type="dcterms:W3CDTF">2025-10-27T17:38:05Z</dcterms:created>
  <dcterms:modified xsi:type="dcterms:W3CDTF">2026-04-10T12:24:19Z</dcterms:modified>
</cp:coreProperties>
</file>