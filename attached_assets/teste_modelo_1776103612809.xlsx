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hi\Downloads\"/>
    </mc:Choice>
  </mc:AlternateContent>
  <xr:revisionPtr revIDLastSave="0" documentId="8_{9F011879-3833-473D-8187-B4AD44CC9EA7}" xr6:coauthVersionLast="47" xr6:coauthVersionMax="47" xr10:uidLastSave="{00000000-0000-0000-0000-000000000000}"/>
  <bookViews>
    <workbookView xWindow="-120" yWindow="-120" windowWidth="21840" windowHeight="13140" xr2:uid="{50C06F88-4E61-4A7B-A367-E154864097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5" i="1" l="1"/>
  <c r="F1014" i="1"/>
  <c r="F952" i="1"/>
  <c r="F951" i="1"/>
  <c r="F644" i="1"/>
  <c r="F643" i="1"/>
  <c r="E589" i="1"/>
  <c r="F343" i="1"/>
  <c r="F342" i="1"/>
  <c r="F306" i="1"/>
  <c r="F305" i="1"/>
  <c r="F304" i="1"/>
  <c r="F303" i="1"/>
  <c r="F302" i="1"/>
  <c r="E199" i="1"/>
  <c r="E198" i="1"/>
  <c r="F93" i="1"/>
  <c r="E93" i="1"/>
  <c r="D93" i="1"/>
  <c r="F92" i="1"/>
  <c r="E92" i="1"/>
  <c r="D92" i="1"/>
</calcChain>
</file>

<file path=xl/sharedStrings.xml><?xml version="1.0" encoding="utf-8"?>
<sst xmlns="http://schemas.openxmlformats.org/spreadsheetml/2006/main" count="1976" uniqueCount="48">
  <si>
    <t>COLABORADOR</t>
  </si>
  <si>
    <t>CRISTIANO MATIAS DA SILVA</t>
  </si>
  <si>
    <t>DATA</t>
  </si>
  <si>
    <t>DIA DA SEMANA</t>
  </si>
  <si>
    <t>CENTRO DE CUSTO</t>
  </si>
  <si>
    <t>$ DIÁRIA</t>
  </si>
  <si>
    <t>$ VT</t>
  </si>
  <si>
    <t>$ VA</t>
  </si>
  <si>
    <t>QUINTA-FEIRA</t>
  </si>
  <si>
    <t>FERIADO</t>
  </si>
  <si>
    <t>SEXTA-FEIRA</t>
  </si>
  <si>
    <t>GESPI - REFEITORIO</t>
  </si>
  <si>
    <t>SÁBADO</t>
  </si>
  <si>
    <t>DOMINGO</t>
  </si>
  <si>
    <t>SEGUNDA-FEIRA</t>
  </si>
  <si>
    <t>TERÇA-FEIRA</t>
  </si>
  <si>
    <t>QUARTA-FEIRA</t>
  </si>
  <si>
    <t>DONA GILDA</t>
  </si>
  <si>
    <t>GESPI - SALA DE CONTROLE</t>
  </si>
  <si>
    <t>FALTOU</t>
  </si>
  <si>
    <t>STEEL HOME</t>
  </si>
  <si>
    <t>VEREDA</t>
  </si>
  <si>
    <t>ESCRITÓRIO</t>
  </si>
  <si>
    <t>ANGELA CID</t>
  </si>
  <si>
    <t>RAFAEL - URBANOVA</t>
  </si>
  <si>
    <t>DESCANSO</t>
  </si>
  <si>
    <t>ANDERSON - URBANOVA</t>
  </si>
  <si>
    <t>GESPI - USINAGEM</t>
  </si>
  <si>
    <t>EDNILSON BERNARDO DA SILVA</t>
  </si>
  <si>
    <t>LARISSA BERLATO</t>
  </si>
  <si>
    <t>LUCAS HENRIQUE ALBERNAZ</t>
  </si>
  <si>
    <t>GATTAI - ROBSON</t>
  </si>
  <si>
    <t>CLÍNICA DGM</t>
  </si>
  <si>
    <t>ROGER ARMANDO SEQUERA RIVAS</t>
  </si>
  <si>
    <t>PABLO E ANA LAURA</t>
  </si>
  <si>
    <t>VITOR HUGO BRAGA</t>
  </si>
  <si>
    <t>ATESTADO</t>
  </si>
  <si>
    <t>DAVI FERREIRA DA SILVA</t>
  </si>
  <si>
    <t>VINICIUS OLIVEIRA COSTA ROMANO</t>
  </si>
  <si>
    <t>PEDRO EDNEI BATISTA PEREIRA</t>
  </si>
  <si>
    <t>FABRICIO FERREIRA DA SILVA</t>
  </si>
  <si>
    <t>PAULO CESAR BITENCOURT DE SOUSA</t>
  </si>
  <si>
    <t>LEONARDO OLIVEIRA SANTOS</t>
  </si>
  <si>
    <t>MATHEUS ANTONIO BARBOSA DOS SANTOS</t>
  </si>
  <si>
    <t>RENAN ANDLER ARAÚJO SIMEÃO</t>
  </si>
  <si>
    <t>MARCOS VINICIUS BARBOSA CARDOSO</t>
  </si>
  <si>
    <t>JOSUÉ DIAS DE ANDRADE</t>
  </si>
  <si>
    <t>DANILO VINICIUS SANTOS VITÓRIO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</si>
</sst>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ndara"/>
      <family val="2"/>
    </font>
    <font>
      <b/>
      <sz val="11"/>
      <color rgb="FFFF0000"/>
      <name val="Candara"/>
      <family val="2"/>
    </font>
    <font>
      <sz val="11"/>
      <color theme="1"/>
      <name val="Candara"/>
      <family val="2"/>
    </font>
    <font>
      <b/>
      <sz val="10"/>
      <color theme="1"/>
      <name val="Candara"/>
      <family val="2"/>
    </font>
    <font>
      <b/>
      <sz val="11"/>
      <color theme="1"/>
      <name val="Candara"/>
      <family val="2"/>
    </font>
    <font>
      <b/>
      <sz val="10"/>
      <color theme="0"/>
      <name val="Candara"/>
      <family val="2"/>
    </font>
    <font>
      <b/>
      <sz val="11"/>
      <name val="Candara"/>
      <family val="2"/>
    </font>
    <font>
      <sz val="10"/>
      <name val="Candara"/>
      <family val="2"/>
    </font>
    <font>
      <b/>
      <sz val="10"/>
      <name val="Candara"/>
      <family val="2"/>
    </font>
    <font>
      <b/>
      <sz val="10"/>
      <color rgb="FF00B050"/>
      <name val="Candara"/>
      <family val="2"/>
    </font>
    <font>
      <b/>
      <sz val="11"/>
      <color rgb="FF00B050"/>
      <name val="Candara"/>
      <family val="2"/>
    </font>
    <font>
      <sz val="10"/>
      <color theme="1"/>
      <name val="Candara"/>
      <family val="2"/>
    </font>
    <font>
      <sz val="10"/>
      <color theme="0"/>
      <name val="Candara"/>
      <family val="2"/>
    </font>
    <font>
      <b/>
      <sz val="10"/>
      <color rgb="FFFF0000"/>
      <name val="Candar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44" fontId="6" fillId="0" borderId="0" xfId="1" applyFont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4" fontId="7" fillId="2" borderId="5" xfId="1" applyFont="1" applyFill="1" applyBorder="1" applyAlignment="1">
      <alignment horizontal="center" vertical="center" wrapText="1"/>
    </xf>
    <xf numFmtId="44" fontId="7" fillId="2" borderId="6" xfId="1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4" fontId="8" fillId="0" borderId="8" xfId="1" applyFont="1" applyFill="1" applyBorder="1" applyAlignment="1">
      <alignment horizontal="center"/>
    </xf>
    <xf numFmtId="44" fontId="8" fillId="0" borderId="9" xfId="1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44" fontId="12" fillId="0" borderId="8" xfId="1" applyFont="1" applyFill="1" applyBorder="1" applyAlignment="1">
      <alignment horizontal="center"/>
    </xf>
    <xf numFmtId="44" fontId="12" fillId="0" borderId="9" xfId="1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4" fontId="4" fillId="0" borderId="0" xfId="1" applyFont="1" applyAlignment="1">
      <alignment horizontal="center"/>
    </xf>
    <xf numFmtId="0" fontId="14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14" fontId="8" fillId="3" borderId="7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44" fontId="3" fillId="3" borderId="8" xfId="1" applyFont="1" applyFill="1" applyBorder="1" applyAlignment="1">
      <alignment horizontal="center"/>
    </xf>
    <xf numFmtId="44" fontId="8" fillId="3" borderId="8" xfId="1" applyFont="1" applyFill="1" applyBorder="1" applyAlignment="1">
      <alignment horizontal="center"/>
    </xf>
    <xf numFmtId="44" fontId="8" fillId="3" borderId="9" xfId="1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center"/>
    </xf>
    <xf numFmtId="44" fontId="12" fillId="3" borderId="8" xfId="1" applyFont="1" applyFill="1" applyBorder="1" applyAlignment="1">
      <alignment horizontal="center"/>
    </xf>
    <xf numFmtId="44" fontId="12" fillId="3" borderId="9" xfId="1" applyFont="1" applyFill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44" fontId="8" fillId="4" borderId="11" xfId="1" applyFont="1" applyFill="1" applyBorder="1" applyAlignment="1">
      <alignment vertical="center"/>
    </xf>
    <xf numFmtId="44" fontId="3" fillId="0" borderId="8" xfId="1" applyFont="1" applyFill="1" applyBorder="1" applyAlignment="1">
      <alignment horizontal="center"/>
    </xf>
    <xf numFmtId="44" fontId="3" fillId="0" borderId="9" xfId="1" applyFont="1" applyFill="1" applyBorder="1" applyAlignment="1">
      <alignment horizontal="center"/>
    </xf>
    <xf numFmtId="14" fontId="8" fillId="7" borderId="12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44" fontId="8" fillId="7" borderId="8" xfId="1" applyFont="1" applyFill="1" applyBorder="1" applyAlignment="1">
      <alignment horizontal="center"/>
    </xf>
    <xf numFmtId="44" fontId="8" fillId="7" borderId="13" xfId="1" applyFont="1" applyFill="1" applyBorder="1" applyAlignment="1">
      <alignment horizontal="center"/>
    </xf>
    <xf numFmtId="14" fontId="8" fillId="0" borderId="12" xfId="0" applyNumberFormat="1" applyFont="1" applyBorder="1" applyAlignment="1">
      <alignment horizontal="center" vertical="center"/>
    </xf>
    <xf numFmtId="44" fontId="8" fillId="0" borderId="8" xfId="1" applyFont="1" applyBorder="1" applyAlignment="1">
      <alignment horizontal="center"/>
    </xf>
    <xf numFmtId="44" fontId="8" fillId="0" borderId="13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990"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color theme="5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 val="0"/>
        <i val="0"/>
        <color rgb="FFFF0000"/>
      </font>
    </dxf>
    <dxf>
      <font>
        <color theme="5"/>
      </font>
    </dxf>
    <dxf>
      <font>
        <color rgb="FFFF0000"/>
      </font>
    </dxf>
    <dxf>
      <font>
        <b/>
        <i val="0"/>
        <color theme="5"/>
      </font>
    </dxf>
    <dxf>
      <font>
        <b val="0"/>
        <i val="0"/>
        <color rgb="FFFF0000"/>
      </font>
    </dxf>
    <dxf>
      <font>
        <color theme="5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FA58-BB20-415A-B6DA-E65E106992F7}">
  <dimension ref="A1:F1131"/>
  <sheetViews>
    <sheetView tabSelected="1" workbookViewId="0">
      <selection activeCell="D458" sqref="D458"/>
    </sheetView>
  </sheetViews>
  <sheetFormatPr defaultRowHeight="15" x14ac:dyDescent="0.25"/>
  <sheetData>
    <row r="1" spans="1:6" ht="15.75" thickBot="1" x14ac:dyDescent="0.3">
      <c r="A1" s="1" t="s">
        <v>0</v>
      </c>
      <c r="B1" s="2"/>
      <c r="C1" s="3" t="s">
        <v>1</v>
      </c>
      <c r="D1" s="4"/>
      <c r="E1" s="4"/>
      <c r="F1" s="5"/>
    </row>
    <row r="2" spans="1:6" x14ac:dyDescent="0.25">
      <c r="A2" s="6"/>
      <c r="B2" s="6"/>
      <c r="C2" s="7"/>
      <c r="D2" s="8"/>
      <c r="E2" s="8"/>
      <c r="F2" s="8"/>
    </row>
    <row r="3" spans="1:6" ht="25.5" x14ac:dyDescent="0.25">
      <c r="A3" s="9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2" t="s">
        <v>7</v>
      </c>
    </row>
    <row r="4" spans="1:6" x14ac:dyDescent="0.25">
      <c r="A4" s="13">
        <v>46023</v>
      </c>
      <c r="B4" s="14" t="s">
        <v>8</v>
      </c>
      <c r="C4" s="15" t="s">
        <v>9</v>
      </c>
      <c r="D4" s="16"/>
      <c r="E4" s="16"/>
      <c r="F4" s="17"/>
    </row>
    <row r="5" spans="1:6" x14ac:dyDescent="0.25">
      <c r="A5" s="13">
        <v>46024</v>
      </c>
      <c r="B5" s="14" t="s">
        <v>10</v>
      </c>
      <c r="C5" s="18" t="s">
        <v>11</v>
      </c>
      <c r="D5" s="19">
        <v>180</v>
      </c>
      <c r="E5" s="19">
        <v>15</v>
      </c>
      <c r="F5" s="20">
        <v>19</v>
      </c>
    </row>
    <row r="6" spans="1:6" x14ac:dyDescent="0.25">
      <c r="A6" s="13">
        <v>46025</v>
      </c>
      <c r="B6" s="14" t="s">
        <v>12</v>
      </c>
      <c r="C6" s="18" t="s">
        <v>11</v>
      </c>
      <c r="D6" s="19">
        <v>180</v>
      </c>
      <c r="E6" s="19">
        <v>15</v>
      </c>
      <c r="F6" s="20">
        <v>19</v>
      </c>
    </row>
    <row r="7" spans="1:6" x14ac:dyDescent="0.25">
      <c r="A7" s="13">
        <v>46026</v>
      </c>
      <c r="B7" s="14" t="s">
        <v>13</v>
      </c>
      <c r="C7" s="18"/>
      <c r="D7" s="19"/>
      <c r="E7" s="19"/>
      <c r="F7" s="20"/>
    </row>
    <row r="8" spans="1:6" x14ac:dyDescent="0.25">
      <c r="A8" s="13">
        <v>46027</v>
      </c>
      <c r="B8" s="14" t="s">
        <v>14</v>
      </c>
      <c r="C8" s="18" t="s">
        <v>11</v>
      </c>
      <c r="D8" s="19">
        <v>180</v>
      </c>
      <c r="E8" s="19">
        <v>15</v>
      </c>
      <c r="F8" s="20">
        <v>19</v>
      </c>
    </row>
    <row r="9" spans="1:6" x14ac:dyDescent="0.25">
      <c r="A9" s="13">
        <v>46028</v>
      </c>
      <c r="B9" s="14" t="s">
        <v>15</v>
      </c>
      <c r="C9" s="18" t="s">
        <v>11</v>
      </c>
      <c r="D9" s="19">
        <v>180</v>
      </c>
      <c r="E9" s="19">
        <v>15</v>
      </c>
      <c r="F9" s="20">
        <v>19</v>
      </c>
    </row>
    <row r="10" spans="1:6" x14ac:dyDescent="0.25">
      <c r="A10" s="13">
        <v>46029</v>
      </c>
      <c r="B10" s="14" t="s">
        <v>16</v>
      </c>
      <c r="C10" s="18" t="s">
        <v>11</v>
      </c>
      <c r="D10" s="19">
        <v>180</v>
      </c>
      <c r="E10" s="19">
        <v>15</v>
      </c>
      <c r="F10" s="20">
        <v>19</v>
      </c>
    </row>
    <row r="11" spans="1:6" x14ac:dyDescent="0.25">
      <c r="A11" s="13">
        <v>46030</v>
      </c>
      <c r="B11" s="14" t="s">
        <v>8</v>
      </c>
      <c r="C11" s="18" t="s">
        <v>17</v>
      </c>
      <c r="D11" s="19">
        <v>180</v>
      </c>
      <c r="E11" s="19">
        <v>15</v>
      </c>
      <c r="F11" s="20">
        <v>19</v>
      </c>
    </row>
    <row r="12" spans="1:6" x14ac:dyDescent="0.25">
      <c r="A12" s="13">
        <v>46031</v>
      </c>
      <c r="B12" s="14" t="s">
        <v>10</v>
      </c>
      <c r="C12" s="18" t="s">
        <v>18</v>
      </c>
      <c r="D12" s="19">
        <v>180</v>
      </c>
      <c r="E12" s="19">
        <v>15</v>
      </c>
      <c r="F12" s="20">
        <v>19</v>
      </c>
    </row>
    <row r="13" spans="1:6" x14ac:dyDescent="0.25">
      <c r="A13" s="13">
        <v>46032</v>
      </c>
      <c r="B13" s="14" t="s">
        <v>12</v>
      </c>
      <c r="C13" s="18"/>
      <c r="D13" s="19"/>
      <c r="E13" s="19"/>
      <c r="F13" s="20"/>
    </row>
    <row r="14" spans="1:6" x14ac:dyDescent="0.25">
      <c r="A14" s="13">
        <v>46033</v>
      </c>
      <c r="B14" s="14" t="s">
        <v>13</v>
      </c>
      <c r="C14" s="18"/>
      <c r="D14" s="19"/>
      <c r="E14" s="19"/>
      <c r="F14" s="20"/>
    </row>
    <row r="15" spans="1:6" x14ac:dyDescent="0.25">
      <c r="A15" s="13">
        <v>46034</v>
      </c>
      <c r="B15" s="14" t="s">
        <v>14</v>
      </c>
      <c r="C15" s="18" t="s">
        <v>19</v>
      </c>
      <c r="D15" s="19"/>
      <c r="E15" s="19"/>
      <c r="F15" s="20"/>
    </row>
    <row r="16" spans="1:6" x14ac:dyDescent="0.25">
      <c r="A16" s="13">
        <v>46035</v>
      </c>
      <c r="B16" s="14" t="s">
        <v>15</v>
      </c>
      <c r="C16" s="18" t="s">
        <v>11</v>
      </c>
      <c r="D16" s="19">
        <v>180</v>
      </c>
      <c r="E16" s="19">
        <v>15</v>
      </c>
      <c r="F16" s="20">
        <v>19</v>
      </c>
    </row>
    <row r="17" spans="1:6" x14ac:dyDescent="0.25">
      <c r="A17" s="13">
        <v>46036</v>
      </c>
      <c r="B17" s="14" t="s">
        <v>16</v>
      </c>
      <c r="C17" s="18" t="s">
        <v>11</v>
      </c>
      <c r="D17" s="19">
        <v>180</v>
      </c>
      <c r="E17" s="19">
        <v>15</v>
      </c>
      <c r="F17" s="20">
        <v>19</v>
      </c>
    </row>
    <row r="18" spans="1:6" x14ac:dyDescent="0.25">
      <c r="A18" s="13">
        <v>46037</v>
      </c>
      <c r="B18" s="14" t="s">
        <v>8</v>
      </c>
      <c r="C18" s="18" t="s">
        <v>11</v>
      </c>
      <c r="D18" s="19">
        <v>180</v>
      </c>
      <c r="E18" s="19">
        <v>15</v>
      </c>
      <c r="F18" s="20">
        <v>19</v>
      </c>
    </row>
    <row r="19" spans="1:6" x14ac:dyDescent="0.25">
      <c r="A19" s="13">
        <v>46038</v>
      </c>
      <c r="B19" s="14" t="s">
        <v>10</v>
      </c>
      <c r="C19" s="18" t="s">
        <v>11</v>
      </c>
      <c r="D19" s="19">
        <v>180</v>
      </c>
      <c r="E19" s="19">
        <v>15</v>
      </c>
      <c r="F19" s="20">
        <v>19</v>
      </c>
    </row>
    <row r="20" spans="1:6" x14ac:dyDescent="0.25">
      <c r="A20" s="13">
        <v>46039</v>
      </c>
      <c r="B20" s="14" t="s">
        <v>12</v>
      </c>
      <c r="C20" s="18"/>
      <c r="D20" s="19"/>
      <c r="E20" s="19"/>
      <c r="F20" s="20"/>
    </row>
    <row r="21" spans="1:6" x14ac:dyDescent="0.25">
      <c r="A21" s="13">
        <v>46040</v>
      </c>
      <c r="B21" s="14" t="s">
        <v>13</v>
      </c>
      <c r="C21" s="18"/>
      <c r="D21" s="19"/>
      <c r="E21" s="19"/>
      <c r="F21" s="20"/>
    </row>
    <row r="22" spans="1:6" x14ac:dyDescent="0.25">
      <c r="A22" s="13">
        <v>46041</v>
      </c>
      <c r="B22" s="14" t="s">
        <v>14</v>
      </c>
      <c r="C22" s="18" t="s">
        <v>11</v>
      </c>
      <c r="D22" s="19">
        <v>180</v>
      </c>
      <c r="E22" s="19">
        <v>15</v>
      </c>
      <c r="F22" s="20">
        <v>19</v>
      </c>
    </row>
    <row r="23" spans="1:6" x14ac:dyDescent="0.25">
      <c r="A23" s="13">
        <v>46042</v>
      </c>
      <c r="B23" s="14" t="s">
        <v>15</v>
      </c>
      <c r="C23" s="18" t="s">
        <v>11</v>
      </c>
      <c r="D23" s="19">
        <v>180</v>
      </c>
      <c r="E23" s="19">
        <v>15</v>
      </c>
      <c r="F23" s="20">
        <v>19</v>
      </c>
    </row>
    <row r="24" spans="1:6" x14ac:dyDescent="0.25">
      <c r="A24" s="13">
        <v>46043</v>
      </c>
      <c r="B24" s="14" t="s">
        <v>16</v>
      </c>
      <c r="C24" s="18" t="s">
        <v>11</v>
      </c>
      <c r="D24" s="19">
        <v>180</v>
      </c>
      <c r="E24" s="19">
        <v>15</v>
      </c>
      <c r="F24" s="20">
        <v>19</v>
      </c>
    </row>
    <row r="25" spans="1:6" x14ac:dyDescent="0.25">
      <c r="A25" s="13">
        <v>46044</v>
      </c>
      <c r="B25" s="14" t="s">
        <v>8</v>
      </c>
      <c r="C25" s="18" t="s">
        <v>11</v>
      </c>
      <c r="D25" s="19">
        <v>180</v>
      </c>
      <c r="E25" s="19">
        <v>15</v>
      </c>
      <c r="F25" s="20">
        <v>19</v>
      </c>
    </row>
    <row r="26" spans="1:6" x14ac:dyDescent="0.25">
      <c r="A26" s="13">
        <v>46045</v>
      </c>
      <c r="B26" s="14" t="s">
        <v>10</v>
      </c>
      <c r="C26" s="18" t="s">
        <v>11</v>
      </c>
      <c r="D26" s="19">
        <v>180</v>
      </c>
      <c r="E26" s="19">
        <v>15</v>
      </c>
      <c r="F26" s="20">
        <v>19</v>
      </c>
    </row>
    <row r="27" spans="1:6" x14ac:dyDescent="0.25">
      <c r="A27" s="13">
        <v>46046</v>
      </c>
      <c r="B27" s="14" t="s">
        <v>12</v>
      </c>
      <c r="C27" s="18"/>
      <c r="D27" s="19"/>
      <c r="E27" s="19"/>
      <c r="F27" s="20"/>
    </row>
    <row r="28" spans="1:6" x14ac:dyDescent="0.25">
      <c r="A28" s="13">
        <v>46047</v>
      </c>
      <c r="B28" s="14" t="s">
        <v>13</v>
      </c>
      <c r="C28" s="18"/>
      <c r="D28" s="19"/>
      <c r="E28" s="19"/>
      <c r="F28" s="20"/>
    </row>
    <row r="29" spans="1:6" x14ac:dyDescent="0.25">
      <c r="A29" s="13">
        <v>46048</v>
      </c>
      <c r="B29" s="14" t="s">
        <v>14</v>
      </c>
      <c r="C29" s="18" t="s">
        <v>11</v>
      </c>
      <c r="D29" s="19">
        <v>180</v>
      </c>
      <c r="E29" s="19">
        <v>15</v>
      </c>
      <c r="F29" s="20">
        <v>19</v>
      </c>
    </row>
    <row r="30" spans="1:6" x14ac:dyDescent="0.25">
      <c r="A30" s="13">
        <v>46049</v>
      </c>
      <c r="B30" s="14" t="s">
        <v>15</v>
      </c>
      <c r="C30" s="18" t="s">
        <v>11</v>
      </c>
      <c r="D30" s="19">
        <v>180</v>
      </c>
      <c r="E30" s="19">
        <v>15</v>
      </c>
      <c r="F30" s="20">
        <v>19</v>
      </c>
    </row>
    <row r="31" spans="1:6" x14ac:dyDescent="0.25">
      <c r="A31" s="13">
        <v>46050</v>
      </c>
      <c r="B31" s="14" t="s">
        <v>16</v>
      </c>
      <c r="C31" s="18" t="s">
        <v>11</v>
      </c>
      <c r="D31" s="19">
        <v>180</v>
      </c>
      <c r="E31" s="19">
        <v>15</v>
      </c>
      <c r="F31" s="20">
        <v>19</v>
      </c>
    </row>
    <row r="32" spans="1:6" x14ac:dyDescent="0.25">
      <c r="A32" s="13">
        <v>46051</v>
      </c>
      <c r="B32" s="14" t="s">
        <v>8</v>
      </c>
      <c r="C32" s="18" t="s">
        <v>11</v>
      </c>
      <c r="D32" s="19">
        <v>180</v>
      </c>
      <c r="E32" s="19">
        <v>15</v>
      </c>
      <c r="F32" s="20">
        <v>19</v>
      </c>
    </row>
    <row r="33" spans="1:6" x14ac:dyDescent="0.25">
      <c r="A33" s="13">
        <v>46052</v>
      </c>
      <c r="B33" s="14" t="s">
        <v>10</v>
      </c>
      <c r="C33" s="21" t="s">
        <v>11</v>
      </c>
      <c r="D33" s="19">
        <v>180</v>
      </c>
      <c r="E33" s="19">
        <v>15</v>
      </c>
      <c r="F33" s="20">
        <v>19</v>
      </c>
    </row>
    <row r="34" spans="1:6" x14ac:dyDescent="0.25">
      <c r="A34" s="13">
        <v>46053</v>
      </c>
      <c r="B34" s="22" t="s">
        <v>12</v>
      </c>
      <c r="C34" s="21" t="s">
        <v>11</v>
      </c>
      <c r="D34" s="19">
        <v>180</v>
      </c>
      <c r="E34" s="19">
        <v>15</v>
      </c>
      <c r="F34" s="20">
        <v>19</v>
      </c>
    </row>
    <row r="35" spans="1:6" x14ac:dyDescent="0.25">
      <c r="A35" s="13">
        <v>46054</v>
      </c>
      <c r="B35" s="22" t="s">
        <v>13</v>
      </c>
      <c r="C35" s="21" t="s">
        <v>11</v>
      </c>
      <c r="D35" s="19">
        <v>180</v>
      </c>
      <c r="E35" s="19">
        <v>15</v>
      </c>
      <c r="F35" s="20">
        <v>19</v>
      </c>
    </row>
    <row r="36" spans="1:6" x14ac:dyDescent="0.25">
      <c r="A36" s="13">
        <v>46055</v>
      </c>
      <c r="B36" s="14" t="s">
        <v>14</v>
      </c>
      <c r="C36" s="21" t="s">
        <v>11</v>
      </c>
      <c r="D36" s="19">
        <v>180</v>
      </c>
      <c r="E36" s="19">
        <v>15</v>
      </c>
      <c r="F36" s="20">
        <v>19</v>
      </c>
    </row>
    <row r="37" spans="1:6" x14ac:dyDescent="0.25">
      <c r="A37" s="13">
        <v>46056</v>
      </c>
      <c r="B37" s="14" t="s">
        <v>15</v>
      </c>
      <c r="C37" s="21" t="s">
        <v>11</v>
      </c>
      <c r="D37" s="19">
        <v>180</v>
      </c>
      <c r="E37" s="19">
        <v>15</v>
      </c>
      <c r="F37" s="20">
        <v>19</v>
      </c>
    </row>
    <row r="38" spans="1:6" x14ac:dyDescent="0.25">
      <c r="A38" s="13">
        <v>46057</v>
      </c>
      <c r="B38" s="14" t="s">
        <v>16</v>
      </c>
      <c r="C38" s="21" t="s">
        <v>11</v>
      </c>
      <c r="D38" s="19">
        <v>180</v>
      </c>
      <c r="E38" s="19">
        <v>15</v>
      </c>
      <c r="F38" s="20">
        <v>19</v>
      </c>
    </row>
    <row r="39" spans="1:6" x14ac:dyDescent="0.25">
      <c r="A39" s="13">
        <v>46058</v>
      </c>
      <c r="B39" s="14" t="s">
        <v>8</v>
      </c>
      <c r="C39" s="21" t="s">
        <v>11</v>
      </c>
      <c r="D39" s="19">
        <v>180</v>
      </c>
      <c r="E39" s="19">
        <v>15</v>
      </c>
      <c r="F39" s="20">
        <v>19</v>
      </c>
    </row>
    <row r="40" spans="1:6" x14ac:dyDescent="0.25">
      <c r="A40" s="13">
        <v>46059</v>
      </c>
      <c r="B40" s="14" t="s">
        <v>10</v>
      </c>
      <c r="C40" s="18" t="s">
        <v>11</v>
      </c>
      <c r="D40" s="19">
        <v>180</v>
      </c>
      <c r="E40" s="19">
        <v>15</v>
      </c>
      <c r="F40" s="20">
        <v>19</v>
      </c>
    </row>
    <row r="41" spans="1:6" x14ac:dyDescent="0.25">
      <c r="A41" s="13">
        <v>46060</v>
      </c>
      <c r="B41" s="14" t="s">
        <v>12</v>
      </c>
      <c r="C41" s="18" t="s">
        <v>11</v>
      </c>
      <c r="D41" s="19">
        <v>180</v>
      </c>
      <c r="E41" s="19">
        <v>15</v>
      </c>
      <c r="F41" s="20">
        <v>19</v>
      </c>
    </row>
    <row r="42" spans="1:6" x14ac:dyDescent="0.25">
      <c r="A42" s="13">
        <v>46061</v>
      </c>
      <c r="B42" s="14" t="s">
        <v>13</v>
      </c>
      <c r="C42" s="18"/>
      <c r="D42" s="19"/>
      <c r="E42" s="19"/>
      <c r="F42" s="20"/>
    </row>
    <row r="43" spans="1:6" x14ac:dyDescent="0.25">
      <c r="A43" s="13">
        <v>46062</v>
      </c>
      <c r="B43" s="14" t="s">
        <v>14</v>
      </c>
      <c r="C43" s="18" t="s">
        <v>11</v>
      </c>
      <c r="D43" s="19">
        <v>180</v>
      </c>
      <c r="E43" s="19">
        <v>15</v>
      </c>
      <c r="F43" s="20">
        <v>19</v>
      </c>
    </row>
    <row r="44" spans="1:6" x14ac:dyDescent="0.25">
      <c r="A44" s="13">
        <v>46063</v>
      </c>
      <c r="B44" s="14" t="s">
        <v>15</v>
      </c>
      <c r="C44" s="18" t="s">
        <v>11</v>
      </c>
      <c r="D44" s="19">
        <v>180</v>
      </c>
      <c r="E44" s="19">
        <v>15</v>
      </c>
      <c r="F44" s="20">
        <v>19</v>
      </c>
    </row>
    <row r="45" spans="1:6" x14ac:dyDescent="0.25">
      <c r="A45" s="13">
        <v>46064</v>
      </c>
      <c r="B45" s="14" t="s">
        <v>16</v>
      </c>
      <c r="C45" s="18" t="s">
        <v>11</v>
      </c>
      <c r="D45" s="19">
        <v>180</v>
      </c>
      <c r="E45" s="19">
        <v>15</v>
      </c>
      <c r="F45" s="20">
        <v>19</v>
      </c>
    </row>
    <row r="46" spans="1:6" x14ac:dyDescent="0.25">
      <c r="A46" s="13">
        <v>46065</v>
      </c>
      <c r="B46" s="14" t="s">
        <v>8</v>
      </c>
      <c r="C46" s="18" t="s">
        <v>11</v>
      </c>
      <c r="D46" s="19">
        <v>180</v>
      </c>
      <c r="E46" s="19">
        <v>15</v>
      </c>
      <c r="F46" s="20">
        <v>19</v>
      </c>
    </row>
    <row r="47" spans="1:6" x14ac:dyDescent="0.25">
      <c r="A47" s="13">
        <v>46066</v>
      </c>
      <c r="B47" s="14" t="s">
        <v>10</v>
      </c>
      <c r="C47" s="18" t="s">
        <v>11</v>
      </c>
      <c r="D47" s="19">
        <v>180</v>
      </c>
      <c r="E47" s="19">
        <v>15</v>
      </c>
      <c r="F47" s="20">
        <v>19</v>
      </c>
    </row>
    <row r="48" spans="1:6" x14ac:dyDescent="0.25">
      <c r="A48" s="13">
        <v>46067</v>
      </c>
      <c r="B48" s="14" t="s">
        <v>12</v>
      </c>
      <c r="C48" s="18" t="s">
        <v>11</v>
      </c>
      <c r="D48" s="19">
        <v>180</v>
      </c>
      <c r="E48" s="19">
        <v>15</v>
      </c>
      <c r="F48" s="20">
        <v>19</v>
      </c>
    </row>
    <row r="49" spans="1:6" x14ac:dyDescent="0.25">
      <c r="A49" s="13">
        <v>46068</v>
      </c>
      <c r="B49" s="14" t="s">
        <v>13</v>
      </c>
      <c r="C49" s="18"/>
      <c r="D49" s="19"/>
      <c r="E49" s="19"/>
      <c r="F49" s="20"/>
    </row>
    <row r="50" spans="1:6" x14ac:dyDescent="0.25">
      <c r="A50" s="13">
        <v>46069</v>
      </c>
      <c r="B50" s="14" t="s">
        <v>14</v>
      </c>
      <c r="C50" s="18" t="s">
        <v>11</v>
      </c>
      <c r="D50" s="19">
        <v>180</v>
      </c>
      <c r="E50" s="19">
        <v>15</v>
      </c>
      <c r="F50" s="20">
        <v>19</v>
      </c>
    </row>
    <row r="51" spans="1:6" x14ac:dyDescent="0.25">
      <c r="A51" s="13">
        <v>46070</v>
      </c>
      <c r="B51" s="14" t="s">
        <v>15</v>
      </c>
      <c r="C51" s="18" t="s">
        <v>11</v>
      </c>
      <c r="D51" s="19">
        <v>180</v>
      </c>
      <c r="E51" s="19">
        <v>15</v>
      </c>
      <c r="F51" s="20">
        <v>19</v>
      </c>
    </row>
    <row r="52" spans="1:6" x14ac:dyDescent="0.25">
      <c r="A52" s="13">
        <v>46071</v>
      </c>
      <c r="B52" s="14" t="s">
        <v>16</v>
      </c>
      <c r="C52" s="18" t="s">
        <v>11</v>
      </c>
      <c r="D52" s="19">
        <v>180</v>
      </c>
      <c r="E52" s="19">
        <v>15</v>
      </c>
      <c r="F52" s="20">
        <v>19</v>
      </c>
    </row>
    <row r="53" spans="1:6" x14ac:dyDescent="0.25">
      <c r="A53" s="13">
        <v>46072</v>
      </c>
      <c r="B53" s="14" t="s">
        <v>8</v>
      </c>
      <c r="C53" s="18" t="s">
        <v>11</v>
      </c>
      <c r="D53" s="19">
        <v>180</v>
      </c>
      <c r="E53" s="19">
        <v>15</v>
      </c>
      <c r="F53" s="20">
        <v>19</v>
      </c>
    </row>
    <row r="54" spans="1:6" x14ac:dyDescent="0.25">
      <c r="A54" s="13">
        <v>46073</v>
      </c>
      <c r="B54" s="14" t="s">
        <v>10</v>
      </c>
      <c r="C54" s="18" t="s">
        <v>11</v>
      </c>
      <c r="D54" s="19">
        <v>180</v>
      </c>
      <c r="E54" s="19">
        <v>15</v>
      </c>
      <c r="F54" s="20">
        <v>19</v>
      </c>
    </row>
    <row r="55" spans="1:6" x14ac:dyDescent="0.25">
      <c r="A55" s="13">
        <v>46074</v>
      </c>
      <c r="B55" s="14" t="s">
        <v>12</v>
      </c>
      <c r="C55" s="15"/>
      <c r="D55" s="16"/>
      <c r="E55" s="16"/>
      <c r="F55" s="17"/>
    </row>
    <row r="56" spans="1:6" x14ac:dyDescent="0.25">
      <c r="A56" s="13">
        <v>46075</v>
      </c>
      <c r="B56" s="14" t="s">
        <v>13</v>
      </c>
      <c r="C56" s="15"/>
      <c r="D56" s="16"/>
      <c r="E56" s="16"/>
      <c r="F56" s="17"/>
    </row>
    <row r="57" spans="1:6" x14ac:dyDescent="0.25">
      <c r="A57" s="13">
        <v>46076</v>
      </c>
      <c r="B57" s="14" t="s">
        <v>14</v>
      </c>
      <c r="C57" s="18" t="s">
        <v>11</v>
      </c>
      <c r="D57" s="19">
        <v>180</v>
      </c>
      <c r="E57" s="19">
        <v>15</v>
      </c>
      <c r="F57" s="20">
        <v>19</v>
      </c>
    </row>
    <row r="58" spans="1:6" x14ac:dyDescent="0.25">
      <c r="A58" s="13">
        <v>46077</v>
      </c>
      <c r="B58" s="14" t="s">
        <v>15</v>
      </c>
      <c r="C58" s="18" t="s">
        <v>11</v>
      </c>
      <c r="D58" s="19">
        <v>180</v>
      </c>
      <c r="E58" s="19">
        <v>15</v>
      </c>
      <c r="F58" s="20">
        <v>19</v>
      </c>
    </row>
    <row r="59" spans="1:6" x14ac:dyDescent="0.25">
      <c r="A59" s="13">
        <v>46078</v>
      </c>
      <c r="B59" s="14" t="s">
        <v>16</v>
      </c>
      <c r="C59" s="18" t="s">
        <v>11</v>
      </c>
      <c r="D59" s="19">
        <v>180</v>
      </c>
      <c r="E59" s="19">
        <v>15</v>
      </c>
      <c r="F59" s="20">
        <v>19</v>
      </c>
    </row>
    <row r="60" spans="1:6" x14ac:dyDescent="0.25">
      <c r="A60" s="13">
        <v>46079</v>
      </c>
      <c r="B60" s="14" t="s">
        <v>8</v>
      </c>
      <c r="C60" s="18" t="s">
        <v>11</v>
      </c>
      <c r="D60" s="19">
        <v>180</v>
      </c>
      <c r="E60" s="19">
        <v>15</v>
      </c>
      <c r="F60" s="20">
        <v>19</v>
      </c>
    </row>
    <row r="61" spans="1:6" x14ac:dyDescent="0.25">
      <c r="A61" s="13">
        <v>46080</v>
      </c>
      <c r="B61" s="14" t="s">
        <v>10</v>
      </c>
      <c r="C61" s="18" t="s">
        <v>11</v>
      </c>
      <c r="D61" s="19">
        <v>180</v>
      </c>
      <c r="E61" s="19">
        <v>15</v>
      </c>
      <c r="F61" s="20">
        <v>19</v>
      </c>
    </row>
    <row r="62" spans="1:6" x14ac:dyDescent="0.25">
      <c r="A62" s="13">
        <v>46081</v>
      </c>
      <c r="B62" s="14" t="s">
        <v>12</v>
      </c>
      <c r="C62" s="18"/>
      <c r="D62" s="19"/>
      <c r="E62" s="16"/>
      <c r="F62" s="17"/>
    </row>
    <row r="63" spans="1:6" x14ac:dyDescent="0.25">
      <c r="A63" s="13">
        <v>46082</v>
      </c>
      <c r="B63" s="14" t="s">
        <v>13</v>
      </c>
      <c r="C63" s="18"/>
      <c r="D63" s="19"/>
      <c r="E63" s="16"/>
      <c r="F63" s="17"/>
    </row>
    <row r="64" spans="1:6" x14ac:dyDescent="0.25">
      <c r="A64" s="13">
        <v>46083</v>
      </c>
      <c r="B64" s="14" t="s">
        <v>14</v>
      </c>
      <c r="C64" s="18" t="s">
        <v>11</v>
      </c>
      <c r="D64" s="19">
        <v>180</v>
      </c>
      <c r="E64" s="19">
        <v>15</v>
      </c>
      <c r="F64" s="20">
        <v>19</v>
      </c>
    </row>
    <row r="65" spans="1:6" x14ac:dyDescent="0.25">
      <c r="A65" s="13">
        <v>46084</v>
      </c>
      <c r="B65" s="14" t="s">
        <v>15</v>
      </c>
      <c r="C65" s="18" t="s">
        <v>11</v>
      </c>
      <c r="D65" s="19">
        <v>180</v>
      </c>
      <c r="E65" s="19">
        <v>15</v>
      </c>
      <c r="F65" s="20">
        <v>19</v>
      </c>
    </row>
    <row r="66" spans="1:6" x14ac:dyDescent="0.25">
      <c r="A66" s="13">
        <v>46085</v>
      </c>
      <c r="B66" s="14" t="s">
        <v>16</v>
      </c>
      <c r="C66" s="18" t="s">
        <v>11</v>
      </c>
      <c r="D66" s="19">
        <v>180</v>
      </c>
      <c r="E66" s="19">
        <v>15</v>
      </c>
      <c r="F66" s="20">
        <v>19</v>
      </c>
    </row>
    <row r="67" spans="1:6" x14ac:dyDescent="0.25">
      <c r="A67" s="13">
        <v>46086</v>
      </c>
      <c r="B67" s="14" t="s">
        <v>8</v>
      </c>
      <c r="C67" s="18" t="s">
        <v>11</v>
      </c>
      <c r="D67" s="19">
        <v>180</v>
      </c>
      <c r="E67" s="19">
        <v>15</v>
      </c>
      <c r="F67" s="20">
        <v>19</v>
      </c>
    </row>
    <row r="68" spans="1:6" x14ac:dyDescent="0.25">
      <c r="A68" s="13">
        <v>46087</v>
      </c>
      <c r="B68" s="14" t="s">
        <v>10</v>
      </c>
      <c r="C68" s="23" t="s">
        <v>11</v>
      </c>
      <c r="D68" s="19">
        <v>180</v>
      </c>
      <c r="E68" s="19">
        <v>15</v>
      </c>
      <c r="F68" s="20">
        <v>19</v>
      </c>
    </row>
    <row r="69" spans="1:6" x14ac:dyDescent="0.25">
      <c r="A69" s="13">
        <v>46088</v>
      </c>
      <c r="B69" s="14" t="s">
        <v>12</v>
      </c>
      <c r="C69" s="18"/>
      <c r="D69" s="19"/>
      <c r="E69" s="16"/>
      <c r="F69" s="17"/>
    </row>
    <row r="70" spans="1:6" x14ac:dyDescent="0.25">
      <c r="A70" s="13">
        <v>46089</v>
      </c>
      <c r="B70" s="14" t="s">
        <v>13</v>
      </c>
      <c r="C70" s="18"/>
      <c r="D70" s="19"/>
      <c r="E70" s="16"/>
      <c r="F70" s="17"/>
    </row>
    <row r="71" spans="1:6" x14ac:dyDescent="0.25">
      <c r="A71" s="13">
        <v>46090</v>
      </c>
      <c r="B71" s="14" t="s">
        <v>14</v>
      </c>
      <c r="C71" s="23" t="s">
        <v>20</v>
      </c>
      <c r="D71" s="19">
        <v>180</v>
      </c>
      <c r="E71" s="19">
        <v>15</v>
      </c>
      <c r="F71" s="20">
        <v>19</v>
      </c>
    </row>
    <row r="72" spans="1:6" x14ac:dyDescent="0.25">
      <c r="A72" s="13">
        <v>46091</v>
      </c>
      <c r="B72" s="14" t="s">
        <v>15</v>
      </c>
      <c r="C72" s="23" t="s">
        <v>20</v>
      </c>
      <c r="D72" s="19">
        <v>180</v>
      </c>
      <c r="E72" s="19">
        <v>15</v>
      </c>
      <c r="F72" s="20">
        <v>19</v>
      </c>
    </row>
    <row r="73" spans="1:6" x14ac:dyDescent="0.25">
      <c r="A73" s="13">
        <v>46092</v>
      </c>
      <c r="B73" s="14" t="s">
        <v>16</v>
      </c>
      <c r="C73" s="23" t="s">
        <v>21</v>
      </c>
      <c r="D73" s="19">
        <v>180</v>
      </c>
      <c r="E73" s="19">
        <v>15</v>
      </c>
      <c r="F73" s="20">
        <v>19</v>
      </c>
    </row>
    <row r="74" spans="1:6" x14ac:dyDescent="0.25">
      <c r="A74" s="13">
        <v>46093</v>
      </c>
      <c r="B74" s="14" t="s">
        <v>8</v>
      </c>
      <c r="C74" s="23" t="s">
        <v>11</v>
      </c>
      <c r="D74" s="19">
        <v>180</v>
      </c>
      <c r="E74" s="19">
        <v>15</v>
      </c>
      <c r="F74" s="20">
        <v>19</v>
      </c>
    </row>
    <row r="75" spans="1:6" x14ac:dyDescent="0.25">
      <c r="A75" s="13">
        <v>46094</v>
      </c>
      <c r="B75" s="14" t="s">
        <v>10</v>
      </c>
      <c r="C75" s="23" t="s">
        <v>22</v>
      </c>
      <c r="D75" s="19">
        <v>180</v>
      </c>
      <c r="E75" s="19">
        <v>15</v>
      </c>
      <c r="F75" s="20">
        <v>19</v>
      </c>
    </row>
    <row r="76" spans="1:6" x14ac:dyDescent="0.25">
      <c r="A76" s="13">
        <v>46095</v>
      </c>
      <c r="B76" s="14" t="s">
        <v>12</v>
      </c>
      <c r="C76" s="18"/>
      <c r="D76" s="19"/>
      <c r="E76" s="16"/>
      <c r="F76" s="17"/>
    </row>
    <row r="77" spans="1:6" x14ac:dyDescent="0.25">
      <c r="A77" s="13">
        <v>46096</v>
      </c>
      <c r="B77" s="14" t="s">
        <v>13</v>
      </c>
      <c r="C77" s="18"/>
      <c r="D77" s="19"/>
      <c r="E77" s="16"/>
      <c r="F77" s="17"/>
    </row>
    <row r="78" spans="1:6" x14ac:dyDescent="0.25">
      <c r="A78" s="13">
        <v>46097</v>
      </c>
      <c r="B78" s="14" t="s">
        <v>14</v>
      </c>
      <c r="C78" s="23" t="s">
        <v>23</v>
      </c>
      <c r="D78" s="19">
        <v>180</v>
      </c>
      <c r="E78" s="19">
        <v>15</v>
      </c>
      <c r="F78" s="20">
        <v>19</v>
      </c>
    </row>
    <row r="79" spans="1:6" x14ac:dyDescent="0.25">
      <c r="A79" s="13">
        <v>46098</v>
      </c>
      <c r="B79" s="14" t="s">
        <v>15</v>
      </c>
      <c r="C79" s="23" t="s">
        <v>24</v>
      </c>
      <c r="D79" s="19">
        <v>180</v>
      </c>
      <c r="E79" s="19">
        <v>15</v>
      </c>
      <c r="F79" s="20">
        <v>19</v>
      </c>
    </row>
    <row r="80" spans="1:6" x14ac:dyDescent="0.25">
      <c r="A80" s="13">
        <v>46099</v>
      </c>
      <c r="B80" s="14" t="s">
        <v>16</v>
      </c>
      <c r="C80" s="23" t="s">
        <v>24</v>
      </c>
      <c r="D80" s="19">
        <v>180</v>
      </c>
      <c r="E80" s="19">
        <v>15</v>
      </c>
      <c r="F80" s="20">
        <v>19</v>
      </c>
    </row>
    <row r="81" spans="1:6" x14ac:dyDescent="0.25">
      <c r="A81" s="13">
        <v>46100</v>
      </c>
      <c r="B81" s="14" t="s">
        <v>8</v>
      </c>
      <c r="C81" s="18" t="s">
        <v>9</v>
      </c>
      <c r="D81" s="19">
        <v>0</v>
      </c>
      <c r="E81" s="19">
        <v>0</v>
      </c>
      <c r="F81" s="20">
        <v>0</v>
      </c>
    </row>
    <row r="82" spans="1:6" x14ac:dyDescent="0.25">
      <c r="A82" s="13">
        <v>46101</v>
      </c>
      <c r="B82" s="14" t="s">
        <v>10</v>
      </c>
      <c r="C82" s="23" t="s">
        <v>23</v>
      </c>
      <c r="D82" s="19">
        <v>180</v>
      </c>
      <c r="E82" s="19">
        <v>15</v>
      </c>
      <c r="F82" s="20">
        <v>19</v>
      </c>
    </row>
    <row r="83" spans="1:6" x14ac:dyDescent="0.25">
      <c r="A83" s="13">
        <v>46102</v>
      </c>
      <c r="B83" s="14" t="s">
        <v>12</v>
      </c>
      <c r="C83" s="15"/>
      <c r="D83" s="16"/>
      <c r="E83" s="16"/>
      <c r="F83" s="17"/>
    </row>
    <row r="84" spans="1:6" x14ac:dyDescent="0.25">
      <c r="A84" s="13">
        <v>46103</v>
      </c>
      <c r="B84" s="14" t="s">
        <v>13</v>
      </c>
      <c r="C84" s="15"/>
      <c r="D84" s="16"/>
      <c r="E84" s="16"/>
      <c r="F84" s="17"/>
    </row>
    <row r="85" spans="1:6" x14ac:dyDescent="0.25">
      <c r="A85" s="13">
        <v>46104</v>
      </c>
      <c r="B85" s="14" t="s">
        <v>14</v>
      </c>
      <c r="C85" s="15" t="s">
        <v>24</v>
      </c>
      <c r="D85" s="16">
        <v>180</v>
      </c>
      <c r="E85" s="19">
        <v>15</v>
      </c>
      <c r="F85" s="20">
        <v>19</v>
      </c>
    </row>
    <row r="86" spans="1:6" x14ac:dyDescent="0.25">
      <c r="A86" s="13">
        <v>46105</v>
      </c>
      <c r="B86" s="14" t="s">
        <v>15</v>
      </c>
      <c r="C86" s="15" t="s">
        <v>25</v>
      </c>
      <c r="D86" s="16">
        <v>0</v>
      </c>
      <c r="E86" s="16">
        <v>0</v>
      </c>
      <c r="F86" s="17">
        <v>0</v>
      </c>
    </row>
    <row r="87" spans="1:6" x14ac:dyDescent="0.25">
      <c r="A87" s="13">
        <v>46106</v>
      </c>
      <c r="B87" s="14" t="s">
        <v>16</v>
      </c>
      <c r="C87" s="15" t="s">
        <v>24</v>
      </c>
      <c r="D87" s="16">
        <v>180</v>
      </c>
      <c r="E87" s="19">
        <v>15</v>
      </c>
      <c r="F87" s="20">
        <v>19</v>
      </c>
    </row>
    <row r="88" spans="1:6" x14ac:dyDescent="0.25">
      <c r="A88" s="13">
        <v>46107</v>
      </c>
      <c r="B88" s="14" t="s">
        <v>8</v>
      </c>
      <c r="C88" s="15" t="s">
        <v>24</v>
      </c>
      <c r="D88" s="16">
        <v>180</v>
      </c>
      <c r="E88" s="19">
        <v>15</v>
      </c>
      <c r="F88" s="20">
        <v>19</v>
      </c>
    </row>
    <row r="89" spans="1:6" x14ac:dyDescent="0.25">
      <c r="A89" s="13">
        <v>46108</v>
      </c>
      <c r="B89" s="14" t="s">
        <v>10</v>
      </c>
      <c r="C89" s="15" t="s">
        <v>24</v>
      </c>
      <c r="D89" s="16">
        <v>180</v>
      </c>
      <c r="E89" s="19">
        <v>15</v>
      </c>
      <c r="F89" s="20">
        <v>19</v>
      </c>
    </row>
    <row r="90" spans="1:6" x14ac:dyDescent="0.25">
      <c r="A90" s="13">
        <v>46109</v>
      </c>
      <c r="B90" s="14" t="s">
        <v>12</v>
      </c>
      <c r="C90" s="15"/>
      <c r="D90" s="16"/>
      <c r="E90" s="16"/>
      <c r="F90" s="17"/>
    </row>
    <row r="91" spans="1:6" x14ac:dyDescent="0.25">
      <c r="A91" s="13">
        <v>46110</v>
      </c>
      <c r="B91" s="14" t="s">
        <v>13</v>
      </c>
      <c r="C91" s="15"/>
      <c r="D91" s="16"/>
      <c r="E91" s="16"/>
      <c r="F91" s="17"/>
    </row>
    <row r="92" spans="1:6" x14ac:dyDescent="0.25">
      <c r="A92" s="13">
        <v>46111</v>
      </c>
      <c r="B92" s="14" t="s">
        <v>14</v>
      </c>
      <c r="C92" s="15" t="s">
        <v>24</v>
      </c>
      <c r="D92" s="16">
        <f>180/2</f>
        <v>90</v>
      </c>
      <c r="E92" s="19">
        <f>15/2</f>
        <v>7.5</v>
      </c>
      <c r="F92" s="20">
        <f>19/2</f>
        <v>9.5</v>
      </c>
    </row>
    <row r="93" spans="1:6" x14ac:dyDescent="0.25">
      <c r="A93" s="13">
        <v>46111</v>
      </c>
      <c r="B93" s="14" t="s">
        <v>14</v>
      </c>
      <c r="C93" s="15" t="s">
        <v>26</v>
      </c>
      <c r="D93" s="16">
        <f>180/2</f>
        <v>90</v>
      </c>
      <c r="E93" s="19">
        <f>15/2</f>
        <v>7.5</v>
      </c>
      <c r="F93" s="20">
        <f>19/2</f>
        <v>9.5</v>
      </c>
    </row>
    <row r="94" spans="1:6" x14ac:dyDescent="0.25">
      <c r="A94" s="13">
        <v>46112</v>
      </c>
      <c r="B94" s="14" t="s">
        <v>15</v>
      </c>
      <c r="C94" s="15" t="s">
        <v>27</v>
      </c>
      <c r="D94" s="16">
        <v>180</v>
      </c>
      <c r="E94" s="19">
        <v>15</v>
      </c>
      <c r="F94" s="20">
        <v>19</v>
      </c>
    </row>
    <row r="95" spans="1:6" x14ac:dyDescent="0.25">
      <c r="A95" s="13">
        <v>46113</v>
      </c>
      <c r="B95" s="14" t="s">
        <v>16</v>
      </c>
      <c r="C95" s="15" t="s">
        <v>20</v>
      </c>
      <c r="D95" s="16">
        <v>180</v>
      </c>
      <c r="E95" s="19">
        <v>15</v>
      </c>
      <c r="F95" s="20">
        <v>19</v>
      </c>
    </row>
    <row r="96" spans="1:6" x14ac:dyDescent="0.25">
      <c r="A96" s="13">
        <v>46114</v>
      </c>
      <c r="B96" s="14" t="s">
        <v>8</v>
      </c>
      <c r="C96" s="15"/>
      <c r="D96" s="16">
        <v>0</v>
      </c>
      <c r="E96" s="16">
        <v>0</v>
      </c>
      <c r="F96" s="17">
        <v>0</v>
      </c>
    </row>
    <row r="97" spans="1:6" x14ac:dyDescent="0.25">
      <c r="A97" s="13">
        <v>46115</v>
      </c>
      <c r="B97" s="14" t="s">
        <v>10</v>
      </c>
      <c r="C97" s="15" t="s">
        <v>9</v>
      </c>
      <c r="D97" s="16">
        <v>0</v>
      </c>
      <c r="E97" s="16">
        <v>0</v>
      </c>
      <c r="F97" s="17">
        <v>0</v>
      </c>
    </row>
    <row r="98" spans="1:6" x14ac:dyDescent="0.25">
      <c r="A98" s="13">
        <v>46116</v>
      </c>
      <c r="B98" s="14" t="s">
        <v>12</v>
      </c>
      <c r="C98" s="15"/>
      <c r="D98" s="16"/>
      <c r="E98" s="16"/>
      <c r="F98" s="17"/>
    </row>
    <row r="99" spans="1:6" x14ac:dyDescent="0.25">
      <c r="A99" s="13">
        <v>46117</v>
      </c>
      <c r="B99" s="14" t="s">
        <v>13</v>
      </c>
      <c r="C99" s="15" t="s">
        <v>9</v>
      </c>
      <c r="D99" s="16"/>
      <c r="E99" s="16"/>
      <c r="F99" s="17"/>
    </row>
    <row r="100" spans="1:6" ht="15.75" thickBot="1" x14ac:dyDescent="0.3"/>
    <row r="101" spans="1:6" ht="15.75" thickBot="1" x14ac:dyDescent="0.3">
      <c r="A101" s="1" t="s">
        <v>0</v>
      </c>
      <c r="B101" s="2"/>
      <c r="C101" s="24" t="s">
        <v>28</v>
      </c>
      <c r="D101" s="25"/>
      <c r="E101" s="25"/>
      <c r="F101" s="26"/>
    </row>
    <row r="102" spans="1:6" x14ac:dyDescent="0.25">
      <c r="A102" s="6"/>
      <c r="B102" s="6"/>
      <c r="C102" s="27"/>
      <c r="D102" s="28"/>
      <c r="E102" s="28"/>
      <c r="F102" s="28"/>
    </row>
    <row r="103" spans="1:6" ht="25.5" x14ac:dyDescent="0.25">
      <c r="A103" s="9" t="s">
        <v>2</v>
      </c>
      <c r="B103" s="10" t="s">
        <v>3</v>
      </c>
      <c r="C103" s="29" t="s">
        <v>4</v>
      </c>
      <c r="D103" s="11" t="s">
        <v>5</v>
      </c>
      <c r="E103" s="11" t="s">
        <v>6</v>
      </c>
      <c r="F103" s="12" t="s">
        <v>7</v>
      </c>
    </row>
    <row r="104" spans="1:6" x14ac:dyDescent="0.25">
      <c r="A104" s="13">
        <v>46023</v>
      </c>
      <c r="B104" s="14" t="s">
        <v>8</v>
      </c>
      <c r="C104" s="15" t="s">
        <v>9</v>
      </c>
      <c r="D104" s="16"/>
      <c r="E104" s="16"/>
      <c r="F104" s="17"/>
    </row>
    <row r="105" spans="1:6" x14ac:dyDescent="0.25">
      <c r="A105" s="13">
        <v>46024</v>
      </c>
      <c r="B105" s="14" t="s">
        <v>10</v>
      </c>
      <c r="C105" s="15" t="s">
        <v>11</v>
      </c>
      <c r="D105" s="16">
        <v>250</v>
      </c>
      <c r="E105" s="16">
        <v>20.5</v>
      </c>
      <c r="F105" s="17">
        <v>0</v>
      </c>
    </row>
    <row r="106" spans="1:6" x14ac:dyDescent="0.25">
      <c r="A106" s="13">
        <v>46025</v>
      </c>
      <c r="B106" s="14" t="s">
        <v>12</v>
      </c>
      <c r="C106" s="15" t="s">
        <v>11</v>
      </c>
      <c r="D106" s="16">
        <v>250</v>
      </c>
      <c r="E106" s="16">
        <v>20.5</v>
      </c>
      <c r="F106" s="17">
        <v>0</v>
      </c>
    </row>
    <row r="107" spans="1:6" x14ac:dyDescent="0.25">
      <c r="A107" s="13">
        <v>46026</v>
      </c>
      <c r="B107" s="14" t="s">
        <v>13</v>
      </c>
      <c r="C107" s="15"/>
      <c r="D107" s="16"/>
      <c r="E107" s="16"/>
      <c r="F107" s="17"/>
    </row>
    <row r="108" spans="1:6" x14ac:dyDescent="0.25">
      <c r="A108" s="13">
        <v>46027</v>
      </c>
      <c r="B108" s="14" t="s">
        <v>14</v>
      </c>
      <c r="C108" s="15" t="s">
        <v>11</v>
      </c>
      <c r="D108" s="16">
        <v>250</v>
      </c>
      <c r="E108" s="16">
        <v>20.5</v>
      </c>
      <c r="F108" s="17">
        <v>0</v>
      </c>
    </row>
    <row r="109" spans="1:6" x14ac:dyDescent="0.25">
      <c r="A109" s="13">
        <v>46028</v>
      </c>
      <c r="B109" s="14" t="s">
        <v>15</v>
      </c>
      <c r="C109" s="15" t="s">
        <v>11</v>
      </c>
      <c r="D109" s="16">
        <v>250</v>
      </c>
      <c r="E109" s="16">
        <v>20.5</v>
      </c>
      <c r="F109" s="17">
        <v>0</v>
      </c>
    </row>
    <row r="110" spans="1:6" x14ac:dyDescent="0.25">
      <c r="A110" s="13">
        <v>46029</v>
      </c>
      <c r="B110" s="14" t="s">
        <v>16</v>
      </c>
      <c r="C110" s="15" t="s">
        <v>11</v>
      </c>
      <c r="D110" s="16">
        <v>250</v>
      </c>
      <c r="E110" s="16">
        <v>20.5</v>
      </c>
      <c r="F110" s="17">
        <v>0</v>
      </c>
    </row>
    <row r="111" spans="1:6" x14ac:dyDescent="0.25">
      <c r="A111" s="13">
        <v>46030</v>
      </c>
      <c r="B111" s="14" t="s">
        <v>8</v>
      </c>
      <c r="C111" s="15" t="s">
        <v>18</v>
      </c>
      <c r="D111" s="16">
        <v>250</v>
      </c>
      <c r="E111" s="16">
        <v>20.5</v>
      </c>
      <c r="F111" s="17">
        <v>0</v>
      </c>
    </row>
    <row r="112" spans="1:6" x14ac:dyDescent="0.25">
      <c r="A112" s="13">
        <v>46031</v>
      </c>
      <c r="B112" s="14" t="s">
        <v>10</v>
      </c>
      <c r="C112" s="15" t="s">
        <v>23</v>
      </c>
      <c r="D112" s="16">
        <v>250</v>
      </c>
      <c r="E112" s="16">
        <v>20.5</v>
      </c>
      <c r="F112" s="17">
        <v>0</v>
      </c>
    </row>
    <row r="113" spans="1:6" x14ac:dyDescent="0.25">
      <c r="A113" s="13">
        <v>46032</v>
      </c>
      <c r="B113" s="14" t="s">
        <v>12</v>
      </c>
      <c r="C113" s="15"/>
      <c r="D113" s="16"/>
      <c r="E113" s="16"/>
      <c r="F113" s="17"/>
    </row>
    <row r="114" spans="1:6" x14ac:dyDescent="0.25">
      <c r="A114" s="13">
        <v>46033</v>
      </c>
      <c r="B114" s="14" t="s">
        <v>13</v>
      </c>
      <c r="C114" s="15"/>
      <c r="D114" s="16"/>
      <c r="E114" s="16"/>
      <c r="F114" s="17"/>
    </row>
    <row r="115" spans="1:6" x14ac:dyDescent="0.25">
      <c r="A115" s="13">
        <v>46034</v>
      </c>
      <c r="B115" s="14" t="s">
        <v>14</v>
      </c>
      <c r="C115" s="15" t="s">
        <v>18</v>
      </c>
      <c r="D115" s="16">
        <v>250</v>
      </c>
      <c r="E115" s="16">
        <v>20.5</v>
      </c>
      <c r="F115" s="17">
        <v>0</v>
      </c>
    </row>
    <row r="116" spans="1:6" x14ac:dyDescent="0.25">
      <c r="A116" s="13">
        <v>46035</v>
      </c>
      <c r="B116" s="14" t="s">
        <v>15</v>
      </c>
      <c r="C116" s="15" t="s">
        <v>11</v>
      </c>
      <c r="D116" s="16">
        <v>250</v>
      </c>
      <c r="E116" s="16">
        <v>20.5</v>
      </c>
      <c r="F116" s="17">
        <v>0</v>
      </c>
    </row>
    <row r="117" spans="1:6" x14ac:dyDescent="0.25">
      <c r="A117" s="13">
        <v>46036</v>
      </c>
      <c r="B117" s="14" t="s">
        <v>16</v>
      </c>
      <c r="C117" s="15" t="s">
        <v>11</v>
      </c>
      <c r="D117" s="16">
        <v>250</v>
      </c>
      <c r="E117" s="16">
        <v>20.5</v>
      </c>
      <c r="F117" s="17">
        <v>0</v>
      </c>
    </row>
    <row r="118" spans="1:6" x14ac:dyDescent="0.25">
      <c r="A118" s="13">
        <v>46037</v>
      </c>
      <c r="B118" s="14" t="s">
        <v>8</v>
      </c>
      <c r="C118" s="15" t="s">
        <v>29</v>
      </c>
      <c r="D118" s="16">
        <v>250</v>
      </c>
      <c r="E118" s="16">
        <v>20.5</v>
      </c>
      <c r="F118" s="17">
        <v>0</v>
      </c>
    </row>
    <row r="119" spans="1:6" x14ac:dyDescent="0.25">
      <c r="A119" s="13">
        <v>46038</v>
      </c>
      <c r="B119" s="14" t="s">
        <v>10</v>
      </c>
      <c r="C119" s="15" t="s">
        <v>29</v>
      </c>
      <c r="D119" s="16">
        <v>250</v>
      </c>
      <c r="E119" s="16">
        <v>20.5</v>
      </c>
      <c r="F119" s="17">
        <v>0</v>
      </c>
    </row>
    <row r="120" spans="1:6" x14ac:dyDescent="0.25">
      <c r="A120" s="13">
        <v>46039</v>
      </c>
      <c r="B120" s="14" t="s">
        <v>12</v>
      </c>
      <c r="C120" s="15"/>
      <c r="D120" s="16"/>
      <c r="E120" s="16"/>
      <c r="F120" s="17"/>
    </row>
    <row r="121" spans="1:6" x14ac:dyDescent="0.25">
      <c r="A121" s="13">
        <v>46040</v>
      </c>
      <c r="B121" s="14" t="s">
        <v>13</v>
      </c>
      <c r="C121" s="15"/>
      <c r="D121" s="16"/>
      <c r="E121" s="16"/>
      <c r="F121" s="17"/>
    </row>
    <row r="122" spans="1:6" x14ac:dyDescent="0.25">
      <c r="A122" s="13">
        <v>46041</v>
      </c>
      <c r="B122" s="14" t="s">
        <v>14</v>
      </c>
      <c r="C122" s="15" t="s">
        <v>11</v>
      </c>
      <c r="D122" s="16">
        <v>250</v>
      </c>
      <c r="E122" s="16">
        <v>20.5</v>
      </c>
      <c r="F122" s="17">
        <v>0</v>
      </c>
    </row>
    <row r="123" spans="1:6" x14ac:dyDescent="0.25">
      <c r="A123" s="13">
        <v>46042</v>
      </c>
      <c r="B123" s="14" t="s">
        <v>15</v>
      </c>
      <c r="C123" s="15" t="s">
        <v>11</v>
      </c>
      <c r="D123" s="16">
        <v>250</v>
      </c>
      <c r="E123" s="16">
        <v>20.5</v>
      </c>
      <c r="F123" s="17">
        <v>0</v>
      </c>
    </row>
    <row r="124" spans="1:6" x14ac:dyDescent="0.25">
      <c r="A124" s="13">
        <v>46043</v>
      </c>
      <c r="B124" s="14" t="s">
        <v>16</v>
      </c>
      <c r="C124" s="15" t="s">
        <v>11</v>
      </c>
      <c r="D124" s="16">
        <v>250</v>
      </c>
      <c r="E124" s="16">
        <v>20.5</v>
      </c>
      <c r="F124" s="17">
        <v>0</v>
      </c>
    </row>
    <row r="125" spans="1:6" x14ac:dyDescent="0.25">
      <c r="A125" s="13">
        <v>46044</v>
      </c>
      <c r="B125" s="14" t="s">
        <v>8</v>
      </c>
      <c r="C125" s="15" t="s">
        <v>11</v>
      </c>
      <c r="D125" s="16">
        <v>250</v>
      </c>
      <c r="E125" s="16">
        <v>20.5</v>
      </c>
      <c r="F125" s="17">
        <v>0</v>
      </c>
    </row>
    <row r="126" spans="1:6" x14ac:dyDescent="0.25">
      <c r="A126" s="13">
        <v>46045</v>
      </c>
      <c r="B126" s="14" t="s">
        <v>10</v>
      </c>
      <c r="C126" s="15" t="s">
        <v>11</v>
      </c>
      <c r="D126" s="16">
        <v>250</v>
      </c>
      <c r="E126" s="16">
        <v>20.5</v>
      </c>
      <c r="F126" s="17">
        <v>0</v>
      </c>
    </row>
    <row r="127" spans="1:6" x14ac:dyDescent="0.25">
      <c r="A127" s="13">
        <v>46046</v>
      </c>
      <c r="B127" s="14" t="s">
        <v>12</v>
      </c>
      <c r="C127" s="15"/>
      <c r="D127" s="16"/>
      <c r="E127" s="16"/>
      <c r="F127" s="17"/>
    </row>
    <row r="128" spans="1:6" x14ac:dyDescent="0.25">
      <c r="A128" s="13">
        <v>46047</v>
      </c>
      <c r="B128" s="14" t="s">
        <v>13</v>
      </c>
      <c r="C128" s="15"/>
      <c r="D128" s="16"/>
      <c r="E128" s="16"/>
      <c r="F128" s="17"/>
    </row>
    <row r="129" spans="1:6" x14ac:dyDescent="0.25">
      <c r="A129" s="13">
        <v>46048</v>
      </c>
      <c r="B129" s="14" t="s">
        <v>14</v>
      </c>
      <c r="C129" s="15" t="s">
        <v>11</v>
      </c>
      <c r="D129" s="16">
        <v>250</v>
      </c>
      <c r="E129" s="16">
        <v>20.5</v>
      </c>
      <c r="F129" s="17">
        <v>0</v>
      </c>
    </row>
    <row r="130" spans="1:6" x14ac:dyDescent="0.25">
      <c r="A130" s="13">
        <v>46049</v>
      </c>
      <c r="B130" s="14" t="s">
        <v>15</v>
      </c>
      <c r="C130" s="15" t="s">
        <v>11</v>
      </c>
      <c r="D130" s="16">
        <v>250</v>
      </c>
      <c r="E130" s="16">
        <v>20.5</v>
      </c>
      <c r="F130" s="17">
        <v>0</v>
      </c>
    </row>
    <row r="131" spans="1:6" x14ac:dyDescent="0.25">
      <c r="A131" s="13">
        <v>46050</v>
      </c>
      <c r="B131" s="14" t="s">
        <v>16</v>
      </c>
      <c r="C131" s="15" t="s">
        <v>11</v>
      </c>
      <c r="D131" s="16">
        <v>250</v>
      </c>
      <c r="E131" s="16">
        <v>20.5</v>
      </c>
      <c r="F131" s="17">
        <v>0</v>
      </c>
    </row>
    <row r="132" spans="1:6" x14ac:dyDescent="0.25">
      <c r="A132" s="13">
        <v>46051</v>
      </c>
      <c r="B132" s="14" t="s">
        <v>8</v>
      </c>
      <c r="C132" s="15" t="s">
        <v>11</v>
      </c>
      <c r="D132" s="16">
        <v>250</v>
      </c>
      <c r="E132" s="16">
        <v>20.5</v>
      </c>
      <c r="F132" s="17">
        <v>0</v>
      </c>
    </row>
    <row r="133" spans="1:6" x14ac:dyDescent="0.25">
      <c r="A133" s="13">
        <v>46052</v>
      </c>
      <c r="B133" s="14" t="s">
        <v>10</v>
      </c>
      <c r="C133" s="15" t="s">
        <v>11</v>
      </c>
      <c r="D133" s="16">
        <v>250</v>
      </c>
      <c r="E133" s="16">
        <v>20.5</v>
      </c>
      <c r="F133" s="17">
        <v>0</v>
      </c>
    </row>
    <row r="134" spans="1:6" x14ac:dyDescent="0.25">
      <c r="A134" s="13">
        <v>46053</v>
      </c>
      <c r="B134" s="14" t="s">
        <v>12</v>
      </c>
      <c r="C134" s="15" t="s">
        <v>11</v>
      </c>
      <c r="D134" s="16">
        <v>250</v>
      </c>
      <c r="E134" s="16">
        <v>20.5</v>
      </c>
      <c r="F134" s="17">
        <v>0</v>
      </c>
    </row>
    <row r="135" spans="1:6" x14ac:dyDescent="0.25">
      <c r="A135" s="13">
        <v>46054</v>
      </c>
      <c r="B135" s="14" t="s">
        <v>13</v>
      </c>
      <c r="C135" s="15" t="s">
        <v>11</v>
      </c>
      <c r="D135" s="16">
        <v>250</v>
      </c>
      <c r="E135" s="16">
        <v>20.5</v>
      </c>
      <c r="F135" s="17">
        <v>0</v>
      </c>
    </row>
    <row r="136" spans="1:6" x14ac:dyDescent="0.25">
      <c r="A136" s="13">
        <v>46055</v>
      </c>
      <c r="B136" s="14" t="s">
        <v>14</v>
      </c>
      <c r="C136" s="15" t="s">
        <v>29</v>
      </c>
      <c r="D136" s="16">
        <v>250</v>
      </c>
      <c r="E136" s="16">
        <v>20.5</v>
      </c>
      <c r="F136" s="17">
        <v>0</v>
      </c>
    </row>
    <row r="137" spans="1:6" x14ac:dyDescent="0.25">
      <c r="A137" s="13">
        <v>46056</v>
      </c>
      <c r="B137" s="14" t="s">
        <v>15</v>
      </c>
      <c r="C137" s="15" t="s">
        <v>11</v>
      </c>
      <c r="D137" s="16">
        <v>250</v>
      </c>
      <c r="E137" s="16">
        <v>20.5</v>
      </c>
      <c r="F137" s="17">
        <v>0</v>
      </c>
    </row>
    <row r="138" spans="1:6" x14ac:dyDescent="0.25">
      <c r="A138" s="13">
        <v>46057</v>
      </c>
      <c r="B138" s="14" t="s">
        <v>16</v>
      </c>
      <c r="C138" s="15" t="s">
        <v>11</v>
      </c>
      <c r="D138" s="16">
        <v>250</v>
      </c>
      <c r="E138" s="16">
        <v>20.5</v>
      </c>
      <c r="F138" s="17">
        <v>0</v>
      </c>
    </row>
    <row r="139" spans="1:6" x14ac:dyDescent="0.25">
      <c r="A139" s="13">
        <v>46058</v>
      </c>
      <c r="B139" s="14" t="s">
        <v>8</v>
      </c>
      <c r="C139" s="15" t="s">
        <v>11</v>
      </c>
      <c r="D139" s="16">
        <v>250</v>
      </c>
      <c r="E139" s="16">
        <v>20.5</v>
      </c>
      <c r="F139" s="17">
        <v>0</v>
      </c>
    </row>
    <row r="140" spans="1:6" x14ac:dyDescent="0.25">
      <c r="A140" s="13">
        <v>46059</v>
      </c>
      <c r="B140" s="14" t="s">
        <v>10</v>
      </c>
      <c r="C140" s="15" t="s">
        <v>11</v>
      </c>
      <c r="D140" s="16">
        <v>250</v>
      </c>
      <c r="E140" s="16">
        <v>20.5</v>
      </c>
      <c r="F140" s="17">
        <v>0</v>
      </c>
    </row>
    <row r="141" spans="1:6" x14ac:dyDescent="0.25">
      <c r="A141" s="13">
        <v>46060</v>
      </c>
      <c r="B141" s="14" t="s">
        <v>12</v>
      </c>
      <c r="C141" s="15" t="s">
        <v>11</v>
      </c>
      <c r="D141" s="16">
        <v>250</v>
      </c>
      <c r="E141" s="16">
        <v>20.5</v>
      </c>
      <c r="F141" s="17">
        <v>0</v>
      </c>
    </row>
    <row r="142" spans="1:6" x14ac:dyDescent="0.25">
      <c r="A142" s="13">
        <v>46061</v>
      </c>
      <c r="B142" s="14" t="s">
        <v>13</v>
      </c>
      <c r="C142" s="15"/>
      <c r="D142" s="16"/>
      <c r="E142" s="16"/>
      <c r="F142" s="17"/>
    </row>
    <row r="143" spans="1:6" x14ac:dyDescent="0.25">
      <c r="A143" s="13">
        <v>46062</v>
      </c>
      <c r="B143" s="14" t="s">
        <v>14</v>
      </c>
      <c r="C143" s="15" t="s">
        <v>11</v>
      </c>
      <c r="D143" s="16">
        <v>250</v>
      </c>
      <c r="E143" s="16">
        <v>20.5</v>
      </c>
      <c r="F143" s="17">
        <v>0</v>
      </c>
    </row>
    <row r="144" spans="1:6" x14ac:dyDescent="0.25">
      <c r="A144" s="13">
        <v>46063</v>
      </c>
      <c r="B144" s="14" t="s">
        <v>15</v>
      </c>
      <c r="C144" s="15" t="s">
        <v>11</v>
      </c>
      <c r="D144" s="16">
        <v>250</v>
      </c>
      <c r="E144" s="16">
        <v>20.5</v>
      </c>
      <c r="F144" s="17">
        <v>0</v>
      </c>
    </row>
    <row r="145" spans="1:6" x14ac:dyDescent="0.25">
      <c r="A145" s="13">
        <v>46064</v>
      </c>
      <c r="B145" s="14" t="s">
        <v>16</v>
      </c>
      <c r="C145" s="15" t="s">
        <v>11</v>
      </c>
      <c r="D145" s="16">
        <v>250</v>
      </c>
      <c r="E145" s="16">
        <v>20.5</v>
      </c>
      <c r="F145" s="17">
        <v>0</v>
      </c>
    </row>
    <row r="146" spans="1:6" x14ac:dyDescent="0.25">
      <c r="A146" s="13">
        <v>46065</v>
      </c>
      <c r="B146" s="14" t="s">
        <v>8</v>
      </c>
      <c r="C146" s="15" t="s">
        <v>11</v>
      </c>
      <c r="D146" s="16">
        <v>250</v>
      </c>
      <c r="E146" s="16">
        <v>20.5</v>
      </c>
      <c r="F146" s="17">
        <v>0</v>
      </c>
    </row>
    <row r="147" spans="1:6" x14ac:dyDescent="0.25">
      <c r="A147" s="13">
        <v>46066</v>
      </c>
      <c r="B147" s="14" t="s">
        <v>10</v>
      </c>
      <c r="C147" s="15" t="s">
        <v>11</v>
      </c>
      <c r="D147" s="16">
        <v>250</v>
      </c>
      <c r="E147" s="16">
        <v>20.5</v>
      </c>
      <c r="F147" s="17">
        <v>0</v>
      </c>
    </row>
    <row r="148" spans="1:6" x14ac:dyDescent="0.25">
      <c r="A148" s="13">
        <v>46067</v>
      </c>
      <c r="B148" s="14" t="s">
        <v>12</v>
      </c>
      <c r="C148" s="15" t="s">
        <v>11</v>
      </c>
      <c r="D148" s="16">
        <v>250</v>
      </c>
      <c r="E148" s="16">
        <v>20.5</v>
      </c>
      <c r="F148" s="17">
        <v>0</v>
      </c>
    </row>
    <row r="149" spans="1:6" x14ac:dyDescent="0.25">
      <c r="A149" s="13">
        <v>46068</v>
      </c>
      <c r="B149" s="14" t="s">
        <v>13</v>
      </c>
      <c r="C149" s="15"/>
      <c r="D149" s="16"/>
      <c r="E149" s="16"/>
      <c r="F149" s="17"/>
    </row>
    <row r="150" spans="1:6" x14ac:dyDescent="0.25">
      <c r="A150" s="13">
        <v>46069</v>
      </c>
      <c r="B150" s="14" t="s">
        <v>14</v>
      </c>
      <c r="C150" s="15" t="s">
        <v>11</v>
      </c>
      <c r="D150" s="16">
        <v>250</v>
      </c>
      <c r="E150" s="16">
        <v>20.5</v>
      </c>
      <c r="F150" s="17">
        <v>0</v>
      </c>
    </row>
    <row r="151" spans="1:6" x14ac:dyDescent="0.25">
      <c r="A151" s="13">
        <v>46070</v>
      </c>
      <c r="B151" s="14" t="s">
        <v>15</v>
      </c>
      <c r="C151" s="15" t="s">
        <v>11</v>
      </c>
      <c r="D151" s="16">
        <v>250</v>
      </c>
      <c r="E151" s="16">
        <v>20.5</v>
      </c>
      <c r="F151" s="17">
        <v>0</v>
      </c>
    </row>
    <row r="152" spans="1:6" x14ac:dyDescent="0.25">
      <c r="A152" s="13">
        <v>46071</v>
      </c>
      <c r="B152" s="14" t="s">
        <v>16</v>
      </c>
      <c r="C152" s="15" t="s">
        <v>11</v>
      </c>
      <c r="D152" s="16">
        <v>250</v>
      </c>
      <c r="E152" s="16">
        <v>20.5</v>
      </c>
      <c r="F152" s="17">
        <v>0</v>
      </c>
    </row>
    <row r="153" spans="1:6" x14ac:dyDescent="0.25">
      <c r="A153" s="13">
        <v>46072</v>
      </c>
      <c r="B153" s="14" t="s">
        <v>8</v>
      </c>
      <c r="C153" s="15" t="s">
        <v>11</v>
      </c>
      <c r="D153" s="16">
        <v>250</v>
      </c>
      <c r="E153" s="16">
        <v>20.5</v>
      </c>
      <c r="F153" s="17">
        <v>0</v>
      </c>
    </row>
    <row r="154" spans="1:6" x14ac:dyDescent="0.25">
      <c r="A154" s="13">
        <v>46073</v>
      </c>
      <c r="B154" s="14" t="s">
        <v>10</v>
      </c>
      <c r="C154" s="15" t="s">
        <v>11</v>
      </c>
      <c r="D154" s="16">
        <v>250</v>
      </c>
      <c r="E154" s="16">
        <v>20.5</v>
      </c>
      <c r="F154" s="17">
        <v>0</v>
      </c>
    </row>
    <row r="155" spans="1:6" ht="15.75" thickBot="1" x14ac:dyDescent="0.3"/>
    <row r="156" spans="1:6" ht="15.75" thickBot="1" x14ac:dyDescent="0.3">
      <c r="A156" s="1" t="s">
        <v>0</v>
      </c>
      <c r="B156" s="2"/>
      <c r="C156" s="30" t="s">
        <v>30</v>
      </c>
      <c r="D156" s="31"/>
      <c r="E156" s="31"/>
      <c r="F156" s="32"/>
    </row>
    <row r="157" spans="1:6" x14ac:dyDescent="0.25">
      <c r="A157" s="6"/>
      <c r="B157" s="6"/>
      <c r="C157" s="7"/>
      <c r="D157" s="8"/>
      <c r="E157" s="8"/>
      <c r="F157" s="8"/>
    </row>
    <row r="158" spans="1:6" ht="25.5" x14ac:dyDescent="0.25">
      <c r="A158" s="9" t="s">
        <v>2</v>
      </c>
      <c r="B158" s="10" t="s">
        <v>3</v>
      </c>
      <c r="C158" s="10" t="s">
        <v>4</v>
      </c>
      <c r="D158" s="11" t="s">
        <v>5</v>
      </c>
      <c r="E158" s="11" t="s">
        <v>6</v>
      </c>
      <c r="F158" s="12" t="s">
        <v>7</v>
      </c>
    </row>
    <row r="159" spans="1:6" x14ac:dyDescent="0.25">
      <c r="A159" s="13">
        <v>46023</v>
      </c>
      <c r="B159" s="14" t="s">
        <v>8</v>
      </c>
      <c r="C159" s="15" t="s">
        <v>9</v>
      </c>
      <c r="D159" s="16"/>
      <c r="E159" s="16"/>
      <c r="F159" s="17"/>
    </row>
    <row r="160" spans="1:6" x14ac:dyDescent="0.25">
      <c r="A160" s="13">
        <v>46024</v>
      </c>
      <c r="B160" s="14" t="s">
        <v>10</v>
      </c>
      <c r="C160" s="15" t="s">
        <v>25</v>
      </c>
      <c r="D160" s="16"/>
      <c r="E160" s="16"/>
      <c r="F160" s="17"/>
    </row>
    <row r="161" spans="1:6" x14ac:dyDescent="0.25">
      <c r="A161" s="13">
        <v>46025</v>
      </c>
      <c r="B161" s="14" t="s">
        <v>12</v>
      </c>
      <c r="C161" s="15"/>
      <c r="D161" s="16"/>
      <c r="E161" s="16"/>
      <c r="F161" s="17"/>
    </row>
    <row r="162" spans="1:6" x14ac:dyDescent="0.25">
      <c r="A162" s="13">
        <v>46026</v>
      </c>
      <c r="B162" s="14" t="s">
        <v>13</v>
      </c>
      <c r="C162" s="15"/>
      <c r="D162" s="16"/>
      <c r="E162" s="16"/>
      <c r="F162" s="17"/>
    </row>
    <row r="163" spans="1:6" x14ac:dyDescent="0.25">
      <c r="A163" s="13">
        <v>46027</v>
      </c>
      <c r="B163" s="14" t="s">
        <v>14</v>
      </c>
      <c r="C163" s="18" t="s">
        <v>31</v>
      </c>
      <c r="D163" s="19">
        <v>120</v>
      </c>
      <c r="E163" s="19">
        <v>0</v>
      </c>
      <c r="F163" s="20">
        <v>0</v>
      </c>
    </row>
    <row r="164" spans="1:6" x14ac:dyDescent="0.25">
      <c r="A164" s="13">
        <v>46028</v>
      </c>
      <c r="B164" s="14" t="s">
        <v>15</v>
      </c>
      <c r="C164" s="18" t="s">
        <v>31</v>
      </c>
      <c r="D164" s="19">
        <v>120</v>
      </c>
      <c r="E164" s="19">
        <v>0</v>
      </c>
      <c r="F164" s="20">
        <v>0</v>
      </c>
    </row>
    <row r="165" spans="1:6" x14ac:dyDescent="0.25">
      <c r="A165" s="13">
        <v>46029</v>
      </c>
      <c r="B165" s="14" t="s">
        <v>16</v>
      </c>
      <c r="C165" s="18" t="s">
        <v>31</v>
      </c>
      <c r="D165" s="19">
        <v>120</v>
      </c>
      <c r="E165" s="19">
        <v>0</v>
      </c>
      <c r="F165" s="20">
        <v>0</v>
      </c>
    </row>
    <row r="166" spans="1:6" x14ac:dyDescent="0.25">
      <c r="A166" s="13">
        <v>46030</v>
      </c>
      <c r="B166" s="14" t="s">
        <v>8</v>
      </c>
      <c r="C166" s="18" t="s">
        <v>31</v>
      </c>
      <c r="D166" s="19">
        <v>120</v>
      </c>
      <c r="E166" s="19">
        <v>0</v>
      </c>
      <c r="F166" s="20">
        <v>0</v>
      </c>
    </row>
    <row r="167" spans="1:6" x14ac:dyDescent="0.25">
      <c r="A167" s="13">
        <v>46031</v>
      </c>
      <c r="B167" s="14" t="s">
        <v>10</v>
      </c>
      <c r="C167" s="18" t="s">
        <v>31</v>
      </c>
      <c r="D167" s="19">
        <v>120</v>
      </c>
      <c r="E167" s="19">
        <v>0</v>
      </c>
      <c r="F167" s="20">
        <v>0</v>
      </c>
    </row>
    <row r="168" spans="1:6" x14ac:dyDescent="0.25">
      <c r="A168" s="13">
        <v>46032</v>
      </c>
      <c r="B168" s="14" t="s">
        <v>12</v>
      </c>
      <c r="C168" s="18"/>
      <c r="D168" s="19"/>
      <c r="E168" s="19"/>
      <c r="F168" s="20"/>
    </row>
    <row r="169" spans="1:6" x14ac:dyDescent="0.25">
      <c r="A169" s="13">
        <v>46033</v>
      </c>
      <c r="B169" s="14" t="s">
        <v>13</v>
      </c>
      <c r="C169" s="18"/>
      <c r="D169" s="19"/>
      <c r="E169" s="19"/>
      <c r="F169" s="20"/>
    </row>
    <row r="170" spans="1:6" x14ac:dyDescent="0.25">
      <c r="A170" s="13">
        <v>46034</v>
      </c>
      <c r="B170" s="14" t="s">
        <v>14</v>
      </c>
      <c r="C170" s="18" t="s">
        <v>18</v>
      </c>
      <c r="D170" s="19">
        <v>100</v>
      </c>
      <c r="E170" s="19">
        <v>12.6</v>
      </c>
      <c r="F170" s="20">
        <v>0</v>
      </c>
    </row>
    <row r="171" spans="1:6" x14ac:dyDescent="0.25">
      <c r="A171" s="13">
        <v>46035</v>
      </c>
      <c r="B171" s="14" t="s">
        <v>15</v>
      </c>
      <c r="C171" s="18" t="s">
        <v>11</v>
      </c>
      <c r="D171" s="19">
        <v>100</v>
      </c>
      <c r="E171" s="19">
        <v>12.6</v>
      </c>
      <c r="F171" s="20">
        <v>0</v>
      </c>
    </row>
    <row r="172" spans="1:6" x14ac:dyDescent="0.25">
      <c r="A172" s="13">
        <v>46036</v>
      </c>
      <c r="B172" s="14" t="s">
        <v>16</v>
      </c>
      <c r="C172" s="18" t="s">
        <v>23</v>
      </c>
      <c r="D172" s="19">
        <v>100</v>
      </c>
      <c r="E172" s="19">
        <v>12.6</v>
      </c>
      <c r="F172" s="20">
        <v>0</v>
      </c>
    </row>
    <row r="173" spans="1:6" x14ac:dyDescent="0.25">
      <c r="A173" s="13">
        <v>46037</v>
      </c>
      <c r="B173" s="14" t="s">
        <v>8</v>
      </c>
      <c r="C173" s="18" t="s">
        <v>23</v>
      </c>
      <c r="D173" s="19">
        <v>100</v>
      </c>
      <c r="E173" s="19">
        <v>12.6</v>
      </c>
      <c r="F173" s="20">
        <v>0</v>
      </c>
    </row>
    <row r="174" spans="1:6" x14ac:dyDescent="0.25">
      <c r="A174" s="13">
        <v>46038</v>
      </c>
      <c r="B174" s="14" t="s">
        <v>10</v>
      </c>
      <c r="C174" s="18" t="s">
        <v>23</v>
      </c>
      <c r="D174" s="19">
        <v>100</v>
      </c>
      <c r="E174" s="19">
        <v>12.6</v>
      </c>
      <c r="F174" s="20">
        <v>0</v>
      </c>
    </row>
    <row r="175" spans="1:6" x14ac:dyDescent="0.25">
      <c r="A175" s="13">
        <v>46039</v>
      </c>
      <c r="B175" s="14" t="s">
        <v>12</v>
      </c>
      <c r="C175" s="18"/>
      <c r="D175" s="19"/>
      <c r="E175" s="19"/>
      <c r="F175" s="20"/>
    </row>
    <row r="176" spans="1:6" x14ac:dyDescent="0.25">
      <c r="A176" s="13">
        <v>46040</v>
      </c>
      <c r="B176" s="14" t="s">
        <v>13</v>
      </c>
      <c r="C176" s="18"/>
      <c r="D176" s="19"/>
      <c r="E176" s="19"/>
      <c r="F176" s="20"/>
    </row>
    <row r="177" spans="1:6" x14ac:dyDescent="0.25">
      <c r="A177" s="13">
        <v>46041</v>
      </c>
      <c r="B177" s="14" t="s">
        <v>14</v>
      </c>
      <c r="C177" s="18" t="s">
        <v>23</v>
      </c>
      <c r="D177" s="19">
        <v>100</v>
      </c>
      <c r="E177" s="19">
        <v>12.6</v>
      </c>
      <c r="F177" s="20">
        <v>0</v>
      </c>
    </row>
    <row r="178" spans="1:6" x14ac:dyDescent="0.25">
      <c r="A178" s="13">
        <v>46042</v>
      </c>
      <c r="B178" s="14" t="s">
        <v>15</v>
      </c>
      <c r="C178" s="18" t="s">
        <v>23</v>
      </c>
      <c r="D178" s="19">
        <v>100</v>
      </c>
      <c r="E178" s="19">
        <v>12.6</v>
      </c>
      <c r="F178" s="20">
        <v>0</v>
      </c>
    </row>
    <row r="179" spans="1:6" x14ac:dyDescent="0.25">
      <c r="A179" s="13">
        <v>46043</v>
      </c>
      <c r="B179" s="14" t="s">
        <v>16</v>
      </c>
      <c r="C179" s="18" t="s">
        <v>32</v>
      </c>
      <c r="D179" s="19">
        <v>100</v>
      </c>
      <c r="E179" s="19">
        <v>12.6</v>
      </c>
      <c r="F179" s="20">
        <v>0</v>
      </c>
    </row>
    <row r="180" spans="1:6" x14ac:dyDescent="0.25">
      <c r="A180" s="13">
        <v>46044</v>
      </c>
      <c r="B180" s="14" t="s">
        <v>8</v>
      </c>
      <c r="C180" s="18" t="s">
        <v>32</v>
      </c>
      <c r="D180" s="19">
        <v>100</v>
      </c>
      <c r="E180" s="19">
        <v>12.6</v>
      </c>
      <c r="F180" s="20">
        <v>0</v>
      </c>
    </row>
    <row r="181" spans="1:6" x14ac:dyDescent="0.25">
      <c r="A181" s="13">
        <v>46045</v>
      </c>
      <c r="B181" s="14" t="s">
        <v>10</v>
      </c>
      <c r="C181" s="18" t="s">
        <v>32</v>
      </c>
      <c r="D181" s="19">
        <v>100</v>
      </c>
      <c r="E181" s="19">
        <v>12.6</v>
      </c>
      <c r="F181" s="20">
        <v>0</v>
      </c>
    </row>
    <row r="182" spans="1:6" x14ac:dyDescent="0.25">
      <c r="A182" s="13">
        <v>46046</v>
      </c>
      <c r="B182" s="14" t="s">
        <v>12</v>
      </c>
      <c r="C182" s="18"/>
      <c r="D182" s="19"/>
      <c r="E182" s="19"/>
      <c r="F182" s="20"/>
    </row>
    <row r="183" spans="1:6" x14ac:dyDescent="0.25">
      <c r="A183" s="13">
        <v>46047</v>
      </c>
      <c r="B183" s="14" t="s">
        <v>13</v>
      </c>
      <c r="C183" s="18"/>
      <c r="D183" s="19"/>
      <c r="E183" s="19"/>
      <c r="F183" s="20"/>
    </row>
    <row r="184" spans="1:6" x14ac:dyDescent="0.25">
      <c r="A184" s="13">
        <v>46048</v>
      </c>
      <c r="B184" s="14" t="s">
        <v>14</v>
      </c>
      <c r="C184" s="18" t="s">
        <v>32</v>
      </c>
      <c r="D184" s="19">
        <v>100</v>
      </c>
      <c r="E184" s="19">
        <v>12.6</v>
      </c>
      <c r="F184" s="20">
        <v>0</v>
      </c>
    </row>
    <row r="185" spans="1:6" x14ac:dyDescent="0.25">
      <c r="A185" s="13">
        <v>46049</v>
      </c>
      <c r="B185" s="14" t="s">
        <v>15</v>
      </c>
      <c r="C185" s="18" t="s">
        <v>23</v>
      </c>
      <c r="D185" s="19">
        <v>100</v>
      </c>
      <c r="E185" s="19">
        <v>12.6</v>
      </c>
      <c r="F185" s="20">
        <v>0</v>
      </c>
    </row>
    <row r="186" spans="1:6" x14ac:dyDescent="0.25">
      <c r="A186" s="13">
        <v>46050</v>
      </c>
      <c r="B186" s="14" t="s">
        <v>16</v>
      </c>
      <c r="C186" s="18" t="s">
        <v>23</v>
      </c>
      <c r="D186" s="19">
        <v>100</v>
      </c>
      <c r="E186" s="19">
        <v>12.6</v>
      </c>
      <c r="F186" s="20">
        <v>0</v>
      </c>
    </row>
    <row r="187" spans="1:6" x14ac:dyDescent="0.25">
      <c r="A187" s="13">
        <v>46051</v>
      </c>
      <c r="B187" s="14" t="s">
        <v>8</v>
      </c>
      <c r="C187" s="18" t="s">
        <v>23</v>
      </c>
      <c r="D187" s="19">
        <v>100</v>
      </c>
      <c r="E187" s="19">
        <v>12.6</v>
      </c>
      <c r="F187" s="20">
        <v>0</v>
      </c>
    </row>
    <row r="188" spans="1:6" x14ac:dyDescent="0.25">
      <c r="A188" s="13">
        <v>46052</v>
      </c>
      <c r="B188" s="14" t="s">
        <v>10</v>
      </c>
      <c r="C188" s="18" t="s">
        <v>23</v>
      </c>
      <c r="D188" s="19">
        <v>100</v>
      </c>
      <c r="E188" s="19">
        <v>12.6</v>
      </c>
      <c r="F188" s="20">
        <v>0</v>
      </c>
    </row>
    <row r="189" spans="1:6" x14ac:dyDescent="0.25">
      <c r="A189" s="13">
        <v>46053</v>
      </c>
      <c r="B189" s="14" t="s">
        <v>12</v>
      </c>
      <c r="C189" s="18"/>
      <c r="D189" s="19"/>
      <c r="E189" s="19"/>
      <c r="F189" s="20"/>
    </row>
    <row r="190" spans="1:6" x14ac:dyDescent="0.25">
      <c r="A190" s="13">
        <v>46054</v>
      </c>
      <c r="B190" s="14" t="s">
        <v>13</v>
      </c>
      <c r="C190" s="18"/>
      <c r="D190" s="19"/>
      <c r="E190" s="19"/>
      <c r="F190" s="20"/>
    </row>
    <row r="191" spans="1:6" x14ac:dyDescent="0.25">
      <c r="A191" s="13">
        <v>46055</v>
      </c>
      <c r="B191" s="14" t="s">
        <v>14</v>
      </c>
      <c r="C191" s="18" t="s">
        <v>23</v>
      </c>
      <c r="D191" s="19">
        <v>100</v>
      </c>
      <c r="E191" s="19">
        <v>12.6</v>
      </c>
      <c r="F191" s="20">
        <v>0</v>
      </c>
    </row>
    <row r="192" spans="1:6" x14ac:dyDescent="0.25">
      <c r="A192" s="13">
        <v>46056</v>
      </c>
      <c r="B192" s="14" t="s">
        <v>15</v>
      </c>
      <c r="C192" s="18" t="s">
        <v>23</v>
      </c>
      <c r="D192" s="19">
        <v>100</v>
      </c>
      <c r="E192" s="19">
        <v>12.6</v>
      </c>
      <c r="F192" s="20">
        <v>10</v>
      </c>
    </row>
    <row r="193" spans="1:6" x14ac:dyDescent="0.25">
      <c r="A193" s="13">
        <v>46057</v>
      </c>
      <c r="B193" s="14" t="s">
        <v>16</v>
      </c>
      <c r="C193" s="18" t="s">
        <v>23</v>
      </c>
      <c r="D193" s="19">
        <v>100</v>
      </c>
      <c r="E193" s="19">
        <v>12.6</v>
      </c>
      <c r="F193" s="20">
        <v>10</v>
      </c>
    </row>
    <row r="194" spans="1:6" x14ac:dyDescent="0.25">
      <c r="A194" s="13">
        <v>46058</v>
      </c>
      <c r="B194" s="14" t="s">
        <v>8</v>
      </c>
      <c r="C194" s="18" t="s">
        <v>23</v>
      </c>
      <c r="D194" s="19">
        <v>100</v>
      </c>
      <c r="E194" s="19">
        <v>12.6</v>
      </c>
      <c r="F194" s="20">
        <v>10</v>
      </c>
    </row>
    <row r="195" spans="1:6" x14ac:dyDescent="0.25">
      <c r="A195" s="13">
        <v>46059</v>
      </c>
      <c r="B195" s="14" t="s">
        <v>10</v>
      </c>
      <c r="C195" s="18" t="s">
        <v>23</v>
      </c>
      <c r="D195" s="19">
        <v>120</v>
      </c>
      <c r="E195" s="19">
        <v>12.6</v>
      </c>
      <c r="F195" s="20">
        <v>10</v>
      </c>
    </row>
    <row r="196" spans="1:6" x14ac:dyDescent="0.25">
      <c r="A196" s="13">
        <v>46060</v>
      </c>
      <c r="B196" s="14" t="s">
        <v>12</v>
      </c>
      <c r="C196" s="18"/>
      <c r="D196" s="19"/>
      <c r="E196" s="16"/>
      <c r="F196" s="17"/>
    </row>
    <row r="197" spans="1:6" x14ac:dyDescent="0.25">
      <c r="A197" s="13">
        <v>46061</v>
      </c>
      <c r="B197" s="14" t="s">
        <v>13</v>
      </c>
      <c r="C197" s="18"/>
      <c r="D197" s="19"/>
      <c r="E197" s="16"/>
      <c r="F197" s="17"/>
    </row>
    <row r="198" spans="1:6" x14ac:dyDescent="0.25">
      <c r="A198" s="13">
        <v>46062</v>
      </c>
      <c r="B198" s="14" t="s">
        <v>14</v>
      </c>
      <c r="C198" s="18" t="s">
        <v>23</v>
      </c>
      <c r="D198" s="19">
        <v>60</v>
      </c>
      <c r="E198" s="19">
        <f>12.6/2</f>
        <v>6.3</v>
      </c>
      <c r="F198" s="20">
        <v>10</v>
      </c>
    </row>
    <row r="199" spans="1:6" x14ac:dyDescent="0.25">
      <c r="A199" s="13">
        <v>46062</v>
      </c>
      <c r="B199" s="14" t="s">
        <v>14</v>
      </c>
      <c r="C199" s="18" t="s">
        <v>11</v>
      </c>
      <c r="D199" s="19">
        <v>60</v>
      </c>
      <c r="E199" s="19">
        <f>12.6/2</f>
        <v>6.3</v>
      </c>
      <c r="F199" s="20">
        <v>0</v>
      </c>
    </row>
    <row r="200" spans="1:6" x14ac:dyDescent="0.25">
      <c r="A200" s="13">
        <v>46063</v>
      </c>
      <c r="B200" s="14" t="s">
        <v>15</v>
      </c>
      <c r="C200" s="18" t="s">
        <v>11</v>
      </c>
      <c r="D200" s="19">
        <v>120</v>
      </c>
      <c r="E200" s="19">
        <v>12.6</v>
      </c>
      <c r="F200" s="20">
        <v>0</v>
      </c>
    </row>
    <row r="201" spans="1:6" x14ac:dyDescent="0.25">
      <c r="A201" s="13">
        <v>46064</v>
      </c>
      <c r="B201" s="14" t="s">
        <v>16</v>
      </c>
      <c r="C201" s="18" t="s">
        <v>19</v>
      </c>
      <c r="D201" s="19">
        <v>0</v>
      </c>
      <c r="E201" s="19">
        <v>0</v>
      </c>
      <c r="F201" s="20">
        <v>0</v>
      </c>
    </row>
    <row r="202" spans="1:6" x14ac:dyDescent="0.25">
      <c r="A202" s="13">
        <v>46065</v>
      </c>
      <c r="B202" s="14" t="s">
        <v>8</v>
      </c>
      <c r="C202" s="18" t="s">
        <v>11</v>
      </c>
      <c r="D202" s="19">
        <v>120</v>
      </c>
      <c r="E202" s="19">
        <v>12.6</v>
      </c>
      <c r="F202" s="20"/>
    </row>
    <row r="203" spans="1:6" x14ac:dyDescent="0.25">
      <c r="A203" s="13">
        <v>46066</v>
      </c>
      <c r="B203" s="14" t="s">
        <v>10</v>
      </c>
      <c r="C203" s="18" t="s">
        <v>11</v>
      </c>
      <c r="D203" s="19">
        <v>120</v>
      </c>
      <c r="E203" s="19">
        <v>12.6</v>
      </c>
      <c r="F203" s="20">
        <v>0</v>
      </c>
    </row>
    <row r="204" spans="1:6" x14ac:dyDescent="0.25">
      <c r="A204" s="13">
        <v>46067</v>
      </c>
      <c r="B204" s="14" t="s">
        <v>12</v>
      </c>
      <c r="C204" s="18" t="s">
        <v>11</v>
      </c>
      <c r="D204" s="19">
        <v>120</v>
      </c>
      <c r="E204" s="19">
        <v>12.6</v>
      </c>
      <c r="F204" s="20">
        <v>0</v>
      </c>
    </row>
    <row r="205" spans="1:6" x14ac:dyDescent="0.25">
      <c r="A205" s="13">
        <v>46068</v>
      </c>
      <c r="B205" s="14" t="s">
        <v>13</v>
      </c>
      <c r="C205" s="15"/>
      <c r="D205" s="16"/>
      <c r="E205" s="19"/>
      <c r="F205" s="20"/>
    </row>
    <row r="206" spans="1:6" x14ac:dyDescent="0.25">
      <c r="A206" s="13">
        <v>46069</v>
      </c>
      <c r="B206" s="14" t="s">
        <v>14</v>
      </c>
      <c r="C206" s="15" t="s">
        <v>9</v>
      </c>
      <c r="D206" s="16"/>
      <c r="E206" s="19"/>
      <c r="F206" s="20"/>
    </row>
    <row r="207" spans="1:6" x14ac:dyDescent="0.25">
      <c r="A207" s="13">
        <v>46070</v>
      </c>
      <c r="B207" s="14" t="s">
        <v>15</v>
      </c>
      <c r="C207" s="15" t="s">
        <v>9</v>
      </c>
      <c r="D207" s="16"/>
      <c r="E207" s="19"/>
      <c r="F207" s="20"/>
    </row>
    <row r="208" spans="1:6" x14ac:dyDescent="0.25">
      <c r="A208" s="13">
        <v>46071</v>
      </c>
      <c r="B208" s="14" t="s">
        <v>16</v>
      </c>
      <c r="C208" s="18" t="s">
        <v>11</v>
      </c>
      <c r="D208" s="19">
        <v>120</v>
      </c>
      <c r="E208" s="19">
        <v>12.6</v>
      </c>
      <c r="F208" s="20">
        <v>0</v>
      </c>
    </row>
    <row r="209" spans="1:6" x14ac:dyDescent="0.25">
      <c r="A209" s="13">
        <v>46072</v>
      </c>
      <c r="B209" s="14" t="s">
        <v>8</v>
      </c>
      <c r="C209" s="18" t="s">
        <v>11</v>
      </c>
      <c r="D209" s="19">
        <v>120</v>
      </c>
      <c r="E209" s="19">
        <v>12.6</v>
      </c>
      <c r="F209" s="20">
        <v>0</v>
      </c>
    </row>
    <row r="210" spans="1:6" x14ac:dyDescent="0.25">
      <c r="A210" s="13">
        <v>46073</v>
      </c>
      <c r="B210" s="14" t="s">
        <v>10</v>
      </c>
      <c r="C210" s="18" t="s">
        <v>11</v>
      </c>
      <c r="D210" s="19">
        <v>120</v>
      </c>
      <c r="E210" s="19">
        <v>12.6</v>
      </c>
      <c r="F210" s="20">
        <v>0</v>
      </c>
    </row>
    <row r="211" spans="1:6" x14ac:dyDescent="0.25">
      <c r="A211" s="13">
        <v>46074</v>
      </c>
      <c r="B211" s="14" t="s">
        <v>12</v>
      </c>
      <c r="C211" s="18"/>
      <c r="D211" s="19"/>
      <c r="E211" s="16"/>
      <c r="F211" s="17"/>
    </row>
    <row r="212" spans="1:6" x14ac:dyDescent="0.25">
      <c r="A212" s="13">
        <v>46075</v>
      </c>
      <c r="B212" s="14" t="s">
        <v>13</v>
      </c>
      <c r="C212" s="18"/>
      <c r="D212" s="19"/>
      <c r="E212" s="16"/>
      <c r="F212" s="17"/>
    </row>
    <row r="213" spans="1:6" x14ac:dyDescent="0.25">
      <c r="A213" s="13">
        <v>46076</v>
      </c>
      <c r="B213" s="14" t="s">
        <v>14</v>
      </c>
      <c r="C213" s="18" t="s">
        <v>19</v>
      </c>
      <c r="D213" s="19"/>
      <c r="E213" s="19">
        <v>12.6</v>
      </c>
      <c r="F213" s="17"/>
    </row>
    <row r="214" spans="1:6" x14ac:dyDescent="0.25">
      <c r="A214" s="13">
        <v>46077</v>
      </c>
      <c r="B214" s="14" t="s">
        <v>15</v>
      </c>
      <c r="C214" s="18" t="s">
        <v>11</v>
      </c>
      <c r="D214" s="19">
        <v>120</v>
      </c>
      <c r="E214" s="19">
        <v>12.6</v>
      </c>
      <c r="F214" s="17"/>
    </row>
    <row r="215" spans="1:6" x14ac:dyDescent="0.25">
      <c r="A215" s="13">
        <v>46078</v>
      </c>
      <c r="B215" s="14" t="s">
        <v>16</v>
      </c>
      <c r="C215" s="18" t="s">
        <v>11</v>
      </c>
      <c r="D215" s="19">
        <v>120</v>
      </c>
      <c r="E215" s="19">
        <v>12.6</v>
      </c>
      <c r="F215" s="17"/>
    </row>
    <row r="216" spans="1:6" x14ac:dyDescent="0.25">
      <c r="A216" s="13">
        <v>46079</v>
      </c>
      <c r="B216" s="14" t="s">
        <v>8</v>
      </c>
      <c r="C216" s="18" t="s">
        <v>11</v>
      </c>
      <c r="D216" s="19">
        <v>120</v>
      </c>
      <c r="E216" s="19">
        <v>12.6</v>
      </c>
      <c r="F216" s="17"/>
    </row>
    <row r="217" spans="1:6" x14ac:dyDescent="0.25">
      <c r="A217" s="13">
        <v>46080</v>
      </c>
      <c r="B217" s="14" t="s">
        <v>10</v>
      </c>
      <c r="C217" s="18" t="s">
        <v>11</v>
      </c>
      <c r="D217" s="19">
        <v>120</v>
      </c>
      <c r="E217" s="19">
        <v>12.6</v>
      </c>
      <c r="F217" s="17"/>
    </row>
    <row r="218" spans="1:6" x14ac:dyDescent="0.25">
      <c r="A218" s="13">
        <v>46081</v>
      </c>
      <c r="B218" s="14" t="s">
        <v>12</v>
      </c>
      <c r="C218" s="18"/>
      <c r="D218" s="19"/>
      <c r="E218" s="16"/>
      <c r="F218" s="17"/>
    </row>
    <row r="219" spans="1:6" x14ac:dyDescent="0.25">
      <c r="A219" s="13">
        <v>46082</v>
      </c>
      <c r="B219" s="14" t="s">
        <v>13</v>
      </c>
      <c r="C219" s="18"/>
      <c r="D219" s="19"/>
      <c r="E219" s="16"/>
      <c r="F219" s="17"/>
    </row>
    <row r="220" spans="1:6" x14ac:dyDescent="0.25">
      <c r="A220" s="13">
        <v>46083</v>
      </c>
      <c r="B220" s="14" t="s">
        <v>14</v>
      </c>
      <c r="C220" s="18" t="s">
        <v>11</v>
      </c>
      <c r="D220" s="19">
        <v>120</v>
      </c>
      <c r="E220" s="19">
        <v>12.6</v>
      </c>
      <c r="F220" s="17"/>
    </row>
    <row r="221" spans="1:6" x14ac:dyDescent="0.25">
      <c r="A221" s="13">
        <v>46084</v>
      </c>
      <c r="B221" s="14" t="s">
        <v>15</v>
      </c>
      <c r="C221" s="18" t="s">
        <v>11</v>
      </c>
      <c r="D221" s="19">
        <v>120</v>
      </c>
      <c r="E221" s="19">
        <v>12.6</v>
      </c>
      <c r="F221" s="17"/>
    </row>
    <row r="222" spans="1:6" x14ac:dyDescent="0.25">
      <c r="A222" s="13">
        <v>46085</v>
      </c>
      <c r="B222" s="14" t="s">
        <v>16</v>
      </c>
      <c r="C222" s="18" t="s">
        <v>11</v>
      </c>
      <c r="D222" s="19">
        <v>120</v>
      </c>
      <c r="E222" s="19">
        <v>12.6</v>
      </c>
      <c r="F222" s="17"/>
    </row>
    <row r="223" spans="1:6" x14ac:dyDescent="0.25">
      <c r="A223" s="13">
        <v>46086</v>
      </c>
      <c r="B223" s="14" t="s">
        <v>8</v>
      </c>
      <c r="C223" s="18" t="s">
        <v>11</v>
      </c>
      <c r="D223" s="19">
        <v>120</v>
      </c>
      <c r="E223" s="19">
        <v>12.6</v>
      </c>
      <c r="F223" s="17"/>
    </row>
    <row r="224" spans="1:6" x14ac:dyDescent="0.25">
      <c r="A224" s="13">
        <v>46087</v>
      </c>
      <c r="B224" s="14" t="s">
        <v>10</v>
      </c>
      <c r="C224" s="18" t="s">
        <v>11</v>
      </c>
      <c r="D224" s="19">
        <v>120</v>
      </c>
      <c r="E224" s="19">
        <v>12.6</v>
      </c>
      <c r="F224" s="17"/>
    </row>
    <row r="225" spans="1:6" x14ac:dyDescent="0.25">
      <c r="A225" s="13">
        <v>46088</v>
      </c>
      <c r="B225" s="14" t="s">
        <v>12</v>
      </c>
      <c r="C225" s="18"/>
      <c r="D225" s="19"/>
      <c r="E225" s="16"/>
      <c r="F225" s="17"/>
    </row>
    <row r="226" spans="1:6" x14ac:dyDescent="0.25">
      <c r="A226" s="13">
        <v>46089</v>
      </c>
      <c r="B226" s="14" t="s">
        <v>13</v>
      </c>
      <c r="C226" s="18"/>
      <c r="D226" s="19"/>
      <c r="E226" s="16"/>
      <c r="F226" s="17"/>
    </row>
    <row r="227" spans="1:6" x14ac:dyDescent="0.25">
      <c r="A227" s="13">
        <v>46090</v>
      </c>
      <c r="B227" s="14" t="s">
        <v>14</v>
      </c>
      <c r="C227" s="18" t="s">
        <v>11</v>
      </c>
      <c r="D227" s="19">
        <v>120</v>
      </c>
      <c r="E227" s="19">
        <v>12.6</v>
      </c>
      <c r="F227" s="17"/>
    </row>
    <row r="228" spans="1:6" x14ac:dyDescent="0.25">
      <c r="A228" s="13">
        <v>46091</v>
      </c>
      <c r="B228" s="14" t="s">
        <v>15</v>
      </c>
      <c r="C228" s="18" t="s">
        <v>19</v>
      </c>
      <c r="D228" s="19"/>
      <c r="E228" s="19"/>
      <c r="F228" s="17"/>
    </row>
    <row r="229" spans="1:6" x14ac:dyDescent="0.25">
      <c r="A229" s="13">
        <v>46092</v>
      </c>
      <c r="B229" s="14" t="s">
        <v>16</v>
      </c>
      <c r="C229" s="18" t="s">
        <v>11</v>
      </c>
      <c r="D229" s="19">
        <v>120</v>
      </c>
      <c r="E229" s="19">
        <v>12.6</v>
      </c>
      <c r="F229" s="17"/>
    </row>
    <row r="230" spans="1:6" x14ac:dyDescent="0.25">
      <c r="A230" s="13">
        <v>46093</v>
      </c>
      <c r="B230" s="14" t="s">
        <v>8</v>
      </c>
      <c r="C230" s="18" t="s">
        <v>11</v>
      </c>
      <c r="D230" s="19">
        <v>120</v>
      </c>
      <c r="E230" s="19">
        <v>12.6</v>
      </c>
      <c r="F230" s="17"/>
    </row>
    <row r="231" spans="1:6" x14ac:dyDescent="0.25">
      <c r="A231" s="13">
        <v>46094</v>
      </c>
      <c r="B231" s="14" t="s">
        <v>10</v>
      </c>
      <c r="C231" s="18" t="s">
        <v>11</v>
      </c>
      <c r="D231" s="19">
        <v>120</v>
      </c>
      <c r="E231" s="19">
        <v>12.6</v>
      </c>
      <c r="F231" s="17"/>
    </row>
    <row r="232" spans="1:6" x14ac:dyDescent="0.25">
      <c r="A232" s="13">
        <v>46095</v>
      </c>
      <c r="B232" s="14" t="s">
        <v>12</v>
      </c>
      <c r="C232" s="18"/>
      <c r="D232" s="19"/>
      <c r="E232" s="16"/>
      <c r="F232" s="17"/>
    </row>
    <row r="233" spans="1:6" x14ac:dyDescent="0.25">
      <c r="A233" s="13">
        <v>46096</v>
      </c>
      <c r="B233" s="14" t="s">
        <v>13</v>
      </c>
      <c r="C233" s="18"/>
      <c r="D233" s="19"/>
      <c r="E233" s="16"/>
      <c r="F233" s="17"/>
    </row>
    <row r="234" spans="1:6" x14ac:dyDescent="0.25">
      <c r="A234" s="13">
        <v>46097</v>
      </c>
      <c r="B234" s="14" t="s">
        <v>14</v>
      </c>
      <c r="C234" s="18" t="s">
        <v>11</v>
      </c>
      <c r="D234" s="19">
        <v>120</v>
      </c>
      <c r="E234" s="19">
        <v>12.6</v>
      </c>
      <c r="F234" s="17"/>
    </row>
    <row r="235" spans="1:6" x14ac:dyDescent="0.25">
      <c r="A235" s="13">
        <v>46098</v>
      </c>
      <c r="B235" s="14" t="s">
        <v>15</v>
      </c>
      <c r="C235" s="18" t="s">
        <v>11</v>
      </c>
      <c r="D235" s="19">
        <v>120</v>
      </c>
      <c r="E235" s="19">
        <v>12.6</v>
      </c>
      <c r="F235" s="17"/>
    </row>
    <row r="236" spans="1:6" x14ac:dyDescent="0.25">
      <c r="A236" s="13">
        <v>46099</v>
      </c>
      <c r="B236" s="14" t="s">
        <v>16</v>
      </c>
      <c r="C236" s="18" t="s">
        <v>11</v>
      </c>
      <c r="D236" s="19">
        <v>120</v>
      </c>
      <c r="E236" s="19">
        <v>12.6</v>
      </c>
      <c r="F236" s="17"/>
    </row>
    <row r="237" spans="1:6" x14ac:dyDescent="0.25">
      <c r="A237" s="13">
        <v>46100</v>
      </c>
      <c r="B237" s="14" t="s">
        <v>8</v>
      </c>
      <c r="C237" s="18" t="s">
        <v>9</v>
      </c>
      <c r="D237" s="19"/>
      <c r="E237" s="19"/>
      <c r="F237" s="17"/>
    </row>
    <row r="238" spans="1:6" x14ac:dyDescent="0.25">
      <c r="A238" s="13">
        <v>46101</v>
      </c>
      <c r="B238" s="14" t="s">
        <v>10</v>
      </c>
      <c r="C238" s="18" t="s">
        <v>11</v>
      </c>
      <c r="D238" s="19">
        <v>120</v>
      </c>
      <c r="E238" s="19">
        <v>12.6</v>
      </c>
      <c r="F238" s="17"/>
    </row>
    <row r="239" spans="1:6" x14ac:dyDescent="0.25">
      <c r="A239" s="13">
        <v>46102</v>
      </c>
      <c r="B239" s="14" t="s">
        <v>12</v>
      </c>
      <c r="C239" s="15"/>
      <c r="D239" s="16"/>
      <c r="E239" s="16"/>
      <c r="F239" s="17"/>
    </row>
    <row r="240" spans="1:6" x14ac:dyDescent="0.25">
      <c r="A240" s="13">
        <v>46103</v>
      </c>
      <c r="B240" s="14" t="s">
        <v>13</v>
      </c>
      <c r="C240" s="15"/>
      <c r="D240" s="16"/>
      <c r="E240" s="19"/>
      <c r="F240" s="17"/>
    </row>
    <row r="241" spans="1:6" x14ac:dyDescent="0.25">
      <c r="A241" s="13">
        <v>46104</v>
      </c>
      <c r="B241" s="14" t="s">
        <v>14</v>
      </c>
      <c r="C241" s="15" t="s">
        <v>24</v>
      </c>
      <c r="D241" s="16">
        <v>120</v>
      </c>
      <c r="E241" s="19">
        <v>12.6</v>
      </c>
      <c r="F241" s="17"/>
    </row>
    <row r="242" spans="1:6" x14ac:dyDescent="0.25">
      <c r="A242" s="13">
        <v>46105</v>
      </c>
      <c r="B242" s="14" t="s">
        <v>15</v>
      </c>
      <c r="C242" s="15" t="s">
        <v>25</v>
      </c>
      <c r="D242" s="16"/>
      <c r="E242" s="19">
        <v>12.6</v>
      </c>
      <c r="F242" s="17"/>
    </row>
    <row r="243" spans="1:6" x14ac:dyDescent="0.25">
      <c r="A243" s="13">
        <v>46106</v>
      </c>
      <c r="B243" s="14" t="s">
        <v>16</v>
      </c>
      <c r="C243" s="15" t="s">
        <v>23</v>
      </c>
      <c r="D243" s="16">
        <v>120</v>
      </c>
      <c r="E243" s="19">
        <v>12.6</v>
      </c>
      <c r="F243" s="17"/>
    </row>
    <row r="244" spans="1:6" x14ac:dyDescent="0.25">
      <c r="A244" s="13">
        <v>46107</v>
      </c>
      <c r="B244" s="14" t="s">
        <v>8</v>
      </c>
      <c r="C244" s="15" t="s">
        <v>23</v>
      </c>
      <c r="D244" s="16">
        <v>120</v>
      </c>
      <c r="E244" s="19">
        <v>12.6</v>
      </c>
      <c r="F244" s="17"/>
    </row>
    <row r="245" spans="1:6" ht="15.75" thickBot="1" x14ac:dyDescent="0.3"/>
    <row r="246" spans="1:6" ht="15.75" thickBot="1" x14ac:dyDescent="0.3">
      <c r="A246" s="1" t="s">
        <v>0</v>
      </c>
      <c r="B246" s="2"/>
      <c r="C246" s="33" t="s">
        <v>33</v>
      </c>
      <c r="D246" s="34"/>
      <c r="E246" s="34"/>
      <c r="F246" s="35"/>
    </row>
    <row r="247" spans="1:6" x14ac:dyDescent="0.25">
      <c r="A247" s="6"/>
      <c r="B247" s="6"/>
      <c r="C247" s="7"/>
      <c r="D247" s="8"/>
      <c r="E247" s="8"/>
      <c r="F247" s="8"/>
    </row>
    <row r="248" spans="1:6" ht="25.5" x14ac:dyDescent="0.25">
      <c r="A248" s="9" t="s">
        <v>2</v>
      </c>
      <c r="B248" s="10" t="s">
        <v>3</v>
      </c>
      <c r="C248" s="10" t="s">
        <v>4</v>
      </c>
      <c r="D248" s="11" t="s">
        <v>5</v>
      </c>
      <c r="E248" s="11" t="s">
        <v>6</v>
      </c>
      <c r="F248" s="12" t="s">
        <v>7</v>
      </c>
    </row>
    <row r="249" spans="1:6" x14ac:dyDescent="0.25">
      <c r="A249" s="13">
        <v>46023</v>
      </c>
      <c r="B249" s="14" t="s">
        <v>8</v>
      </c>
      <c r="C249" s="15" t="s">
        <v>9</v>
      </c>
      <c r="D249" s="16"/>
      <c r="E249" s="16"/>
      <c r="F249" s="17"/>
    </row>
    <row r="250" spans="1:6" x14ac:dyDescent="0.25">
      <c r="A250" s="13">
        <v>46024</v>
      </c>
      <c r="B250" s="14" t="s">
        <v>10</v>
      </c>
      <c r="C250" s="15" t="s">
        <v>25</v>
      </c>
      <c r="D250" s="16"/>
      <c r="E250" s="16"/>
      <c r="F250" s="17"/>
    </row>
    <row r="251" spans="1:6" x14ac:dyDescent="0.25">
      <c r="A251" s="13">
        <v>46025</v>
      </c>
      <c r="B251" s="14" t="s">
        <v>12</v>
      </c>
      <c r="C251" s="15"/>
      <c r="D251" s="16"/>
      <c r="E251" s="16"/>
      <c r="F251" s="17"/>
    </row>
    <row r="252" spans="1:6" x14ac:dyDescent="0.25">
      <c r="A252" s="13">
        <v>46026</v>
      </c>
      <c r="B252" s="14" t="s">
        <v>13</v>
      </c>
      <c r="C252" s="15"/>
      <c r="D252" s="16"/>
      <c r="E252" s="16"/>
      <c r="F252" s="17"/>
    </row>
    <row r="253" spans="1:6" x14ac:dyDescent="0.25">
      <c r="A253" s="13">
        <v>46027</v>
      </c>
      <c r="B253" s="14" t="s">
        <v>14</v>
      </c>
      <c r="C253" s="18" t="s">
        <v>31</v>
      </c>
      <c r="D253" s="19">
        <v>180</v>
      </c>
      <c r="E253" s="19">
        <v>0</v>
      </c>
      <c r="F253" s="20">
        <v>0</v>
      </c>
    </row>
    <row r="254" spans="1:6" x14ac:dyDescent="0.25">
      <c r="A254" s="13">
        <v>46028</v>
      </c>
      <c r="B254" s="14" t="s">
        <v>15</v>
      </c>
      <c r="C254" s="18" t="s">
        <v>31</v>
      </c>
      <c r="D254" s="19">
        <v>180</v>
      </c>
      <c r="E254" s="19">
        <v>0</v>
      </c>
      <c r="F254" s="20">
        <v>0</v>
      </c>
    </row>
    <row r="255" spans="1:6" x14ac:dyDescent="0.25">
      <c r="A255" s="13">
        <v>46029</v>
      </c>
      <c r="B255" s="14" t="s">
        <v>16</v>
      </c>
      <c r="C255" s="18" t="s">
        <v>31</v>
      </c>
      <c r="D255" s="19">
        <v>180</v>
      </c>
      <c r="E255" s="19">
        <v>0</v>
      </c>
      <c r="F255" s="20">
        <v>0</v>
      </c>
    </row>
    <row r="256" spans="1:6" x14ac:dyDescent="0.25">
      <c r="A256" s="13">
        <v>46030</v>
      </c>
      <c r="B256" s="14" t="s">
        <v>8</v>
      </c>
      <c r="C256" s="18" t="s">
        <v>31</v>
      </c>
      <c r="D256" s="19">
        <v>180</v>
      </c>
      <c r="E256" s="19">
        <v>0</v>
      </c>
      <c r="F256" s="20">
        <v>0</v>
      </c>
    </row>
    <row r="257" spans="1:6" x14ac:dyDescent="0.25">
      <c r="A257" s="13">
        <v>46031</v>
      </c>
      <c r="B257" s="14" t="s">
        <v>10</v>
      </c>
      <c r="C257" s="18" t="s">
        <v>31</v>
      </c>
      <c r="D257" s="19">
        <v>180</v>
      </c>
      <c r="E257" s="19">
        <v>0</v>
      </c>
      <c r="F257" s="20">
        <v>0</v>
      </c>
    </row>
    <row r="258" spans="1:6" x14ac:dyDescent="0.25">
      <c r="A258" s="13">
        <v>46032</v>
      </c>
      <c r="B258" s="14" t="s">
        <v>12</v>
      </c>
      <c r="C258" s="18"/>
      <c r="D258" s="19"/>
      <c r="E258" s="19"/>
      <c r="F258" s="20"/>
    </row>
    <row r="259" spans="1:6" x14ac:dyDescent="0.25">
      <c r="A259" s="13">
        <v>46033</v>
      </c>
      <c r="B259" s="14" t="s">
        <v>13</v>
      </c>
      <c r="C259" s="18"/>
      <c r="D259" s="19"/>
      <c r="E259" s="19"/>
      <c r="F259" s="20"/>
    </row>
    <row r="260" spans="1:6" x14ac:dyDescent="0.25">
      <c r="A260" s="13">
        <v>46034</v>
      </c>
      <c r="B260" s="14" t="s">
        <v>14</v>
      </c>
      <c r="C260" s="18" t="s">
        <v>18</v>
      </c>
      <c r="D260" s="19">
        <v>160</v>
      </c>
      <c r="E260" s="19">
        <v>12</v>
      </c>
      <c r="F260" s="20">
        <v>0</v>
      </c>
    </row>
    <row r="261" spans="1:6" x14ac:dyDescent="0.25">
      <c r="A261" s="13">
        <v>46035</v>
      </c>
      <c r="B261" s="14" t="s">
        <v>15</v>
      </c>
      <c r="C261" s="18" t="s">
        <v>11</v>
      </c>
      <c r="D261" s="19">
        <v>160</v>
      </c>
      <c r="E261" s="19">
        <v>12</v>
      </c>
      <c r="F261" s="20">
        <v>0</v>
      </c>
    </row>
    <row r="262" spans="1:6" x14ac:dyDescent="0.25">
      <c r="A262" s="13">
        <v>46036</v>
      </c>
      <c r="B262" s="14" t="s">
        <v>16</v>
      </c>
      <c r="C262" s="18" t="s">
        <v>11</v>
      </c>
      <c r="D262" s="19">
        <v>160</v>
      </c>
      <c r="E262" s="19">
        <v>12</v>
      </c>
      <c r="F262" s="20">
        <v>0</v>
      </c>
    </row>
    <row r="263" spans="1:6" x14ac:dyDescent="0.25">
      <c r="A263" s="13">
        <v>46037</v>
      </c>
      <c r="B263" s="14" t="s">
        <v>8</v>
      </c>
      <c r="C263" s="18" t="s">
        <v>11</v>
      </c>
      <c r="D263" s="19">
        <v>160</v>
      </c>
      <c r="E263" s="19">
        <v>12</v>
      </c>
      <c r="F263" s="20">
        <v>0</v>
      </c>
    </row>
    <row r="264" spans="1:6" x14ac:dyDescent="0.25">
      <c r="A264" s="13">
        <v>46038</v>
      </c>
      <c r="B264" s="14" t="s">
        <v>10</v>
      </c>
      <c r="C264" s="18" t="s">
        <v>11</v>
      </c>
      <c r="D264" s="19">
        <v>160</v>
      </c>
      <c r="E264" s="19">
        <v>12</v>
      </c>
      <c r="F264" s="20">
        <v>0</v>
      </c>
    </row>
    <row r="265" spans="1:6" x14ac:dyDescent="0.25">
      <c r="A265" s="13">
        <v>46039</v>
      </c>
      <c r="B265" s="14" t="s">
        <v>12</v>
      </c>
      <c r="C265" s="18"/>
      <c r="D265" s="19"/>
      <c r="E265" s="19"/>
      <c r="F265" s="20"/>
    </row>
    <row r="266" spans="1:6" x14ac:dyDescent="0.25">
      <c r="A266" s="13">
        <v>46040</v>
      </c>
      <c r="B266" s="14" t="s">
        <v>13</v>
      </c>
      <c r="C266" s="18"/>
      <c r="D266" s="19"/>
      <c r="E266" s="19"/>
      <c r="F266" s="20"/>
    </row>
    <row r="267" spans="1:6" x14ac:dyDescent="0.25">
      <c r="A267" s="13">
        <v>46041</v>
      </c>
      <c r="B267" s="14" t="s">
        <v>14</v>
      </c>
      <c r="C267" s="18" t="s">
        <v>11</v>
      </c>
      <c r="D267" s="19">
        <v>160</v>
      </c>
      <c r="E267" s="19">
        <v>12</v>
      </c>
      <c r="F267" s="20">
        <v>0</v>
      </c>
    </row>
    <row r="268" spans="1:6" x14ac:dyDescent="0.25">
      <c r="A268" s="13">
        <v>46042</v>
      </c>
      <c r="B268" s="14" t="s">
        <v>15</v>
      </c>
      <c r="C268" s="18" t="s">
        <v>11</v>
      </c>
      <c r="D268" s="19">
        <v>160</v>
      </c>
      <c r="E268" s="19">
        <v>12</v>
      </c>
      <c r="F268" s="20">
        <v>0</v>
      </c>
    </row>
    <row r="269" spans="1:6" x14ac:dyDescent="0.25">
      <c r="A269" s="13">
        <v>46043</v>
      </c>
      <c r="B269" s="14" t="s">
        <v>16</v>
      </c>
      <c r="C269" s="18" t="s">
        <v>11</v>
      </c>
      <c r="D269" s="19">
        <v>160</v>
      </c>
      <c r="E269" s="19">
        <v>12</v>
      </c>
      <c r="F269" s="20">
        <v>0</v>
      </c>
    </row>
    <row r="270" spans="1:6" x14ac:dyDescent="0.25">
      <c r="A270" s="13">
        <v>46044</v>
      </c>
      <c r="B270" s="14" t="s">
        <v>8</v>
      </c>
      <c r="C270" s="18" t="s">
        <v>11</v>
      </c>
      <c r="D270" s="19">
        <v>160</v>
      </c>
      <c r="E270" s="19">
        <v>12</v>
      </c>
      <c r="F270" s="20">
        <v>0</v>
      </c>
    </row>
    <row r="271" spans="1:6" x14ac:dyDescent="0.25">
      <c r="A271" s="13">
        <v>46045</v>
      </c>
      <c r="B271" s="14" t="s">
        <v>10</v>
      </c>
      <c r="C271" s="18" t="s">
        <v>11</v>
      </c>
      <c r="D271" s="19">
        <v>160</v>
      </c>
      <c r="E271" s="19">
        <v>12</v>
      </c>
      <c r="F271" s="20">
        <v>0</v>
      </c>
    </row>
    <row r="272" spans="1:6" x14ac:dyDescent="0.25">
      <c r="A272" s="13">
        <v>46046</v>
      </c>
      <c r="B272" s="14" t="s">
        <v>12</v>
      </c>
      <c r="C272" s="18"/>
      <c r="D272" s="19"/>
      <c r="E272" s="19"/>
      <c r="F272" s="20"/>
    </row>
    <row r="273" spans="1:6" x14ac:dyDescent="0.25">
      <c r="A273" s="13">
        <v>46047</v>
      </c>
      <c r="B273" s="14" t="s">
        <v>13</v>
      </c>
      <c r="C273" s="18"/>
      <c r="D273" s="19"/>
      <c r="E273" s="19"/>
      <c r="F273" s="20"/>
    </row>
    <row r="274" spans="1:6" x14ac:dyDescent="0.25">
      <c r="A274" s="13">
        <v>46048</v>
      </c>
      <c r="B274" s="14" t="s">
        <v>14</v>
      </c>
      <c r="C274" s="18" t="s">
        <v>11</v>
      </c>
      <c r="D274" s="19">
        <v>160</v>
      </c>
      <c r="E274" s="19">
        <v>12</v>
      </c>
      <c r="F274" s="20">
        <v>0</v>
      </c>
    </row>
    <row r="275" spans="1:6" x14ac:dyDescent="0.25">
      <c r="A275" s="13">
        <v>46049</v>
      </c>
      <c r="B275" s="14" t="s">
        <v>15</v>
      </c>
      <c r="C275" s="18" t="s">
        <v>11</v>
      </c>
      <c r="D275" s="19">
        <v>160</v>
      </c>
      <c r="E275" s="19">
        <v>12</v>
      </c>
      <c r="F275" s="20">
        <v>0</v>
      </c>
    </row>
    <row r="276" spans="1:6" x14ac:dyDescent="0.25">
      <c r="A276" s="13">
        <v>46050</v>
      </c>
      <c r="B276" s="14" t="s">
        <v>16</v>
      </c>
      <c r="C276" s="18" t="s">
        <v>11</v>
      </c>
      <c r="D276" s="19">
        <v>160</v>
      </c>
      <c r="E276" s="19">
        <v>12</v>
      </c>
      <c r="F276" s="20">
        <v>0</v>
      </c>
    </row>
    <row r="277" spans="1:6" x14ac:dyDescent="0.25">
      <c r="A277" s="13">
        <v>46051</v>
      </c>
      <c r="B277" s="14" t="s">
        <v>8</v>
      </c>
      <c r="C277" s="18" t="s">
        <v>11</v>
      </c>
      <c r="D277" s="19">
        <v>160</v>
      </c>
      <c r="E277" s="19">
        <v>13</v>
      </c>
      <c r="F277" s="20">
        <v>0</v>
      </c>
    </row>
    <row r="278" spans="1:6" x14ac:dyDescent="0.25">
      <c r="A278" s="13">
        <v>46052</v>
      </c>
      <c r="B278" s="14" t="s">
        <v>10</v>
      </c>
      <c r="C278" s="18" t="s">
        <v>11</v>
      </c>
      <c r="D278" s="19">
        <v>160</v>
      </c>
      <c r="E278" s="19">
        <v>13</v>
      </c>
      <c r="F278" s="20">
        <v>0</v>
      </c>
    </row>
    <row r="279" spans="1:6" x14ac:dyDescent="0.25">
      <c r="A279" s="13">
        <v>46053</v>
      </c>
      <c r="B279" s="14" t="s">
        <v>12</v>
      </c>
      <c r="C279" s="18"/>
      <c r="D279" s="19"/>
      <c r="E279" s="19"/>
      <c r="F279" s="20"/>
    </row>
    <row r="280" spans="1:6" x14ac:dyDescent="0.25">
      <c r="A280" s="13">
        <v>46054</v>
      </c>
      <c r="B280" s="14" t="s">
        <v>13</v>
      </c>
      <c r="C280" s="18"/>
      <c r="D280" s="19"/>
      <c r="E280" s="19"/>
      <c r="F280" s="20"/>
    </row>
    <row r="281" spans="1:6" x14ac:dyDescent="0.25">
      <c r="A281" s="13">
        <v>46055</v>
      </c>
      <c r="B281" s="14" t="s">
        <v>14</v>
      </c>
      <c r="C281" s="18" t="s">
        <v>11</v>
      </c>
      <c r="D281" s="19">
        <v>160</v>
      </c>
      <c r="E281" s="19">
        <v>13</v>
      </c>
      <c r="F281" s="20">
        <v>0</v>
      </c>
    </row>
    <row r="282" spans="1:6" x14ac:dyDescent="0.25">
      <c r="A282" s="13">
        <v>46056</v>
      </c>
      <c r="B282" s="14" t="s">
        <v>15</v>
      </c>
      <c r="C282" s="18" t="s">
        <v>11</v>
      </c>
      <c r="D282" s="19">
        <v>160</v>
      </c>
      <c r="E282" s="19">
        <v>13</v>
      </c>
      <c r="F282" s="20">
        <v>0</v>
      </c>
    </row>
    <row r="283" spans="1:6" x14ac:dyDescent="0.25">
      <c r="A283" s="13">
        <v>46057</v>
      </c>
      <c r="B283" s="14" t="s">
        <v>16</v>
      </c>
      <c r="C283" s="18" t="s">
        <v>11</v>
      </c>
      <c r="D283" s="19">
        <v>160</v>
      </c>
      <c r="E283" s="19">
        <v>13</v>
      </c>
      <c r="F283" s="20">
        <v>0</v>
      </c>
    </row>
    <row r="284" spans="1:6" x14ac:dyDescent="0.25">
      <c r="A284" s="13">
        <v>46058</v>
      </c>
      <c r="B284" s="14" t="s">
        <v>8</v>
      </c>
      <c r="C284" s="18" t="s">
        <v>11</v>
      </c>
      <c r="D284" s="19">
        <v>160</v>
      </c>
      <c r="E284" s="19">
        <v>13</v>
      </c>
      <c r="F284" s="20">
        <v>0</v>
      </c>
    </row>
    <row r="285" spans="1:6" x14ac:dyDescent="0.25">
      <c r="A285" s="13">
        <v>46059</v>
      </c>
      <c r="B285" s="14" t="s">
        <v>10</v>
      </c>
      <c r="C285" s="18" t="s">
        <v>11</v>
      </c>
      <c r="D285" s="19">
        <v>180</v>
      </c>
      <c r="E285" s="19">
        <v>13</v>
      </c>
      <c r="F285" s="20">
        <v>0</v>
      </c>
    </row>
    <row r="286" spans="1:6" x14ac:dyDescent="0.25">
      <c r="A286" s="13">
        <v>46060</v>
      </c>
      <c r="B286" s="14" t="s">
        <v>12</v>
      </c>
      <c r="C286" s="18"/>
      <c r="D286" s="19"/>
      <c r="E286" s="19"/>
      <c r="F286" s="20"/>
    </row>
    <row r="287" spans="1:6" x14ac:dyDescent="0.25">
      <c r="A287" s="13">
        <v>46061</v>
      </c>
      <c r="B287" s="14" t="s">
        <v>13</v>
      </c>
      <c r="C287" s="18"/>
      <c r="D287" s="19"/>
      <c r="E287" s="19"/>
      <c r="F287" s="20"/>
    </row>
    <row r="288" spans="1:6" x14ac:dyDescent="0.25">
      <c r="A288" s="13">
        <v>46062</v>
      </c>
      <c r="B288" s="14" t="s">
        <v>14</v>
      </c>
      <c r="C288" s="18" t="s">
        <v>11</v>
      </c>
      <c r="D288" s="19">
        <v>180</v>
      </c>
      <c r="E288" s="19">
        <v>13</v>
      </c>
      <c r="F288" s="20">
        <v>0</v>
      </c>
    </row>
    <row r="289" spans="1:6" x14ac:dyDescent="0.25">
      <c r="A289" s="13">
        <v>46063</v>
      </c>
      <c r="B289" s="14" t="s">
        <v>15</v>
      </c>
      <c r="C289" s="18" t="s">
        <v>11</v>
      </c>
      <c r="D289" s="19">
        <v>180</v>
      </c>
      <c r="E289" s="19">
        <v>13</v>
      </c>
      <c r="F289" s="20">
        <v>0</v>
      </c>
    </row>
    <row r="290" spans="1:6" x14ac:dyDescent="0.25">
      <c r="A290" s="13">
        <v>46064</v>
      </c>
      <c r="B290" s="14" t="s">
        <v>16</v>
      </c>
      <c r="C290" s="18" t="s">
        <v>11</v>
      </c>
      <c r="D290" s="19">
        <v>180</v>
      </c>
      <c r="E290" s="19">
        <v>13</v>
      </c>
      <c r="F290" s="20">
        <v>0</v>
      </c>
    </row>
    <row r="291" spans="1:6" x14ac:dyDescent="0.25">
      <c r="A291" s="13">
        <v>46065</v>
      </c>
      <c r="B291" s="14" t="s">
        <v>8</v>
      </c>
      <c r="C291" s="18" t="s">
        <v>11</v>
      </c>
      <c r="D291" s="19">
        <v>180</v>
      </c>
      <c r="E291" s="19">
        <v>13</v>
      </c>
      <c r="F291" s="20">
        <v>0</v>
      </c>
    </row>
    <row r="292" spans="1:6" x14ac:dyDescent="0.25">
      <c r="A292" s="13">
        <v>46066</v>
      </c>
      <c r="B292" s="14" t="s">
        <v>10</v>
      </c>
      <c r="C292" s="18" t="s">
        <v>11</v>
      </c>
      <c r="D292" s="19">
        <v>180</v>
      </c>
      <c r="E292" s="19">
        <v>13</v>
      </c>
      <c r="F292" s="20">
        <v>0</v>
      </c>
    </row>
    <row r="293" spans="1:6" x14ac:dyDescent="0.25">
      <c r="A293" s="13">
        <v>46067</v>
      </c>
      <c r="B293" s="14" t="s">
        <v>12</v>
      </c>
      <c r="C293" s="18"/>
      <c r="D293" s="19"/>
      <c r="E293" s="19"/>
      <c r="F293" s="20"/>
    </row>
    <row r="294" spans="1:6" x14ac:dyDescent="0.25">
      <c r="A294" s="13">
        <v>46068</v>
      </c>
      <c r="B294" s="14" t="s">
        <v>13</v>
      </c>
      <c r="C294" s="18"/>
      <c r="D294" s="19"/>
      <c r="E294" s="19"/>
      <c r="F294" s="20"/>
    </row>
    <row r="295" spans="1:6" x14ac:dyDescent="0.25">
      <c r="A295" s="13">
        <v>46069</v>
      </c>
      <c r="B295" s="14" t="s">
        <v>14</v>
      </c>
      <c r="C295" s="18" t="s">
        <v>11</v>
      </c>
      <c r="D295" s="19">
        <v>180</v>
      </c>
      <c r="E295" s="19">
        <v>13</v>
      </c>
      <c r="F295" s="20">
        <v>0</v>
      </c>
    </row>
    <row r="296" spans="1:6" x14ac:dyDescent="0.25">
      <c r="A296" s="13">
        <v>46070</v>
      </c>
      <c r="B296" s="14" t="s">
        <v>15</v>
      </c>
      <c r="C296" s="18" t="s">
        <v>11</v>
      </c>
      <c r="D296" s="19">
        <v>180</v>
      </c>
      <c r="E296" s="19">
        <v>13</v>
      </c>
      <c r="F296" s="20">
        <v>0</v>
      </c>
    </row>
    <row r="297" spans="1:6" x14ac:dyDescent="0.25">
      <c r="A297" s="13">
        <v>46071</v>
      </c>
      <c r="B297" s="14" t="s">
        <v>16</v>
      </c>
      <c r="C297" s="18" t="s">
        <v>11</v>
      </c>
      <c r="D297" s="19">
        <v>180</v>
      </c>
      <c r="E297" s="19">
        <v>13</v>
      </c>
      <c r="F297" s="20">
        <v>0</v>
      </c>
    </row>
    <row r="298" spans="1:6" x14ac:dyDescent="0.25">
      <c r="A298" s="13">
        <v>46072</v>
      </c>
      <c r="B298" s="14" t="s">
        <v>8</v>
      </c>
      <c r="C298" s="18" t="s">
        <v>11</v>
      </c>
      <c r="D298" s="19">
        <v>180</v>
      </c>
      <c r="E298" s="19">
        <v>13</v>
      </c>
      <c r="F298" s="20">
        <v>0</v>
      </c>
    </row>
    <row r="299" spans="1:6" x14ac:dyDescent="0.25">
      <c r="A299" s="13">
        <v>46073</v>
      </c>
      <c r="B299" s="14" t="s">
        <v>10</v>
      </c>
      <c r="C299" s="18" t="s">
        <v>11</v>
      </c>
      <c r="D299" s="19">
        <v>180</v>
      </c>
      <c r="E299" s="19">
        <v>13</v>
      </c>
      <c r="F299" s="20">
        <v>0</v>
      </c>
    </row>
    <row r="300" spans="1:6" x14ac:dyDescent="0.25">
      <c r="A300" s="13">
        <v>46074</v>
      </c>
      <c r="B300" s="14" t="s">
        <v>12</v>
      </c>
      <c r="C300" s="15"/>
      <c r="D300" s="16"/>
      <c r="E300" s="16"/>
      <c r="F300" s="17"/>
    </row>
    <row r="301" spans="1:6" x14ac:dyDescent="0.25">
      <c r="A301" s="13">
        <v>46075</v>
      </c>
      <c r="B301" s="14" t="s">
        <v>13</v>
      </c>
      <c r="C301" s="15"/>
      <c r="D301" s="16"/>
      <c r="E301" s="16"/>
      <c r="F301" s="17"/>
    </row>
    <row r="302" spans="1:6" x14ac:dyDescent="0.25">
      <c r="A302" s="13">
        <v>46076</v>
      </c>
      <c r="B302" s="14" t="s">
        <v>14</v>
      </c>
      <c r="C302" s="18" t="s">
        <v>23</v>
      </c>
      <c r="D302" s="19">
        <v>180</v>
      </c>
      <c r="E302" s="19">
        <v>13</v>
      </c>
      <c r="F302" s="20">
        <f t="shared" ref="F302:F306" si="0">19+10</f>
        <v>29</v>
      </c>
    </row>
    <row r="303" spans="1:6" x14ac:dyDescent="0.25">
      <c r="A303" s="13">
        <v>46077</v>
      </c>
      <c r="B303" s="14" t="s">
        <v>15</v>
      </c>
      <c r="C303" s="18" t="s">
        <v>23</v>
      </c>
      <c r="D303" s="19">
        <v>180</v>
      </c>
      <c r="E303" s="19">
        <v>13</v>
      </c>
      <c r="F303" s="20">
        <f t="shared" si="0"/>
        <v>29</v>
      </c>
    </row>
    <row r="304" spans="1:6" x14ac:dyDescent="0.25">
      <c r="A304" s="13">
        <v>46078</v>
      </c>
      <c r="B304" s="14" t="s">
        <v>16</v>
      </c>
      <c r="C304" s="18" t="s">
        <v>23</v>
      </c>
      <c r="D304" s="19">
        <v>180</v>
      </c>
      <c r="E304" s="19">
        <v>13</v>
      </c>
      <c r="F304" s="20">
        <f t="shared" si="0"/>
        <v>29</v>
      </c>
    </row>
    <row r="305" spans="1:6" x14ac:dyDescent="0.25">
      <c r="A305" s="13">
        <v>46079</v>
      </c>
      <c r="B305" s="14" t="s">
        <v>8</v>
      </c>
      <c r="C305" s="18" t="s">
        <v>23</v>
      </c>
      <c r="D305" s="19">
        <v>180</v>
      </c>
      <c r="E305" s="19">
        <v>13</v>
      </c>
      <c r="F305" s="20">
        <f t="shared" si="0"/>
        <v>29</v>
      </c>
    </row>
    <row r="306" spans="1:6" x14ac:dyDescent="0.25">
      <c r="A306" s="13">
        <v>46080</v>
      </c>
      <c r="B306" s="14" t="s">
        <v>10</v>
      </c>
      <c r="C306" s="18" t="s">
        <v>23</v>
      </c>
      <c r="D306" s="19">
        <v>180</v>
      </c>
      <c r="E306" s="19">
        <v>13</v>
      </c>
      <c r="F306" s="20">
        <f t="shared" si="0"/>
        <v>29</v>
      </c>
    </row>
    <row r="307" spans="1:6" x14ac:dyDescent="0.25">
      <c r="A307" s="13">
        <v>46081</v>
      </c>
      <c r="B307" s="14" t="s">
        <v>12</v>
      </c>
      <c r="C307" s="18"/>
      <c r="D307" s="19"/>
      <c r="E307" s="16"/>
      <c r="F307" s="17"/>
    </row>
    <row r="308" spans="1:6" x14ac:dyDescent="0.25">
      <c r="A308" s="13">
        <v>46082</v>
      </c>
      <c r="B308" s="14" t="s">
        <v>13</v>
      </c>
      <c r="C308" s="18"/>
      <c r="D308" s="19"/>
      <c r="E308" s="16"/>
      <c r="F308" s="17"/>
    </row>
    <row r="309" spans="1:6" x14ac:dyDescent="0.25">
      <c r="A309" s="13">
        <v>46083</v>
      </c>
      <c r="B309" s="14" t="s">
        <v>14</v>
      </c>
      <c r="C309" s="18" t="s">
        <v>23</v>
      </c>
      <c r="D309" s="19">
        <v>180</v>
      </c>
      <c r="E309" s="19">
        <v>0</v>
      </c>
      <c r="F309" s="19">
        <v>0</v>
      </c>
    </row>
    <row r="310" spans="1:6" x14ac:dyDescent="0.25">
      <c r="A310" s="13">
        <v>46084</v>
      </c>
      <c r="B310" s="14" t="s">
        <v>15</v>
      </c>
      <c r="C310" s="18" t="s">
        <v>23</v>
      </c>
      <c r="D310" s="19">
        <v>180</v>
      </c>
      <c r="E310" s="19">
        <v>0</v>
      </c>
      <c r="F310" s="19">
        <v>10</v>
      </c>
    </row>
    <row r="311" spans="1:6" x14ac:dyDescent="0.25">
      <c r="A311" s="13">
        <v>46085</v>
      </c>
      <c r="B311" s="14" t="s">
        <v>16</v>
      </c>
      <c r="C311" s="18" t="s">
        <v>23</v>
      </c>
      <c r="D311" s="19">
        <v>180</v>
      </c>
      <c r="E311" s="19">
        <v>0</v>
      </c>
      <c r="F311" s="19">
        <v>10</v>
      </c>
    </row>
    <row r="312" spans="1:6" x14ac:dyDescent="0.25">
      <c r="A312" s="13">
        <v>46086</v>
      </c>
      <c r="B312" s="14" t="s">
        <v>8</v>
      </c>
      <c r="C312" s="18" t="s">
        <v>23</v>
      </c>
      <c r="D312" s="19">
        <v>180</v>
      </c>
      <c r="E312" s="19">
        <v>0</v>
      </c>
      <c r="F312" s="19">
        <v>10</v>
      </c>
    </row>
    <row r="313" spans="1:6" x14ac:dyDescent="0.25">
      <c r="A313" s="13">
        <v>46087</v>
      </c>
      <c r="B313" s="14" t="s">
        <v>10</v>
      </c>
      <c r="C313" s="18" t="s">
        <v>23</v>
      </c>
      <c r="D313" s="19">
        <v>180</v>
      </c>
      <c r="E313" s="19">
        <v>0</v>
      </c>
      <c r="F313" s="19">
        <v>10</v>
      </c>
    </row>
    <row r="314" spans="1:6" x14ac:dyDescent="0.25">
      <c r="A314" s="13">
        <v>46088</v>
      </c>
      <c r="B314" s="14" t="s">
        <v>12</v>
      </c>
      <c r="C314" s="18"/>
      <c r="D314" s="19"/>
      <c r="E314" s="19"/>
      <c r="F314" s="17"/>
    </row>
    <row r="315" spans="1:6" x14ac:dyDescent="0.25">
      <c r="A315" s="13">
        <v>46089</v>
      </c>
      <c r="B315" s="14" t="s">
        <v>13</v>
      </c>
      <c r="C315" s="18"/>
      <c r="D315" s="19"/>
      <c r="E315" s="19"/>
      <c r="F315" s="17"/>
    </row>
    <row r="316" spans="1:6" x14ac:dyDescent="0.25">
      <c r="A316" s="13">
        <v>46090</v>
      </c>
      <c r="B316" s="14" t="s">
        <v>14</v>
      </c>
      <c r="C316" s="18" t="s">
        <v>23</v>
      </c>
      <c r="D316" s="19">
        <v>180</v>
      </c>
      <c r="E316" s="19">
        <v>0</v>
      </c>
      <c r="F316" s="20">
        <v>10</v>
      </c>
    </row>
    <row r="317" spans="1:6" x14ac:dyDescent="0.25">
      <c r="A317" s="13">
        <v>46091</v>
      </c>
      <c r="B317" s="14" t="s">
        <v>15</v>
      </c>
      <c r="C317" s="18" t="s">
        <v>23</v>
      </c>
      <c r="D317" s="19">
        <v>180</v>
      </c>
      <c r="E317" s="19">
        <v>0</v>
      </c>
      <c r="F317" s="20">
        <v>10</v>
      </c>
    </row>
    <row r="318" spans="1:6" x14ac:dyDescent="0.25">
      <c r="A318" s="13">
        <v>46092</v>
      </c>
      <c r="B318" s="14" t="s">
        <v>16</v>
      </c>
      <c r="C318" s="18" t="s">
        <v>23</v>
      </c>
      <c r="D318" s="19">
        <v>180</v>
      </c>
      <c r="E318" s="19">
        <v>0</v>
      </c>
      <c r="F318" s="20">
        <v>10</v>
      </c>
    </row>
    <row r="319" spans="1:6" x14ac:dyDescent="0.25">
      <c r="A319" s="13">
        <v>46093</v>
      </c>
      <c r="B319" s="14" t="s">
        <v>8</v>
      </c>
      <c r="C319" s="18" t="s">
        <v>32</v>
      </c>
      <c r="D319" s="19">
        <v>180</v>
      </c>
      <c r="E319" s="19">
        <v>0</v>
      </c>
      <c r="F319" s="20">
        <v>10</v>
      </c>
    </row>
    <row r="320" spans="1:6" x14ac:dyDescent="0.25">
      <c r="A320" s="13">
        <v>46094</v>
      </c>
      <c r="B320" s="14" t="s">
        <v>10</v>
      </c>
      <c r="C320" s="18" t="s">
        <v>23</v>
      </c>
      <c r="D320" s="19">
        <v>180</v>
      </c>
      <c r="E320" s="19">
        <v>0</v>
      </c>
      <c r="F320" s="20">
        <v>10</v>
      </c>
    </row>
    <row r="321" spans="1:6" x14ac:dyDescent="0.25">
      <c r="A321" s="13">
        <v>46095</v>
      </c>
      <c r="B321" s="14" t="s">
        <v>12</v>
      </c>
      <c r="C321" s="18"/>
      <c r="D321" s="19"/>
      <c r="E321" s="19"/>
      <c r="F321" s="17"/>
    </row>
    <row r="322" spans="1:6" x14ac:dyDescent="0.25">
      <c r="A322" s="13">
        <v>46096</v>
      </c>
      <c r="B322" s="14" t="s">
        <v>13</v>
      </c>
      <c r="C322" s="18"/>
      <c r="D322" s="19"/>
      <c r="E322" s="19"/>
      <c r="F322" s="17"/>
    </row>
    <row r="323" spans="1:6" x14ac:dyDescent="0.25">
      <c r="A323" s="13">
        <v>46097</v>
      </c>
      <c r="B323" s="14" t="s">
        <v>14</v>
      </c>
      <c r="C323" s="18" t="s">
        <v>23</v>
      </c>
      <c r="D323" s="19">
        <v>180</v>
      </c>
      <c r="E323" s="19">
        <v>0</v>
      </c>
      <c r="F323" s="20">
        <v>10</v>
      </c>
    </row>
    <row r="324" spans="1:6" x14ac:dyDescent="0.25">
      <c r="A324" s="13">
        <v>46098</v>
      </c>
      <c r="B324" s="14" t="s">
        <v>15</v>
      </c>
      <c r="C324" s="18" t="s">
        <v>23</v>
      </c>
      <c r="D324" s="19">
        <v>180</v>
      </c>
      <c r="E324" s="19">
        <v>0</v>
      </c>
      <c r="F324" s="20">
        <v>10</v>
      </c>
    </row>
    <row r="325" spans="1:6" x14ac:dyDescent="0.25">
      <c r="A325" s="13">
        <v>46099</v>
      </c>
      <c r="B325" s="14" t="s">
        <v>16</v>
      </c>
      <c r="C325" s="18" t="s">
        <v>23</v>
      </c>
      <c r="D325" s="19">
        <v>180</v>
      </c>
      <c r="E325" s="19">
        <v>0</v>
      </c>
      <c r="F325" s="20">
        <v>10</v>
      </c>
    </row>
    <row r="326" spans="1:6" x14ac:dyDescent="0.25">
      <c r="A326" s="13">
        <v>46100</v>
      </c>
      <c r="B326" s="14" t="s">
        <v>8</v>
      </c>
      <c r="C326" s="18" t="s">
        <v>23</v>
      </c>
      <c r="D326" s="19">
        <v>180</v>
      </c>
      <c r="E326" s="19">
        <v>0</v>
      </c>
      <c r="F326" s="20">
        <v>10</v>
      </c>
    </row>
    <row r="327" spans="1:6" x14ac:dyDescent="0.25">
      <c r="A327" s="13">
        <v>46101</v>
      </c>
      <c r="B327" s="14" t="s">
        <v>10</v>
      </c>
      <c r="C327" s="18" t="s">
        <v>23</v>
      </c>
      <c r="D327" s="19">
        <v>180</v>
      </c>
      <c r="E327" s="19">
        <v>0</v>
      </c>
      <c r="F327" s="20">
        <v>10</v>
      </c>
    </row>
    <row r="328" spans="1:6" x14ac:dyDescent="0.25">
      <c r="A328" s="13">
        <v>46102</v>
      </c>
      <c r="B328" s="14" t="s">
        <v>12</v>
      </c>
      <c r="C328" s="15"/>
      <c r="D328" s="16"/>
      <c r="E328" s="19"/>
      <c r="F328" s="20"/>
    </row>
    <row r="329" spans="1:6" x14ac:dyDescent="0.25">
      <c r="A329" s="13">
        <v>46103</v>
      </c>
      <c r="B329" s="14" t="s">
        <v>13</v>
      </c>
      <c r="C329" s="15"/>
      <c r="D329" s="16"/>
      <c r="E329" s="19"/>
      <c r="F329" s="20"/>
    </row>
    <row r="330" spans="1:6" x14ac:dyDescent="0.25">
      <c r="A330" s="13">
        <v>46104</v>
      </c>
      <c r="B330" s="14" t="s">
        <v>14</v>
      </c>
      <c r="C330" s="15" t="s">
        <v>23</v>
      </c>
      <c r="D330" s="16">
        <v>180</v>
      </c>
      <c r="E330" s="19">
        <v>0</v>
      </c>
      <c r="F330" s="20">
        <v>10</v>
      </c>
    </row>
    <row r="331" spans="1:6" x14ac:dyDescent="0.25">
      <c r="A331" s="13">
        <v>46105</v>
      </c>
      <c r="B331" s="14" t="s">
        <v>15</v>
      </c>
      <c r="C331" s="15" t="s">
        <v>25</v>
      </c>
      <c r="D331" s="16"/>
      <c r="E331" s="19">
        <v>0</v>
      </c>
      <c r="F331" s="20">
        <v>10</v>
      </c>
    </row>
    <row r="332" spans="1:6" x14ac:dyDescent="0.25">
      <c r="A332" s="13">
        <v>46106</v>
      </c>
      <c r="B332" s="14" t="s">
        <v>16</v>
      </c>
      <c r="C332" s="15" t="s">
        <v>23</v>
      </c>
      <c r="D332" s="16">
        <v>180</v>
      </c>
      <c r="E332" s="19">
        <v>0</v>
      </c>
      <c r="F332" s="20">
        <v>10</v>
      </c>
    </row>
    <row r="333" spans="1:6" x14ac:dyDescent="0.25">
      <c r="A333" s="13">
        <v>46107</v>
      </c>
      <c r="B333" s="14" t="s">
        <v>8</v>
      </c>
      <c r="C333" s="15" t="s">
        <v>23</v>
      </c>
      <c r="D333" s="16">
        <v>180</v>
      </c>
      <c r="E333" s="19">
        <v>0</v>
      </c>
      <c r="F333" s="20">
        <v>10</v>
      </c>
    </row>
    <row r="334" spans="1:6" x14ac:dyDescent="0.25">
      <c r="A334" s="13">
        <v>46108</v>
      </c>
      <c r="B334" s="14" t="s">
        <v>10</v>
      </c>
      <c r="C334" s="15" t="s">
        <v>23</v>
      </c>
      <c r="D334" s="16">
        <v>180</v>
      </c>
      <c r="E334" s="19">
        <v>0</v>
      </c>
      <c r="F334" s="20">
        <v>10</v>
      </c>
    </row>
    <row r="335" spans="1:6" x14ac:dyDescent="0.25">
      <c r="A335" s="13">
        <v>46109</v>
      </c>
      <c r="B335" s="14" t="s">
        <v>12</v>
      </c>
      <c r="C335" s="15"/>
      <c r="D335" s="16"/>
      <c r="E335" s="16"/>
      <c r="F335" s="17"/>
    </row>
    <row r="336" spans="1:6" x14ac:dyDescent="0.25">
      <c r="A336" s="13">
        <v>46110</v>
      </c>
      <c r="B336" s="14" t="s">
        <v>13</v>
      </c>
      <c r="C336" s="15"/>
      <c r="D336" s="16"/>
      <c r="E336" s="16"/>
      <c r="F336" s="17"/>
    </row>
    <row r="337" spans="1:6" x14ac:dyDescent="0.25">
      <c r="A337" s="13">
        <v>46111</v>
      </c>
      <c r="B337" s="14" t="s">
        <v>14</v>
      </c>
      <c r="C337" s="15" t="s">
        <v>34</v>
      </c>
      <c r="D337" s="16">
        <v>200</v>
      </c>
      <c r="E337" s="16"/>
      <c r="F337" s="17">
        <v>0</v>
      </c>
    </row>
    <row r="338" spans="1:6" x14ac:dyDescent="0.25">
      <c r="A338" s="13">
        <v>46112</v>
      </c>
      <c r="B338" s="14" t="s">
        <v>15</v>
      </c>
      <c r="C338" s="15" t="s">
        <v>34</v>
      </c>
      <c r="D338" s="16">
        <v>200</v>
      </c>
      <c r="E338" s="16"/>
      <c r="F338" s="17">
        <v>40</v>
      </c>
    </row>
    <row r="339" spans="1:6" x14ac:dyDescent="0.25">
      <c r="A339" s="13">
        <v>46113</v>
      </c>
      <c r="B339" s="14" t="s">
        <v>16</v>
      </c>
      <c r="C339" s="15" t="s">
        <v>34</v>
      </c>
      <c r="D339" s="16">
        <v>200</v>
      </c>
      <c r="E339" s="16"/>
      <c r="F339" s="17">
        <v>40</v>
      </c>
    </row>
    <row r="340" spans="1:6" x14ac:dyDescent="0.25">
      <c r="A340" s="13">
        <v>46114</v>
      </c>
      <c r="B340" s="14" t="s">
        <v>8</v>
      </c>
      <c r="C340" s="15" t="s">
        <v>34</v>
      </c>
      <c r="D340" s="16">
        <v>200</v>
      </c>
      <c r="E340" s="16"/>
      <c r="F340" s="17">
        <v>40</v>
      </c>
    </row>
    <row r="341" spans="1:6" x14ac:dyDescent="0.25">
      <c r="A341" s="13">
        <v>46115</v>
      </c>
      <c r="B341" s="14" t="s">
        <v>10</v>
      </c>
      <c r="C341" s="15" t="s">
        <v>9</v>
      </c>
      <c r="D341" s="16"/>
      <c r="E341" s="16"/>
      <c r="F341" s="17">
        <v>40</v>
      </c>
    </row>
    <row r="342" spans="1:6" x14ac:dyDescent="0.25">
      <c r="A342" s="13">
        <v>46116</v>
      </c>
      <c r="B342" s="14" t="s">
        <v>12</v>
      </c>
      <c r="C342" s="15"/>
      <c r="D342" s="16">
        <v>0</v>
      </c>
      <c r="E342" s="16"/>
      <c r="F342" s="17">
        <f>40+30</f>
        <v>70</v>
      </c>
    </row>
    <row r="343" spans="1:6" x14ac:dyDescent="0.25">
      <c r="A343" s="13">
        <v>46117</v>
      </c>
      <c r="B343" s="14" t="s">
        <v>13</v>
      </c>
      <c r="C343" s="15" t="s">
        <v>9</v>
      </c>
      <c r="D343" s="16">
        <v>0</v>
      </c>
      <c r="E343" s="16"/>
      <c r="F343" s="17">
        <f>40+30</f>
        <v>70</v>
      </c>
    </row>
    <row r="344" spans="1:6" x14ac:dyDescent="0.25">
      <c r="A344" s="13">
        <v>46118</v>
      </c>
      <c r="B344" s="14" t="s">
        <v>14</v>
      </c>
      <c r="C344" s="15" t="s">
        <v>34</v>
      </c>
      <c r="D344" s="16">
        <v>200</v>
      </c>
      <c r="E344" s="16"/>
      <c r="F344" s="17">
        <v>40</v>
      </c>
    </row>
    <row r="345" spans="1:6" ht="15.75" thickBot="1" x14ac:dyDescent="0.3"/>
    <row r="346" spans="1:6" ht="15.75" thickBot="1" x14ac:dyDescent="0.3">
      <c r="A346" s="1" t="s">
        <v>0</v>
      </c>
      <c r="B346" s="2"/>
      <c r="C346" s="33" t="s">
        <v>35</v>
      </c>
      <c r="D346" s="34"/>
      <c r="E346" s="34"/>
      <c r="F346" s="35"/>
    </row>
    <row r="347" spans="1:6" x14ac:dyDescent="0.25">
      <c r="A347" s="6"/>
      <c r="B347" s="6"/>
      <c r="C347" s="7"/>
      <c r="D347" s="8"/>
      <c r="E347" s="8"/>
      <c r="F347" s="8"/>
    </row>
    <row r="348" spans="1:6" ht="25.5" x14ac:dyDescent="0.25">
      <c r="A348" s="9" t="s">
        <v>2</v>
      </c>
      <c r="B348" s="10" t="s">
        <v>3</v>
      </c>
      <c r="C348" s="10" t="s">
        <v>4</v>
      </c>
      <c r="D348" s="11" t="s">
        <v>5</v>
      </c>
      <c r="E348" s="11" t="s">
        <v>6</v>
      </c>
      <c r="F348" s="12" t="s">
        <v>7</v>
      </c>
    </row>
    <row r="349" spans="1:6" x14ac:dyDescent="0.25">
      <c r="A349" s="13">
        <v>46023</v>
      </c>
      <c r="B349" s="14" t="s">
        <v>8</v>
      </c>
      <c r="C349" s="15" t="s">
        <v>9</v>
      </c>
      <c r="D349" s="16"/>
      <c r="E349" s="16"/>
      <c r="F349" s="17"/>
    </row>
    <row r="350" spans="1:6" x14ac:dyDescent="0.25">
      <c r="A350" s="13">
        <v>46024</v>
      </c>
      <c r="B350" s="14" t="s">
        <v>10</v>
      </c>
      <c r="C350" s="15" t="s">
        <v>25</v>
      </c>
      <c r="D350" s="16"/>
      <c r="E350" s="16"/>
      <c r="F350" s="17"/>
    </row>
    <row r="351" spans="1:6" x14ac:dyDescent="0.25">
      <c r="A351" s="13">
        <v>46025</v>
      </c>
      <c r="B351" s="14" t="s">
        <v>12</v>
      </c>
      <c r="C351" s="15"/>
      <c r="D351" s="16"/>
      <c r="E351" s="16"/>
      <c r="F351" s="17"/>
    </row>
    <row r="352" spans="1:6" x14ac:dyDescent="0.25">
      <c r="A352" s="13">
        <v>46026</v>
      </c>
      <c r="B352" s="14" t="s">
        <v>13</v>
      </c>
      <c r="C352" s="15"/>
      <c r="D352" s="16"/>
      <c r="E352" s="16"/>
      <c r="F352" s="17"/>
    </row>
    <row r="353" spans="1:6" x14ac:dyDescent="0.25">
      <c r="A353" s="13">
        <v>46027</v>
      </c>
      <c r="B353" s="14" t="s">
        <v>14</v>
      </c>
      <c r="C353" s="18" t="s">
        <v>31</v>
      </c>
      <c r="D353" s="19">
        <v>250</v>
      </c>
      <c r="E353" s="19">
        <v>0</v>
      </c>
      <c r="F353" s="20">
        <v>0</v>
      </c>
    </row>
    <row r="354" spans="1:6" x14ac:dyDescent="0.25">
      <c r="A354" s="13">
        <v>46028</v>
      </c>
      <c r="B354" s="14" t="s">
        <v>15</v>
      </c>
      <c r="C354" s="18" t="s">
        <v>31</v>
      </c>
      <c r="D354" s="19">
        <v>250</v>
      </c>
      <c r="E354" s="19">
        <v>0</v>
      </c>
      <c r="F354" s="20">
        <v>0</v>
      </c>
    </row>
    <row r="355" spans="1:6" x14ac:dyDescent="0.25">
      <c r="A355" s="13">
        <v>46029</v>
      </c>
      <c r="B355" s="14" t="s">
        <v>16</v>
      </c>
      <c r="C355" s="18" t="s">
        <v>31</v>
      </c>
      <c r="D355" s="19">
        <v>250</v>
      </c>
      <c r="E355" s="19">
        <v>0</v>
      </c>
      <c r="F355" s="20">
        <v>0</v>
      </c>
    </row>
    <row r="356" spans="1:6" x14ac:dyDescent="0.25">
      <c r="A356" s="13">
        <v>46030</v>
      </c>
      <c r="B356" s="14" t="s">
        <v>8</v>
      </c>
      <c r="C356" s="18" t="s">
        <v>31</v>
      </c>
      <c r="D356" s="19">
        <v>250</v>
      </c>
      <c r="E356" s="19">
        <v>0</v>
      </c>
      <c r="F356" s="20">
        <v>0</v>
      </c>
    </row>
    <row r="357" spans="1:6" x14ac:dyDescent="0.25">
      <c r="A357" s="13">
        <v>46031</v>
      </c>
      <c r="B357" s="14" t="s">
        <v>10</v>
      </c>
      <c r="C357" s="18" t="s">
        <v>31</v>
      </c>
      <c r="D357" s="19">
        <v>250</v>
      </c>
      <c r="E357" s="19">
        <v>0</v>
      </c>
      <c r="F357" s="20">
        <v>0</v>
      </c>
    </row>
    <row r="358" spans="1:6" x14ac:dyDescent="0.25">
      <c r="A358" s="13">
        <v>46032</v>
      </c>
      <c r="B358" s="14" t="s">
        <v>12</v>
      </c>
      <c r="C358" s="18"/>
      <c r="D358" s="19"/>
      <c r="E358" s="19"/>
      <c r="F358" s="20"/>
    </row>
    <row r="359" spans="1:6" x14ac:dyDescent="0.25">
      <c r="A359" s="13">
        <v>46033</v>
      </c>
      <c r="B359" s="14" t="s">
        <v>13</v>
      </c>
      <c r="C359" s="18"/>
      <c r="D359" s="19"/>
      <c r="E359" s="19"/>
      <c r="F359" s="20"/>
    </row>
    <row r="360" spans="1:6" x14ac:dyDescent="0.25">
      <c r="A360" s="13">
        <v>46034</v>
      </c>
      <c r="B360" s="14" t="s">
        <v>14</v>
      </c>
      <c r="C360" s="18" t="s">
        <v>18</v>
      </c>
      <c r="D360" s="19">
        <v>250</v>
      </c>
      <c r="E360" s="19">
        <v>12</v>
      </c>
      <c r="F360" s="20">
        <v>0</v>
      </c>
    </row>
    <row r="361" spans="1:6" x14ac:dyDescent="0.25">
      <c r="A361" s="13">
        <v>46035</v>
      </c>
      <c r="B361" s="14" t="s">
        <v>15</v>
      </c>
      <c r="C361" s="18" t="s">
        <v>25</v>
      </c>
      <c r="D361" s="19">
        <v>250</v>
      </c>
      <c r="E361" s="19"/>
      <c r="F361" s="20"/>
    </row>
    <row r="362" spans="1:6" x14ac:dyDescent="0.25">
      <c r="A362" s="13">
        <v>46036</v>
      </c>
      <c r="B362" s="14" t="s">
        <v>16</v>
      </c>
      <c r="C362" s="18" t="s">
        <v>23</v>
      </c>
      <c r="D362" s="19">
        <v>250</v>
      </c>
      <c r="E362" s="19">
        <v>12</v>
      </c>
      <c r="F362" s="20">
        <v>0</v>
      </c>
    </row>
    <row r="363" spans="1:6" x14ac:dyDescent="0.25">
      <c r="A363" s="13">
        <v>46037</v>
      </c>
      <c r="B363" s="14" t="s">
        <v>8</v>
      </c>
      <c r="C363" s="18" t="s">
        <v>23</v>
      </c>
      <c r="D363" s="19">
        <v>250</v>
      </c>
      <c r="E363" s="19">
        <v>12</v>
      </c>
      <c r="F363" s="20">
        <v>0</v>
      </c>
    </row>
    <row r="364" spans="1:6" x14ac:dyDescent="0.25">
      <c r="A364" s="13">
        <v>46038</v>
      </c>
      <c r="B364" s="14" t="s">
        <v>10</v>
      </c>
      <c r="C364" s="18" t="s">
        <v>23</v>
      </c>
      <c r="D364" s="19">
        <v>250</v>
      </c>
      <c r="E364" s="19">
        <v>12</v>
      </c>
      <c r="F364" s="20">
        <v>0</v>
      </c>
    </row>
    <row r="365" spans="1:6" x14ac:dyDescent="0.25">
      <c r="A365" s="13">
        <v>46039</v>
      </c>
      <c r="B365" s="14" t="s">
        <v>12</v>
      </c>
      <c r="C365" s="18"/>
      <c r="D365" s="19"/>
      <c r="E365" s="19"/>
      <c r="F365" s="20"/>
    </row>
    <row r="366" spans="1:6" x14ac:dyDescent="0.25">
      <c r="A366" s="13">
        <v>46040</v>
      </c>
      <c r="B366" s="14" t="s">
        <v>13</v>
      </c>
      <c r="C366" s="18"/>
      <c r="D366" s="19"/>
      <c r="E366" s="19"/>
      <c r="F366" s="20"/>
    </row>
    <row r="367" spans="1:6" x14ac:dyDescent="0.25">
      <c r="A367" s="13">
        <v>46041</v>
      </c>
      <c r="B367" s="14" t="s">
        <v>14</v>
      </c>
      <c r="C367" s="18" t="s">
        <v>23</v>
      </c>
      <c r="D367" s="19">
        <v>250</v>
      </c>
      <c r="E367" s="19">
        <v>12</v>
      </c>
      <c r="F367" s="20">
        <v>0</v>
      </c>
    </row>
    <row r="368" spans="1:6" x14ac:dyDescent="0.25">
      <c r="A368" s="13">
        <v>46042</v>
      </c>
      <c r="B368" s="14" t="s">
        <v>15</v>
      </c>
      <c r="C368" s="18" t="s">
        <v>23</v>
      </c>
      <c r="D368" s="19">
        <v>250</v>
      </c>
      <c r="E368" s="19">
        <v>12</v>
      </c>
      <c r="F368" s="20">
        <v>0</v>
      </c>
    </row>
    <row r="369" spans="1:6" x14ac:dyDescent="0.25">
      <c r="A369" s="13">
        <v>46043</v>
      </c>
      <c r="B369" s="14" t="s">
        <v>16</v>
      </c>
      <c r="C369" s="18" t="s">
        <v>32</v>
      </c>
      <c r="D369" s="19">
        <v>250</v>
      </c>
      <c r="E369" s="19">
        <v>12</v>
      </c>
      <c r="F369" s="20">
        <v>0</v>
      </c>
    </row>
    <row r="370" spans="1:6" x14ac:dyDescent="0.25">
      <c r="A370" s="13">
        <v>46044</v>
      </c>
      <c r="B370" s="14" t="s">
        <v>8</v>
      </c>
      <c r="C370" s="18" t="s">
        <v>32</v>
      </c>
      <c r="D370" s="19">
        <v>250</v>
      </c>
      <c r="E370" s="19">
        <v>12</v>
      </c>
      <c r="F370" s="20">
        <v>0</v>
      </c>
    </row>
    <row r="371" spans="1:6" x14ac:dyDescent="0.25">
      <c r="A371" s="13">
        <v>46045</v>
      </c>
      <c r="B371" s="14" t="s">
        <v>10</v>
      </c>
      <c r="C371" s="18" t="s">
        <v>32</v>
      </c>
      <c r="D371" s="19">
        <v>250</v>
      </c>
      <c r="E371" s="19">
        <v>12</v>
      </c>
      <c r="F371" s="20">
        <v>0</v>
      </c>
    </row>
    <row r="372" spans="1:6" x14ac:dyDescent="0.25">
      <c r="A372" s="13">
        <v>46046</v>
      </c>
      <c r="B372" s="14" t="s">
        <v>12</v>
      </c>
      <c r="C372" s="18"/>
      <c r="D372" s="19"/>
      <c r="E372" s="19"/>
      <c r="F372" s="20"/>
    </row>
    <row r="373" spans="1:6" x14ac:dyDescent="0.25">
      <c r="A373" s="13">
        <v>46047</v>
      </c>
      <c r="B373" s="14" t="s">
        <v>13</v>
      </c>
      <c r="C373" s="18"/>
      <c r="D373" s="19"/>
      <c r="E373" s="19"/>
      <c r="F373" s="20"/>
    </row>
    <row r="374" spans="1:6" x14ac:dyDescent="0.25">
      <c r="A374" s="13">
        <v>46048</v>
      </c>
      <c r="B374" s="14" t="s">
        <v>14</v>
      </c>
      <c r="C374" s="18" t="s">
        <v>32</v>
      </c>
      <c r="D374" s="19">
        <v>250</v>
      </c>
      <c r="E374" s="19">
        <v>12</v>
      </c>
      <c r="F374" s="20">
        <v>0</v>
      </c>
    </row>
    <row r="375" spans="1:6" x14ac:dyDescent="0.25">
      <c r="A375" s="13">
        <v>46049</v>
      </c>
      <c r="B375" s="14" t="s">
        <v>15</v>
      </c>
      <c r="C375" s="18" t="s">
        <v>23</v>
      </c>
      <c r="D375" s="19">
        <v>250</v>
      </c>
      <c r="E375" s="19">
        <v>12</v>
      </c>
      <c r="F375" s="20">
        <v>0</v>
      </c>
    </row>
    <row r="376" spans="1:6" x14ac:dyDescent="0.25">
      <c r="A376" s="13">
        <v>46050</v>
      </c>
      <c r="B376" s="14" t="s">
        <v>16</v>
      </c>
      <c r="C376" s="18" t="s">
        <v>23</v>
      </c>
      <c r="D376" s="19">
        <v>250</v>
      </c>
      <c r="E376" s="19">
        <v>12</v>
      </c>
      <c r="F376" s="20">
        <v>0</v>
      </c>
    </row>
    <row r="377" spans="1:6" x14ac:dyDescent="0.25">
      <c r="A377" s="13">
        <v>46051</v>
      </c>
      <c r="B377" s="14" t="s">
        <v>8</v>
      </c>
      <c r="C377" s="18" t="s">
        <v>23</v>
      </c>
      <c r="D377" s="19">
        <v>250</v>
      </c>
      <c r="E377" s="19">
        <v>13</v>
      </c>
      <c r="F377" s="20">
        <v>0</v>
      </c>
    </row>
    <row r="378" spans="1:6" x14ac:dyDescent="0.25">
      <c r="A378" s="13">
        <v>46052</v>
      </c>
      <c r="B378" s="14" t="s">
        <v>10</v>
      </c>
      <c r="C378" s="18" t="s">
        <v>23</v>
      </c>
      <c r="D378" s="19">
        <v>250</v>
      </c>
      <c r="E378" s="19">
        <v>13</v>
      </c>
      <c r="F378" s="20">
        <v>0</v>
      </c>
    </row>
    <row r="379" spans="1:6" x14ac:dyDescent="0.25">
      <c r="A379" s="13">
        <v>46053</v>
      </c>
      <c r="B379" s="14" t="s">
        <v>12</v>
      </c>
      <c r="C379" s="18"/>
      <c r="D379" s="19"/>
      <c r="E379" s="19"/>
      <c r="F379" s="20"/>
    </row>
    <row r="380" spans="1:6" x14ac:dyDescent="0.25">
      <c r="A380" s="13">
        <v>46054</v>
      </c>
      <c r="B380" s="14" t="s">
        <v>13</v>
      </c>
      <c r="C380" s="18"/>
      <c r="D380" s="19"/>
      <c r="E380" s="19"/>
      <c r="F380" s="20"/>
    </row>
    <row r="381" spans="1:6" x14ac:dyDescent="0.25">
      <c r="A381" s="13">
        <v>46055</v>
      </c>
      <c r="B381" s="14" t="s">
        <v>14</v>
      </c>
      <c r="C381" s="18" t="s">
        <v>23</v>
      </c>
      <c r="D381" s="19">
        <v>250</v>
      </c>
      <c r="E381" s="19">
        <v>6.5</v>
      </c>
      <c r="F381" s="20">
        <v>0</v>
      </c>
    </row>
    <row r="382" spans="1:6" x14ac:dyDescent="0.25">
      <c r="A382" s="13">
        <v>46056</v>
      </c>
      <c r="B382" s="14" t="s">
        <v>15</v>
      </c>
      <c r="C382" s="18" t="s">
        <v>23</v>
      </c>
      <c r="D382" s="19">
        <v>250</v>
      </c>
      <c r="E382" s="19">
        <v>0</v>
      </c>
      <c r="F382" s="20">
        <v>10</v>
      </c>
    </row>
    <row r="383" spans="1:6" x14ac:dyDescent="0.25">
      <c r="A383" s="13">
        <v>46057</v>
      </c>
      <c r="B383" s="14" t="s">
        <v>16</v>
      </c>
      <c r="C383" s="18" t="s">
        <v>23</v>
      </c>
      <c r="D383" s="19">
        <v>250</v>
      </c>
      <c r="E383" s="19">
        <v>0</v>
      </c>
      <c r="F383" s="20">
        <v>10</v>
      </c>
    </row>
    <row r="384" spans="1:6" x14ac:dyDescent="0.25">
      <c r="A384" s="13">
        <v>46058</v>
      </c>
      <c r="B384" s="14" t="s">
        <v>8</v>
      </c>
      <c r="C384" s="18" t="s">
        <v>23</v>
      </c>
      <c r="D384" s="19">
        <v>250</v>
      </c>
      <c r="E384" s="19">
        <v>0</v>
      </c>
      <c r="F384" s="20">
        <v>10</v>
      </c>
    </row>
    <row r="385" spans="1:6" x14ac:dyDescent="0.25">
      <c r="A385" s="13">
        <v>46059</v>
      </c>
      <c r="B385" s="14" t="s">
        <v>10</v>
      </c>
      <c r="C385" s="18" t="s">
        <v>23</v>
      </c>
      <c r="D385" s="19">
        <v>250</v>
      </c>
      <c r="E385" s="19">
        <v>0</v>
      </c>
      <c r="F385" s="20">
        <v>10</v>
      </c>
    </row>
    <row r="386" spans="1:6" x14ac:dyDescent="0.25">
      <c r="A386" s="13">
        <v>46060</v>
      </c>
      <c r="B386" s="14" t="s">
        <v>12</v>
      </c>
      <c r="C386" s="18"/>
      <c r="D386" s="19"/>
      <c r="E386" s="16"/>
      <c r="F386" s="17"/>
    </row>
    <row r="387" spans="1:6" x14ac:dyDescent="0.25">
      <c r="A387" s="13">
        <v>46061</v>
      </c>
      <c r="B387" s="14" t="s">
        <v>13</v>
      </c>
      <c r="C387" s="18"/>
      <c r="D387" s="19"/>
      <c r="E387" s="19"/>
      <c r="F387" s="20"/>
    </row>
    <row r="388" spans="1:6" x14ac:dyDescent="0.25">
      <c r="A388" s="13">
        <v>46062</v>
      </c>
      <c r="B388" s="14" t="s">
        <v>14</v>
      </c>
      <c r="C388" s="18" t="s">
        <v>23</v>
      </c>
      <c r="D388" s="19">
        <v>250</v>
      </c>
      <c r="E388" s="19">
        <v>0</v>
      </c>
      <c r="F388" s="20">
        <v>10</v>
      </c>
    </row>
    <row r="389" spans="1:6" x14ac:dyDescent="0.25">
      <c r="A389" s="13">
        <v>46063</v>
      </c>
      <c r="B389" s="14" t="s">
        <v>15</v>
      </c>
      <c r="C389" s="18" t="s">
        <v>11</v>
      </c>
      <c r="D389" s="19">
        <v>250</v>
      </c>
      <c r="E389" s="19">
        <v>0</v>
      </c>
      <c r="F389" s="20">
        <v>0</v>
      </c>
    </row>
    <row r="390" spans="1:6" x14ac:dyDescent="0.25">
      <c r="A390" s="13">
        <v>46064</v>
      </c>
      <c r="B390" s="14" t="s">
        <v>16</v>
      </c>
      <c r="C390" s="18" t="s">
        <v>23</v>
      </c>
      <c r="D390" s="19">
        <v>250</v>
      </c>
      <c r="E390" s="19">
        <v>0</v>
      </c>
      <c r="F390" s="20">
        <v>10</v>
      </c>
    </row>
    <row r="391" spans="1:6" x14ac:dyDescent="0.25">
      <c r="A391" s="13">
        <v>46065</v>
      </c>
      <c r="B391" s="14" t="s">
        <v>8</v>
      </c>
      <c r="C391" s="18" t="s">
        <v>23</v>
      </c>
      <c r="D391" s="19">
        <v>250</v>
      </c>
      <c r="E391" s="19">
        <v>0</v>
      </c>
      <c r="F391" s="20">
        <v>10</v>
      </c>
    </row>
    <row r="392" spans="1:6" x14ac:dyDescent="0.25">
      <c r="A392" s="13">
        <v>46066</v>
      </c>
      <c r="B392" s="14" t="s">
        <v>10</v>
      </c>
      <c r="C392" s="18" t="s">
        <v>23</v>
      </c>
      <c r="D392" s="19">
        <v>250</v>
      </c>
      <c r="E392" s="19">
        <v>0</v>
      </c>
      <c r="F392" s="20">
        <v>10</v>
      </c>
    </row>
    <row r="393" spans="1:6" x14ac:dyDescent="0.25">
      <c r="A393" s="13">
        <v>46067</v>
      </c>
      <c r="B393" s="14" t="s">
        <v>12</v>
      </c>
      <c r="C393" s="18"/>
      <c r="D393" s="19"/>
      <c r="E393" s="19"/>
      <c r="F393" s="20"/>
    </row>
    <row r="394" spans="1:6" x14ac:dyDescent="0.25">
      <c r="A394" s="13">
        <v>46068</v>
      </c>
      <c r="B394" s="14" t="s">
        <v>13</v>
      </c>
      <c r="C394" s="18"/>
      <c r="D394" s="19"/>
      <c r="E394" s="19"/>
      <c r="F394" s="20"/>
    </row>
    <row r="395" spans="1:6" x14ac:dyDescent="0.25">
      <c r="A395" s="13">
        <v>46069</v>
      </c>
      <c r="B395" s="14" t="s">
        <v>14</v>
      </c>
      <c r="C395" s="18" t="s">
        <v>9</v>
      </c>
      <c r="D395" s="19"/>
      <c r="E395" s="19"/>
      <c r="F395" s="20"/>
    </row>
    <row r="396" spans="1:6" x14ac:dyDescent="0.25">
      <c r="A396" s="13">
        <v>46070</v>
      </c>
      <c r="B396" s="14" t="s">
        <v>15</v>
      </c>
      <c r="C396" s="18" t="s">
        <v>9</v>
      </c>
      <c r="D396" s="19"/>
      <c r="E396" s="19"/>
      <c r="F396" s="20"/>
    </row>
    <row r="397" spans="1:6" x14ac:dyDescent="0.25">
      <c r="A397" s="13">
        <v>46071</v>
      </c>
      <c r="B397" s="14" t="s">
        <v>16</v>
      </c>
      <c r="C397" s="18" t="s">
        <v>23</v>
      </c>
      <c r="D397" s="19">
        <v>250</v>
      </c>
      <c r="E397" s="19">
        <v>13</v>
      </c>
      <c r="F397" s="20">
        <v>10</v>
      </c>
    </row>
    <row r="398" spans="1:6" x14ac:dyDescent="0.25">
      <c r="A398" s="13">
        <v>46072</v>
      </c>
      <c r="B398" s="14" t="s">
        <v>8</v>
      </c>
      <c r="C398" s="18" t="s">
        <v>23</v>
      </c>
      <c r="D398" s="19">
        <v>250</v>
      </c>
      <c r="E398" s="19">
        <v>0</v>
      </c>
      <c r="F398" s="20">
        <v>10</v>
      </c>
    </row>
    <row r="399" spans="1:6" x14ac:dyDescent="0.25">
      <c r="A399" s="13">
        <v>46073</v>
      </c>
      <c r="B399" s="14" t="s">
        <v>10</v>
      </c>
      <c r="C399" s="18" t="s">
        <v>23</v>
      </c>
      <c r="D399" s="19">
        <v>250</v>
      </c>
      <c r="E399" s="19">
        <v>0</v>
      </c>
      <c r="F399" s="20">
        <v>10</v>
      </c>
    </row>
    <row r="400" spans="1:6" x14ac:dyDescent="0.25">
      <c r="A400" s="13">
        <v>46074</v>
      </c>
      <c r="B400" s="14" t="s">
        <v>12</v>
      </c>
      <c r="C400" s="15"/>
      <c r="D400" s="16"/>
      <c r="E400" s="16"/>
      <c r="F400" s="17"/>
    </row>
    <row r="401" spans="1:6" x14ac:dyDescent="0.25">
      <c r="A401" s="13">
        <v>46075</v>
      </c>
      <c r="B401" s="14" t="s">
        <v>13</v>
      </c>
      <c r="C401" s="15"/>
      <c r="D401" s="16"/>
      <c r="E401" s="16"/>
      <c r="F401" s="17"/>
    </row>
    <row r="402" spans="1:6" x14ac:dyDescent="0.25">
      <c r="A402" s="13">
        <v>46076</v>
      </c>
      <c r="B402" s="14" t="s">
        <v>14</v>
      </c>
      <c r="C402" s="18" t="s">
        <v>23</v>
      </c>
      <c r="D402" s="19">
        <v>250</v>
      </c>
      <c r="E402" s="19">
        <v>0</v>
      </c>
      <c r="F402" s="20">
        <v>10</v>
      </c>
    </row>
    <row r="403" spans="1:6" x14ac:dyDescent="0.25">
      <c r="A403" s="13">
        <v>46077</v>
      </c>
      <c r="B403" s="14" t="s">
        <v>15</v>
      </c>
      <c r="C403" s="18" t="s">
        <v>23</v>
      </c>
      <c r="D403" s="19">
        <v>250</v>
      </c>
      <c r="E403" s="19">
        <v>0</v>
      </c>
      <c r="F403" s="20">
        <v>10</v>
      </c>
    </row>
    <row r="404" spans="1:6" x14ac:dyDescent="0.25">
      <c r="A404" s="13">
        <v>46078</v>
      </c>
      <c r="B404" s="14" t="s">
        <v>16</v>
      </c>
      <c r="C404" s="18" t="s">
        <v>23</v>
      </c>
      <c r="D404" s="19">
        <v>250</v>
      </c>
      <c r="E404" s="19">
        <v>0</v>
      </c>
      <c r="F404" s="20">
        <v>10</v>
      </c>
    </row>
    <row r="405" spans="1:6" x14ac:dyDescent="0.25">
      <c r="A405" s="13">
        <v>46079</v>
      </c>
      <c r="B405" s="14" t="s">
        <v>8</v>
      </c>
      <c r="C405" s="18" t="s">
        <v>23</v>
      </c>
      <c r="D405" s="19">
        <v>250</v>
      </c>
      <c r="E405" s="19">
        <v>0</v>
      </c>
      <c r="F405" s="20">
        <v>10</v>
      </c>
    </row>
    <row r="406" spans="1:6" x14ac:dyDescent="0.25">
      <c r="A406" s="13">
        <v>46080</v>
      </c>
      <c r="B406" s="14" t="s">
        <v>10</v>
      </c>
      <c r="C406" s="18" t="s">
        <v>23</v>
      </c>
      <c r="D406" s="19">
        <v>250</v>
      </c>
      <c r="E406" s="19">
        <v>0</v>
      </c>
      <c r="F406" s="20">
        <v>10</v>
      </c>
    </row>
    <row r="407" spans="1:6" x14ac:dyDescent="0.25">
      <c r="A407" s="13">
        <v>46081</v>
      </c>
      <c r="B407" s="14" t="s">
        <v>12</v>
      </c>
      <c r="C407" s="18"/>
      <c r="D407" s="19"/>
      <c r="E407" s="19"/>
      <c r="F407" s="17"/>
    </row>
    <row r="408" spans="1:6" x14ac:dyDescent="0.25">
      <c r="A408" s="13">
        <v>46082</v>
      </c>
      <c r="B408" s="14" t="s">
        <v>13</v>
      </c>
      <c r="C408" s="18"/>
      <c r="D408" s="19"/>
      <c r="E408" s="19"/>
      <c r="F408" s="17"/>
    </row>
    <row r="409" spans="1:6" x14ac:dyDescent="0.25">
      <c r="A409" s="13">
        <v>46083</v>
      </c>
      <c r="B409" s="14" t="s">
        <v>14</v>
      </c>
      <c r="C409" s="18" t="s">
        <v>23</v>
      </c>
      <c r="D409" s="19">
        <v>250</v>
      </c>
      <c r="E409" s="19">
        <v>0</v>
      </c>
      <c r="F409" s="20">
        <v>0</v>
      </c>
    </row>
    <row r="410" spans="1:6" x14ac:dyDescent="0.25">
      <c r="A410" s="13">
        <v>46084</v>
      </c>
      <c r="B410" s="14" t="s">
        <v>15</v>
      </c>
      <c r="C410" s="18" t="s">
        <v>23</v>
      </c>
      <c r="D410" s="19">
        <v>250</v>
      </c>
      <c r="E410" s="19">
        <v>0</v>
      </c>
      <c r="F410" s="20">
        <v>10</v>
      </c>
    </row>
    <row r="411" spans="1:6" x14ac:dyDescent="0.25">
      <c r="A411" s="13">
        <v>46085</v>
      </c>
      <c r="B411" s="14" t="s">
        <v>16</v>
      </c>
      <c r="C411" s="18" t="s">
        <v>23</v>
      </c>
      <c r="D411" s="19">
        <v>250</v>
      </c>
      <c r="E411" s="19">
        <v>0</v>
      </c>
      <c r="F411" s="20">
        <v>10</v>
      </c>
    </row>
    <row r="412" spans="1:6" x14ac:dyDescent="0.25">
      <c r="A412" s="13">
        <v>46086</v>
      </c>
      <c r="B412" s="14" t="s">
        <v>8</v>
      </c>
      <c r="C412" s="18" t="s">
        <v>23</v>
      </c>
      <c r="D412" s="19">
        <v>250</v>
      </c>
      <c r="E412" s="19">
        <v>0</v>
      </c>
      <c r="F412" s="20">
        <v>10</v>
      </c>
    </row>
    <row r="413" spans="1:6" x14ac:dyDescent="0.25">
      <c r="A413" s="13">
        <v>46087</v>
      </c>
      <c r="B413" s="14" t="s">
        <v>10</v>
      </c>
      <c r="C413" s="18" t="s">
        <v>23</v>
      </c>
      <c r="D413" s="19">
        <v>250</v>
      </c>
      <c r="E413" s="19">
        <v>0</v>
      </c>
      <c r="F413" s="20">
        <v>10</v>
      </c>
    </row>
    <row r="414" spans="1:6" x14ac:dyDescent="0.25">
      <c r="A414" s="13">
        <v>46088</v>
      </c>
      <c r="B414" s="14" t="s">
        <v>12</v>
      </c>
      <c r="C414" s="18"/>
      <c r="D414" s="19"/>
      <c r="E414" s="16"/>
      <c r="F414" s="17"/>
    </row>
    <row r="415" spans="1:6" x14ac:dyDescent="0.25">
      <c r="A415" s="13">
        <v>46089</v>
      </c>
      <c r="B415" s="14" t="s">
        <v>13</v>
      </c>
      <c r="C415" s="18"/>
      <c r="D415" s="19"/>
      <c r="E415" s="16"/>
      <c r="F415" s="17"/>
    </row>
    <row r="416" spans="1:6" x14ac:dyDescent="0.25">
      <c r="A416" s="13">
        <v>46090</v>
      </c>
      <c r="B416" s="14" t="s">
        <v>14</v>
      </c>
      <c r="C416" s="18" t="s">
        <v>23</v>
      </c>
      <c r="D416" s="19">
        <v>250</v>
      </c>
      <c r="E416" s="19">
        <v>0</v>
      </c>
      <c r="F416" s="20">
        <v>10</v>
      </c>
    </row>
    <row r="417" spans="1:6" x14ac:dyDescent="0.25">
      <c r="A417" s="13">
        <v>46091</v>
      </c>
      <c r="B417" s="14" t="s">
        <v>15</v>
      </c>
      <c r="C417" s="18" t="s">
        <v>23</v>
      </c>
      <c r="D417" s="19">
        <v>250</v>
      </c>
      <c r="E417" s="19">
        <v>0</v>
      </c>
      <c r="F417" s="20">
        <v>10</v>
      </c>
    </row>
    <row r="418" spans="1:6" x14ac:dyDescent="0.25">
      <c r="A418" s="13">
        <v>46092</v>
      </c>
      <c r="B418" s="14" t="s">
        <v>16</v>
      </c>
      <c r="C418" s="18" t="s">
        <v>23</v>
      </c>
      <c r="D418" s="19">
        <v>250</v>
      </c>
      <c r="E418" s="19">
        <v>0</v>
      </c>
      <c r="F418" s="20">
        <v>10</v>
      </c>
    </row>
    <row r="419" spans="1:6" x14ac:dyDescent="0.25">
      <c r="A419" s="13">
        <v>46093</v>
      </c>
      <c r="B419" s="14" t="s">
        <v>8</v>
      </c>
      <c r="C419" s="18" t="s">
        <v>32</v>
      </c>
      <c r="D419" s="19">
        <v>250</v>
      </c>
      <c r="E419" s="19">
        <v>0</v>
      </c>
      <c r="F419" s="20">
        <v>10</v>
      </c>
    </row>
    <row r="420" spans="1:6" x14ac:dyDescent="0.25">
      <c r="A420" s="13">
        <v>46094</v>
      </c>
      <c r="B420" s="14" t="s">
        <v>10</v>
      </c>
      <c r="C420" s="18" t="s">
        <v>23</v>
      </c>
      <c r="D420" s="19">
        <v>250</v>
      </c>
      <c r="E420" s="19">
        <v>0</v>
      </c>
      <c r="F420" s="20">
        <v>10</v>
      </c>
    </row>
    <row r="421" spans="1:6" x14ac:dyDescent="0.25">
      <c r="A421" s="13">
        <v>46095</v>
      </c>
      <c r="B421" s="14" t="s">
        <v>12</v>
      </c>
      <c r="C421" s="18"/>
      <c r="D421" s="19"/>
      <c r="E421" s="16"/>
      <c r="F421" s="17"/>
    </row>
    <row r="422" spans="1:6" x14ac:dyDescent="0.25">
      <c r="A422" s="13">
        <v>46096</v>
      </c>
      <c r="B422" s="14" t="s">
        <v>13</v>
      </c>
      <c r="C422" s="18"/>
      <c r="D422" s="19"/>
      <c r="E422" s="16"/>
      <c r="F422" s="17"/>
    </row>
    <row r="423" spans="1:6" x14ac:dyDescent="0.25">
      <c r="A423" s="13">
        <v>46097</v>
      </c>
      <c r="B423" s="14" t="s">
        <v>14</v>
      </c>
      <c r="C423" s="18" t="s">
        <v>23</v>
      </c>
      <c r="D423" s="19">
        <v>250</v>
      </c>
      <c r="E423" s="19">
        <v>0</v>
      </c>
      <c r="F423" s="20">
        <v>10</v>
      </c>
    </row>
    <row r="424" spans="1:6" x14ac:dyDescent="0.25">
      <c r="A424" s="13">
        <v>46098</v>
      </c>
      <c r="B424" s="14" t="s">
        <v>15</v>
      </c>
      <c r="C424" s="18" t="s">
        <v>23</v>
      </c>
      <c r="D424" s="19">
        <v>250</v>
      </c>
      <c r="E424" s="19">
        <v>0</v>
      </c>
      <c r="F424" s="20">
        <v>10</v>
      </c>
    </row>
    <row r="425" spans="1:6" x14ac:dyDescent="0.25">
      <c r="A425" s="13">
        <v>46099</v>
      </c>
      <c r="B425" s="14" t="s">
        <v>16</v>
      </c>
      <c r="C425" s="18" t="s">
        <v>23</v>
      </c>
      <c r="D425" s="19">
        <v>250</v>
      </c>
      <c r="E425" s="19">
        <v>0</v>
      </c>
      <c r="F425" s="20">
        <v>10</v>
      </c>
    </row>
    <row r="426" spans="1:6" x14ac:dyDescent="0.25">
      <c r="A426" s="13">
        <v>46100</v>
      </c>
      <c r="B426" s="14" t="s">
        <v>8</v>
      </c>
      <c r="C426" s="18" t="s">
        <v>23</v>
      </c>
      <c r="D426" s="19">
        <v>250</v>
      </c>
      <c r="E426" s="19">
        <v>0</v>
      </c>
      <c r="F426" s="20">
        <v>10</v>
      </c>
    </row>
    <row r="427" spans="1:6" x14ac:dyDescent="0.25">
      <c r="A427" s="13">
        <v>46101</v>
      </c>
      <c r="B427" s="14" t="s">
        <v>10</v>
      </c>
      <c r="C427" s="18" t="s">
        <v>23</v>
      </c>
      <c r="D427" s="19">
        <v>250</v>
      </c>
      <c r="E427" s="19">
        <v>0</v>
      </c>
      <c r="F427" s="20">
        <v>10</v>
      </c>
    </row>
    <row r="428" spans="1:6" x14ac:dyDescent="0.25">
      <c r="A428" s="13">
        <v>46102</v>
      </c>
      <c r="B428" s="14" t="s">
        <v>12</v>
      </c>
      <c r="C428" s="15"/>
      <c r="D428" s="16"/>
      <c r="E428" s="16"/>
      <c r="F428" s="17"/>
    </row>
    <row r="429" spans="1:6" x14ac:dyDescent="0.25">
      <c r="A429" s="13">
        <v>46103</v>
      </c>
      <c r="B429" s="14" t="s">
        <v>13</v>
      </c>
      <c r="C429" s="15"/>
      <c r="D429" s="16"/>
      <c r="E429" s="16"/>
      <c r="F429" s="17"/>
    </row>
    <row r="430" spans="1:6" x14ac:dyDescent="0.25">
      <c r="A430" s="13">
        <v>46104</v>
      </c>
      <c r="B430" s="14" t="s">
        <v>14</v>
      </c>
      <c r="C430" s="15" t="s">
        <v>36</v>
      </c>
      <c r="D430" s="16">
        <v>250</v>
      </c>
      <c r="E430" s="19">
        <v>0</v>
      </c>
      <c r="F430" s="20"/>
    </row>
    <row r="431" spans="1:6" x14ac:dyDescent="0.25">
      <c r="A431" s="13">
        <v>46105</v>
      </c>
      <c r="B431" s="14" t="s">
        <v>15</v>
      </c>
      <c r="C431" s="15" t="s">
        <v>25</v>
      </c>
      <c r="D431" s="16"/>
      <c r="E431" s="19">
        <v>0</v>
      </c>
      <c r="F431" s="20"/>
    </row>
    <row r="432" spans="1:6" x14ac:dyDescent="0.25">
      <c r="A432" s="13">
        <v>46106</v>
      </c>
      <c r="B432" s="14" t="s">
        <v>16</v>
      </c>
      <c r="C432" s="15" t="s">
        <v>23</v>
      </c>
      <c r="D432" s="16">
        <v>250</v>
      </c>
      <c r="E432" s="19">
        <v>0</v>
      </c>
      <c r="F432" s="20">
        <v>10</v>
      </c>
    </row>
    <row r="433" spans="1:6" x14ac:dyDescent="0.25">
      <c r="A433" s="13">
        <v>46107</v>
      </c>
      <c r="B433" s="14" t="s">
        <v>8</v>
      </c>
      <c r="C433" s="15" t="s">
        <v>23</v>
      </c>
      <c r="D433" s="16">
        <v>250</v>
      </c>
      <c r="E433" s="19">
        <v>0</v>
      </c>
      <c r="F433" s="20">
        <v>10</v>
      </c>
    </row>
    <row r="434" spans="1:6" x14ac:dyDescent="0.25">
      <c r="A434" s="13">
        <v>46108</v>
      </c>
      <c r="B434" s="14" t="s">
        <v>10</v>
      </c>
      <c r="C434" s="15" t="s">
        <v>23</v>
      </c>
      <c r="D434" s="16">
        <v>250</v>
      </c>
      <c r="E434" s="19">
        <v>0</v>
      </c>
      <c r="F434" s="20">
        <v>10</v>
      </c>
    </row>
    <row r="435" spans="1:6" x14ac:dyDescent="0.25">
      <c r="A435" s="13">
        <v>46109</v>
      </c>
      <c r="B435" s="14" t="s">
        <v>12</v>
      </c>
      <c r="C435" s="15"/>
      <c r="D435" s="16"/>
      <c r="E435" s="16"/>
      <c r="F435" s="20"/>
    </row>
    <row r="436" spans="1:6" x14ac:dyDescent="0.25">
      <c r="A436" s="13">
        <v>46110</v>
      </c>
      <c r="B436" s="14" t="s">
        <v>13</v>
      </c>
      <c r="C436" s="15"/>
      <c r="D436" s="16"/>
      <c r="E436" s="16"/>
      <c r="F436" s="17"/>
    </row>
    <row r="437" spans="1:6" x14ac:dyDescent="0.25">
      <c r="A437" s="13">
        <v>46111</v>
      </c>
      <c r="B437" s="14" t="s">
        <v>14</v>
      </c>
      <c r="C437" s="15" t="s">
        <v>26</v>
      </c>
      <c r="D437" s="16">
        <v>250</v>
      </c>
      <c r="E437" s="16">
        <v>13</v>
      </c>
      <c r="F437" s="17">
        <v>0</v>
      </c>
    </row>
    <row r="438" spans="1:6" x14ac:dyDescent="0.25">
      <c r="A438" s="13">
        <v>46112</v>
      </c>
      <c r="B438" s="14" t="s">
        <v>15</v>
      </c>
      <c r="C438" s="15" t="s">
        <v>26</v>
      </c>
      <c r="D438" s="16">
        <v>250</v>
      </c>
      <c r="E438" s="16">
        <v>13</v>
      </c>
      <c r="F438" s="17">
        <v>0</v>
      </c>
    </row>
    <row r="439" spans="1:6" x14ac:dyDescent="0.25">
      <c r="A439" s="13">
        <v>46113</v>
      </c>
      <c r="B439" s="14" t="s">
        <v>16</v>
      </c>
      <c r="C439" s="15" t="s">
        <v>26</v>
      </c>
      <c r="D439" s="16">
        <v>250</v>
      </c>
      <c r="E439" s="16">
        <v>13</v>
      </c>
      <c r="F439" s="17">
        <v>0</v>
      </c>
    </row>
    <row r="440" spans="1:6" x14ac:dyDescent="0.25">
      <c r="A440" s="13">
        <v>46114</v>
      </c>
      <c r="B440" s="14" t="s">
        <v>8</v>
      </c>
      <c r="C440" s="15" t="s">
        <v>23</v>
      </c>
      <c r="D440" s="16">
        <v>250</v>
      </c>
      <c r="E440" s="16">
        <v>13</v>
      </c>
      <c r="F440" s="17">
        <v>10</v>
      </c>
    </row>
    <row r="441" spans="1:6" x14ac:dyDescent="0.25">
      <c r="A441" s="13">
        <v>46115</v>
      </c>
      <c r="B441" s="14" t="s">
        <v>10</v>
      </c>
      <c r="C441" s="15" t="s">
        <v>9</v>
      </c>
      <c r="D441" s="16"/>
      <c r="E441" s="16"/>
      <c r="F441" s="17"/>
    </row>
    <row r="442" spans="1:6" x14ac:dyDescent="0.25">
      <c r="A442" s="13">
        <v>46116</v>
      </c>
      <c r="B442" s="14" t="s">
        <v>12</v>
      </c>
      <c r="C442" s="15"/>
      <c r="D442" s="16"/>
      <c r="E442" s="16"/>
      <c r="F442" s="17"/>
    </row>
    <row r="443" spans="1:6" x14ac:dyDescent="0.25">
      <c r="A443" s="13">
        <v>46117</v>
      </c>
      <c r="B443" s="14" t="s">
        <v>13</v>
      </c>
      <c r="C443" s="15" t="s">
        <v>9</v>
      </c>
      <c r="D443" s="16"/>
      <c r="E443" s="16"/>
      <c r="F443" s="17"/>
    </row>
    <row r="444" spans="1:6" x14ac:dyDescent="0.25">
      <c r="A444" s="13">
        <v>46118</v>
      </c>
      <c r="B444" s="14" t="s">
        <v>14</v>
      </c>
      <c r="C444" s="15" t="s">
        <v>23</v>
      </c>
      <c r="D444" s="16">
        <v>250</v>
      </c>
      <c r="E444" s="16">
        <v>13</v>
      </c>
      <c r="F444" s="17">
        <v>0</v>
      </c>
    </row>
    <row r="445" spans="1:6" ht="15.75" thickBot="1" x14ac:dyDescent="0.3"/>
    <row r="446" spans="1:6" ht="15.75" thickBot="1" x14ac:dyDescent="0.3">
      <c r="A446" s="1" t="s">
        <v>0</v>
      </c>
      <c r="B446" s="2"/>
      <c r="C446" s="33" t="s">
        <v>37</v>
      </c>
      <c r="D446" s="34"/>
      <c r="E446" s="34"/>
      <c r="F446" s="35"/>
    </row>
    <row r="447" spans="1:6" x14ac:dyDescent="0.25">
      <c r="A447" s="6"/>
      <c r="B447" s="6"/>
      <c r="C447" s="7"/>
      <c r="D447" s="8"/>
      <c r="E447" s="8"/>
      <c r="F447" s="8"/>
    </row>
    <row r="448" spans="1:6" ht="25.5" x14ac:dyDescent="0.25">
      <c r="A448" s="9" t="s">
        <v>2</v>
      </c>
      <c r="B448" s="10" t="s">
        <v>3</v>
      </c>
      <c r="C448" s="10" t="s">
        <v>4</v>
      </c>
      <c r="D448" s="11" t="s">
        <v>5</v>
      </c>
      <c r="E448" s="11" t="s">
        <v>6</v>
      </c>
      <c r="F448" s="12" t="s">
        <v>7</v>
      </c>
    </row>
    <row r="449" spans="1:6" x14ac:dyDescent="0.25">
      <c r="A449" s="13">
        <v>46023</v>
      </c>
      <c r="B449" s="14" t="s">
        <v>8</v>
      </c>
      <c r="C449" s="15" t="s">
        <v>9</v>
      </c>
      <c r="D449" s="16"/>
      <c r="E449" s="16"/>
      <c r="F449" s="17"/>
    </row>
    <row r="450" spans="1:6" x14ac:dyDescent="0.25">
      <c r="A450" s="13">
        <v>46024</v>
      </c>
      <c r="B450" s="14" t="s">
        <v>10</v>
      </c>
      <c r="C450" s="18" t="s">
        <v>11</v>
      </c>
      <c r="D450" s="19">
        <v>100</v>
      </c>
      <c r="E450" s="19">
        <v>12</v>
      </c>
      <c r="F450" s="20">
        <v>0</v>
      </c>
    </row>
    <row r="451" spans="1:6" x14ac:dyDescent="0.25">
      <c r="A451" s="13">
        <v>46025</v>
      </c>
      <c r="B451" s="14" t="s">
        <v>12</v>
      </c>
      <c r="C451" s="18"/>
      <c r="D451" s="19"/>
      <c r="E451" s="19"/>
      <c r="F451" s="20"/>
    </row>
    <row r="452" spans="1:6" x14ac:dyDescent="0.25">
      <c r="A452" s="13">
        <v>46026</v>
      </c>
      <c r="B452" s="14" t="s">
        <v>13</v>
      </c>
      <c r="C452" s="18"/>
      <c r="D452" s="19"/>
      <c r="E452" s="19"/>
      <c r="F452" s="20"/>
    </row>
    <row r="453" spans="1:6" x14ac:dyDescent="0.25">
      <c r="A453" s="13">
        <v>46027</v>
      </c>
      <c r="B453" s="14" t="s">
        <v>14</v>
      </c>
      <c r="C453" s="18" t="s">
        <v>11</v>
      </c>
      <c r="D453" s="19">
        <v>100</v>
      </c>
      <c r="E453" s="19">
        <v>12</v>
      </c>
      <c r="F453" s="20">
        <v>0</v>
      </c>
    </row>
    <row r="454" spans="1:6" x14ac:dyDescent="0.25">
      <c r="A454" s="13">
        <v>46028</v>
      </c>
      <c r="B454" s="14" t="s">
        <v>15</v>
      </c>
      <c r="C454" s="18" t="s">
        <v>11</v>
      </c>
      <c r="D454" s="19">
        <v>100</v>
      </c>
      <c r="E454" s="19">
        <v>12</v>
      </c>
      <c r="F454" s="20">
        <v>0</v>
      </c>
    </row>
    <row r="455" spans="1:6" x14ac:dyDescent="0.25">
      <c r="A455" s="13">
        <v>46029</v>
      </c>
      <c r="B455" s="14" t="s">
        <v>16</v>
      </c>
      <c r="C455" s="18" t="s">
        <v>11</v>
      </c>
      <c r="D455" s="19">
        <v>100</v>
      </c>
      <c r="E455" s="19">
        <v>12</v>
      </c>
      <c r="F455" s="20">
        <v>0</v>
      </c>
    </row>
    <row r="456" spans="1:6" x14ac:dyDescent="0.25">
      <c r="A456" s="13">
        <v>46030</v>
      </c>
      <c r="B456" s="14" t="s">
        <v>8</v>
      </c>
      <c r="C456" s="18" t="s">
        <v>18</v>
      </c>
      <c r="D456" s="19">
        <v>100</v>
      </c>
      <c r="E456" s="19">
        <v>12</v>
      </c>
      <c r="F456" s="20">
        <v>0</v>
      </c>
    </row>
    <row r="457" spans="1:6" x14ac:dyDescent="0.25">
      <c r="A457" s="13">
        <v>46031</v>
      </c>
      <c r="B457" s="14" t="s">
        <v>10</v>
      </c>
      <c r="C457" s="18" t="s">
        <v>23</v>
      </c>
      <c r="D457" s="19">
        <v>100</v>
      </c>
      <c r="E457" s="19">
        <v>12</v>
      </c>
      <c r="F457" s="20">
        <v>0</v>
      </c>
    </row>
    <row r="458" spans="1:6" x14ac:dyDescent="0.25">
      <c r="A458" s="13">
        <v>46032</v>
      </c>
      <c r="B458" s="14" t="s">
        <v>12</v>
      </c>
      <c r="C458" s="18"/>
      <c r="D458" s="19"/>
      <c r="E458" s="19"/>
      <c r="F458" s="20"/>
    </row>
    <row r="459" spans="1:6" x14ac:dyDescent="0.25">
      <c r="A459" s="13">
        <v>46033</v>
      </c>
      <c r="B459" s="14" t="s">
        <v>13</v>
      </c>
      <c r="C459" s="18"/>
      <c r="D459" s="19"/>
      <c r="E459" s="19"/>
      <c r="F459" s="20"/>
    </row>
    <row r="460" spans="1:6" x14ac:dyDescent="0.25">
      <c r="A460" s="13">
        <v>46034</v>
      </c>
      <c r="B460" s="14" t="s">
        <v>14</v>
      </c>
      <c r="C460" s="18" t="s">
        <v>19</v>
      </c>
      <c r="D460" s="19"/>
      <c r="E460" s="19"/>
      <c r="F460" s="20"/>
    </row>
    <row r="461" spans="1:6" x14ac:dyDescent="0.25">
      <c r="A461" s="13">
        <v>46035</v>
      </c>
      <c r="B461" s="14" t="s">
        <v>15</v>
      </c>
      <c r="C461" s="18" t="s">
        <v>11</v>
      </c>
      <c r="D461" s="19">
        <v>100</v>
      </c>
      <c r="E461" s="19">
        <v>12</v>
      </c>
      <c r="F461" s="20">
        <v>0</v>
      </c>
    </row>
    <row r="462" spans="1:6" x14ac:dyDescent="0.25">
      <c r="A462" s="13">
        <v>46036</v>
      </c>
      <c r="B462" s="14" t="s">
        <v>16</v>
      </c>
      <c r="C462" s="18" t="s">
        <v>11</v>
      </c>
      <c r="D462" s="19">
        <v>100</v>
      </c>
      <c r="E462" s="19">
        <v>12</v>
      </c>
      <c r="F462" s="20">
        <v>0</v>
      </c>
    </row>
    <row r="463" spans="1:6" x14ac:dyDescent="0.25">
      <c r="A463" s="13">
        <v>46037</v>
      </c>
      <c r="B463" s="14" t="s">
        <v>8</v>
      </c>
      <c r="C463" s="18" t="s">
        <v>29</v>
      </c>
      <c r="D463" s="19">
        <v>100</v>
      </c>
      <c r="E463" s="19">
        <v>12</v>
      </c>
      <c r="F463" s="20">
        <v>0</v>
      </c>
    </row>
    <row r="464" spans="1:6" x14ac:dyDescent="0.25">
      <c r="A464" s="13">
        <v>46038</v>
      </c>
      <c r="B464" s="14" t="s">
        <v>10</v>
      </c>
      <c r="C464" s="18" t="s">
        <v>29</v>
      </c>
      <c r="D464" s="19">
        <v>100</v>
      </c>
      <c r="E464" s="19">
        <v>12</v>
      </c>
      <c r="F464" s="20">
        <v>0</v>
      </c>
    </row>
    <row r="465" spans="1:6" x14ac:dyDescent="0.25">
      <c r="A465" s="13">
        <v>46039</v>
      </c>
      <c r="B465" s="14" t="s">
        <v>12</v>
      </c>
      <c r="C465" s="18"/>
      <c r="D465" s="19"/>
      <c r="E465" s="19"/>
      <c r="F465" s="20"/>
    </row>
    <row r="466" spans="1:6" x14ac:dyDescent="0.25">
      <c r="A466" s="13">
        <v>46040</v>
      </c>
      <c r="B466" s="14" t="s">
        <v>13</v>
      </c>
      <c r="C466" s="18"/>
      <c r="D466" s="19"/>
      <c r="E466" s="19"/>
      <c r="F466" s="20"/>
    </row>
    <row r="467" spans="1:6" x14ac:dyDescent="0.25">
      <c r="A467" s="13">
        <v>46041</v>
      </c>
      <c r="B467" s="14" t="s">
        <v>14</v>
      </c>
      <c r="C467" s="18" t="s">
        <v>11</v>
      </c>
      <c r="D467" s="19">
        <v>100</v>
      </c>
      <c r="E467" s="19">
        <v>12</v>
      </c>
      <c r="F467" s="20">
        <v>0</v>
      </c>
    </row>
    <row r="468" spans="1:6" x14ac:dyDescent="0.25">
      <c r="A468" s="13">
        <v>46042</v>
      </c>
      <c r="B468" s="14" t="s">
        <v>15</v>
      </c>
      <c r="C468" s="18" t="s">
        <v>11</v>
      </c>
      <c r="D468" s="19">
        <v>100</v>
      </c>
      <c r="E468" s="19">
        <v>12</v>
      </c>
      <c r="F468" s="20">
        <v>0</v>
      </c>
    </row>
    <row r="469" spans="1:6" x14ac:dyDescent="0.25">
      <c r="A469" s="13">
        <v>46043</v>
      </c>
      <c r="B469" s="14" t="s">
        <v>16</v>
      </c>
      <c r="C469" s="18" t="s">
        <v>11</v>
      </c>
      <c r="D469" s="19">
        <v>100</v>
      </c>
      <c r="E469" s="19">
        <v>12</v>
      </c>
      <c r="F469" s="20">
        <v>0</v>
      </c>
    </row>
    <row r="470" spans="1:6" x14ac:dyDescent="0.25">
      <c r="A470" s="13">
        <v>46044</v>
      </c>
      <c r="B470" s="14" t="s">
        <v>8</v>
      </c>
      <c r="C470" s="18" t="s">
        <v>11</v>
      </c>
      <c r="D470" s="19">
        <v>100</v>
      </c>
      <c r="E470" s="19">
        <v>12</v>
      </c>
      <c r="F470" s="20">
        <v>0</v>
      </c>
    </row>
    <row r="471" spans="1:6" x14ac:dyDescent="0.25">
      <c r="A471" s="13">
        <v>46045</v>
      </c>
      <c r="B471" s="14" t="s">
        <v>10</v>
      </c>
      <c r="C471" s="18" t="s">
        <v>11</v>
      </c>
      <c r="D471" s="19">
        <v>100</v>
      </c>
      <c r="E471" s="19">
        <v>12</v>
      </c>
      <c r="F471" s="20">
        <v>0</v>
      </c>
    </row>
    <row r="472" spans="1:6" x14ac:dyDescent="0.25">
      <c r="A472" s="13">
        <v>46046</v>
      </c>
      <c r="B472" s="14" t="s">
        <v>12</v>
      </c>
      <c r="C472" s="15"/>
      <c r="D472" s="16"/>
      <c r="E472" s="16"/>
      <c r="F472" s="17"/>
    </row>
    <row r="473" spans="1:6" x14ac:dyDescent="0.25">
      <c r="A473" s="13">
        <v>46047</v>
      </c>
      <c r="B473" s="14" t="s">
        <v>13</v>
      </c>
      <c r="C473" s="15"/>
      <c r="D473" s="16"/>
      <c r="E473" s="16"/>
      <c r="F473" s="17"/>
    </row>
    <row r="474" spans="1:6" x14ac:dyDescent="0.25">
      <c r="A474" s="13">
        <v>46048</v>
      </c>
      <c r="B474" s="14" t="s">
        <v>14</v>
      </c>
      <c r="C474" s="15" t="s">
        <v>19</v>
      </c>
      <c r="D474" s="16"/>
      <c r="E474" s="16"/>
      <c r="F474" s="17"/>
    </row>
    <row r="475" spans="1:6" x14ac:dyDescent="0.25">
      <c r="A475" s="13">
        <v>46049</v>
      </c>
      <c r="B475" s="14" t="s">
        <v>15</v>
      </c>
      <c r="C475" s="18" t="s">
        <v>11</v>
      </c>
      <c r="D475" s="19">
        <v>100</v>
      </c>
      <c r="E475" s="19">
        <v>12</v>
      </c>
      <c r="F475" s="20">
        <v>0</v>
      </c>
    </row>
    <row r="476" spans="1:6" x14ac:dyDescent="0.25">
      <c r="A476" s="13">
        <v>46050</v>
      </c>
      <c r="B476" s="14" t="s">
        <v>16</v>
      </c>
      <c r="C476" s="18" t="s">
        <v>11</v>
      </c>
      <c r="D476" s="19">
        <v>100</v>
      </c>
      <c r="E476" s="19">
        <v>12</v>
      </c>
      <c r="F476" s="20">
        <v>0</v>
      </c>
    </row>
    <row r="477" spans="1:6" x14ac:dyDescent="0.25">
      <c r="A477" s="13">
        <v>46051</v>
      </c>
      <c r="B477" s="14" t="s">
        <v>8</v>
      </c>
      <c r="C477" s="18" t="s">
        <v>11</v>
      </c>
      <c r="D477" s="19">
        <v>100</v>
      </c>
      <c r="E477" s="19">
        <v>13</v>
      </c>
      <c r="F477" s="20">
        <v>0</v>
      </c>
    </row>
    <row r="478" spans="1:6" x14ac:dyDescent="0.25">
      <c r="A478" s="13">
        <v>46052</v>
      </c>
      <c r="B478" s="14" t="s">
        <v>10</v>
      </c>
      <c r="C478" s="18" t="s">
        <v>11</v>
      </c>
      <c r="D478" s="19">
        <v>100</v>
      </c>
      <c r="E478" s="19">
        <v>13</v>
      </c>
      <c r="F478" s="20">
        <v>0</v>
      </c>
    </row>
    <row r="479" spans="1:6" x14ac:dyDescent="0.25">
      <c r="A479" s="13">
        <v>46053</v>
      </c>
      <c r="B479" s="14" t="s">
        <v>12</v>
      </c>
      <c r="C479" s="18" t="s">
        <v>11</v>
      </c>
      <c r="D479" s="19">
        <v>100</v>
      </c>
      <c r="E479" s="19">
        <v>13</v>
      </c>
      <c r="F479" s="20">
        <v>0</v>
      </c>
    </row>
    <row r="480" spans="1:6" x14ac:dyDescent="0.25">
      <c r="A480" s="13">
        <v>46054</v>
      </c>
      <c r="B480" s="14" t="s">
        <v>13</v>
      </c>
      <c r="C480" s="18"/>
      <c r="D480" s="19"/>
      <c r="E480" s="19"/>
      <c r="F480" s="20"/>
    </row>
    <row r="481" spans="1:6" x14ac:dyDescent="0.25">
      <c r="A481" s="13">
        <v>46055</v>
      </c>
      <c r="B481" s="14" t="s">
        <v>14</v>
      </c>
      <c r="C481" s="18" t="s">
        <v>11</v>
      </c>
      <c r="D481" s="19">
        <v>100</v>
      </c>
      <c r="E481" s="19">
        <v>13</v>
      </c>
      <c r="F481" s="20">
        <v>0</v>
      </c>
    </row>
    <row r="482" spans="1:6" x14ac:dyDescent="0.25">
      <c r="A482" s="13">
        <v>46056</v>
      </c>
      <c r="B482" s="14" t="s">
        <v>15</v>
      </c>
      <c r="C482" s="18" t="s">
        <v>11</v>
      </c>
      <c r="D482" s="19">
        <v>100</v>
      </c>
      <c r="E482" s="19">
        <v>13</v>
      </c>
      <c r="F482" s="20">
        <v>0</v>
      </c>
    </row>
    <row r="483" spans="1:6" x14ac:dyDescent="0.25">
      <c r="A483" s="13">
        <v>46057</v>
      </c>
      <c r="B483" s="14" t="s">
        <v>16</v>
      </c>
      <c r="C483" s="18" t="s">
        <v>11</v>
      </c>
      <c r="D483" s="19">
        <v>100</v>
      </c>
      <c r="E483" s="19">
        <v>13</v>
      </c>
      <c r="F483" s="20">
        <v>0</v>
      </c>
    </row>
    <row r="484" spans="1:6" x14ac:dyDescent="0.25">
      <c r="A484" s="13">
        <v>46058</v>
      </c>
      <c r="B484" s="14" t="s">
        <v>8</v>
      </c>
      <c r="C484" s="18" t="s">
        <v>11</v>
      </c>
      <c r="D484" s="19">
        <v>100</v>
      </c>
      <c r="E484" s="19">
        <v>13</v>
      </c>
      <c r="F484" s="20">
        <v>0</v>
      </c>
    </row>
    <row r="485" spans="1:6" x14ac:dyDescent="0.25">
      <c r="A485" s="13">
        <v>46059</v>
      </c>
      <c r="B485" s="14" t="s">
        <v>10</v>
      </c>
      <c r="C485" s="15" t="s">
        <v>11</v>
      </c>
      <c r="D485" s="16">
        <v>120</v>
      </c>
      <c r="E485" s="19">
        <v>13</v>
      </c>
      <c r="F485" s="20">
        <v>0</v>
      </c>
    </row>
    <row r="486" spans="1:6" x14ac:dyDescent="0.25">
      <c r="A486" s="13">
        <v>46060</v>
      </c>
      <c r="B486" s="14" t="s">
        <v>12</v>
      </c>
      <c r="C486" s="15"/>
      <c r="D486" s="16"/>
      <c r="E486" s="16"/>
      <c r="F486" s="17"/>
    </row>
    <row r="487" spans="1:6" x14ac:dyDescent="0.25">
      <c r="A487" s="13">
        <v>46061</v>
      </c>
      <c r="B487" s="14" t="s">
        <v>13</v>
      </c>
      <c r="C487" s="15"/>
      <c r="D487" s="16"/>
      <c r="E487" s="19"/>
      <c r="F487" s="20"/>
    </row>
    <row r="488" spans="1:6" x14ac:dyDescent="0.25">
      <c r="A488" s="13">
        <v>46062</v>
      </c>
      <c r="B488" s="14" t="s">
        <v>14</v>
      </c>
      <c r="C488" s="15" t="s">
        <v>19</v>
      </c>
      <c r="D488" s="16">
        <v>0</v>
      </c>
      <c r="E488" s="19">
        <v>0</v>
      </c>
      <c r="F488" s="20">
        <v>0</v>
      </c>
    </row>
    <row r="489" spans="1:6" x14ac:dyDescent="0.25">
      <c r="A489" s="13">
        <v>46063</v>
      </c>
      <c r="B489" s="14" t="s">
        <v>15</v>
      </c>
      <c r="C489" s="15" t="s">
        <v>19</v>
      </c>
      <c r="D489" s="16">
        <v>0</v>
      </c>
      <c r="E489" s="19">
        <v>0</v>
      </c>
      <c r="F489" s="20">
        <v>0</v>
      </c>
    </row>
    <row r="490" spans="1:6" x14ac:dyDescent="0.25">
      <c r="A490" s="13">
        <v>46064</v>
      </c>
      <c r="B490" s="14" t="s">
        <v>16</v>
      </c>
      <c r="C490" s="15" t="s">
        <v>11</v>
      </c>
      <c r="D490" s="16">
        <v>120</v>
      </c>
      <c r="E490" s="19">
        <v>13</v>
      </c>
      <c r="F490" s="20">
        <v>0</v>
      </c>
    </row>
    <row r="491" spans="1:6" x14ac:dyDescent="0.25">
      <c r="A491" s="13">
        <v>46065</v>
      </c>
      <c r="B491" s="14" t="s">
        <v>8</v>
      </c>
      <c r="C491" s="15" t="s">
        <v>11</v>
      </c>
      <c r="D491" s="16">
        <v>120</v>
      </c>
      <c r="E491" s="19">
        <v>13</v>
      </c>
      <c r="F491" s="20">
        <v>0</v>
      </c>
    </row>
    <row r="492" spans="1:6" x14ac:dyDescent="0.25">
      <c r="A492" s="13">
        <v>46066</v>
      </c>
      <c r="B492" s="14" t="s">
        <v>10</v>
      </c>
      <c r="C492" s="15" t="s">
        <v>19</v>
      </c>
      <c r="D492" s="16">
        <v>0</v>
      </c>
      <c r="E492" s="19">
        <v>0</v>
      </c>
      <c r="F492" s="20">
        <v>0</v>
      </c>
    </row>
    <row r="493" spans="1:6" x14ac:dyDescent="0.25">
      <c r="A493" s="13">
        <v>46067</v>
      </c>
      <c r="B493" s="14" t="s">
        <v>12</v>
      </c>
      <c r="C493" s="15"/>
      <c r="D493" s="16"/>
      <c r="E493" s="19"/>
      <c r="F493" s="20"/>
    </row>
    <row r="494" spans="1:6" x14ac:dyDescent="0.25">
      <c r="A494" s="13">
        <v>46068</v>
      </c>
      <c r="B494" s="14" t="s">
        <v>13</v>
      </c>
      <c r="C494" s="15"/>
      <c r="D494" s="16"/>
      <c r="E494" s="19"/>
      <c r="F494" s="20"/>
    </row>
    <row r="495" spans="1:6" x14ac:dyDescent="0.25">
      <c r="A495" s="13">
        <v>46069</v>
      </c>
      <c r="B495" s="14" t="s">
        <v>14</v>
      </c>
      <c r="C495" s="15" t="s">
        <v>11</v>
      </c>
      <c r="D495" s="16">
        <v>120</v>
      </c>
      <c r="E495" s="19">
        <v>13</v>
      </c>
      <c r="F495" s="20">
        <v>0</v>
      </c>
    </row>
    <row r="496" spans="1:6" x14ac:dyDescent="0.25">
      <c r="A496" s="13">
        <v>46070</v>
      </c>
      <c r="B496" s="14" t="s">
        <v>15</v>
      </c>
      <c r="C496" s="15" t="s">
        <v>9</v>
      </c>
      <c r="D496" s="16">
        <v>0</v>
      </c>
      <c r="E496" s="19">
        <v>0</v>
      </c>
      <c r="F496" s="20">
        <v>0</v>
      </c>
    </row>
    <row r="497" spans="1:6" x14ac:dyDescent="0.25">
      <c r="A497" s="13">
        <v>46071</v>
      </c>
      <c r="B497" s="14" t="s">
        <v>16</v>
      </c>
      <c r="C497" s="15" t="s">
        <v>11</v>
      </c>
      <c r="D497" s="16">
        <v>120</v>
      </c>
      <c r="E497" s="19">
        <v>13</v>
      </c>
      <c r="F497" s="20">
        <v>0</v>
      </c>
    </row>
    <row r="498" spans="1:6" x14ac:dyDescent="0.25">
      <c r="A498" s="13">
        <v>46072</v>
      </c>
      <c r="B498" s="14" t="s">
        <v>8</v>
      </c>
      <c r="C498" s="15" t="s">
        <v>19</v>
      </c>
      <c r="D498" s="16">
        <v>0</v>
      </c>
      <c r="E498" s="19">
        <v>13</v>
      </c>
      <c r="F498" s="20">
        <v>0</v>
      </c>
    </row>
    <row r="499" spans="1:6" x14ac:dyDescent="0.25">
      <c r="A499" s="13">
        <v>46073</v>
      </c>
      <c r="B499" s="14" t="s">
        <v>10</v>
      </c>
      <c r="C499" s="15" t="s">
        <v>11</v>
      </c>
      <c r="D499" s="16">
        <v>120</v>
      </c>
      <c r="E499" s="19">
        <v>13</v>
      </c>
      <c r="F499" s="20">
        <v>0</v>
      </c>
    </row>
    <row r="500" spans="1:6" x14ac:dyDescent="0.25">
      <c r="A500" s="36">
        <v>46074</v>
      </c>
      <c r="B500" s="37" t="s">
        <v>12</v>
      </c>
      <c r="C500" s="38"/>
      <c r="D500" s="39"/>
      <c r="E500" s="40"/>
      <c r="F500" s="41"/>
    </row>
    <row r="501" spans="1:6" x14ac:dyDescent="0.25">
      <c r="A501" s="36">
        <v>46075</v>
      </c>
      <c r="B501" s="37" t="s">
        <v>13</v>
      </c>
      <c r="C501" s="42"/>
      <c r="D501" s="40"/>
      <c r="E501" s="40"/>
      <c r="F501" s="41"/>
    </row>
    <row r="502" spans="1:6" x14ac:dyDescent="0.25">
      <c r="A502" s="36">
        <v>46076</v>
      </c>
      <c r="B502" s="37" t="s">
        <v>14</v>
      </c>
      <c r="C502" s="42"/>
      <c r="D502" s="40"/>
      <c r="E502" s="43"/>
      <c r="F502" s="44"/>
    </row>
    <row r="503" spans="1:6" x14ac:dyDescent="0.25">
      <c r="A503" s="36">
        <v>46077</v>
      </c>
      <c r="B503" s="37" t="s">
        <v>15</v>
      </c>
      <c r="C503" s="42"/>
      <c r="D503" s="40"/>
      <c r="E503" s="43"/>
      <c r="F503" s="44"/>
    </row>
    <row r="504" spans="1:6" x14ac:dyDescent="0.25">
      <c r="A504" s="36">
        <v>46078</v>
      </c>
      <c r="B504" s="37" t="s">
        <v>16</v>
      </c>
      <c r="C504" s="42"/>
      <c r="D504" s="40"/>
      <c r="E504" s="43"/>
      <c r="F504" s="44"/>
    </row>
    <row r="505" spans="1:6" x14ac:dyDescent="0.25">
      <c r="A505" s="36">
        <v>46079</v>
      </c>
      <c r="B505" s="37" t="s">
        <v>8</v>
      </c>
      <c r="C505" s="42"/>
      <c r="D505" s="40"/>
      <c r="E505" s="43"/>
      <c r="F505" s="44"/>
    </row>
    <row r="506" spans="1:6" x14ac:dyDescent="0.25">
      <c r="A506" s="36">
        <v>46080</v>
      </c>
      <c r="B506" s="37" t="s">
        <v>10</v>
      </c>
      <c r="C506" s="42"/>
      <c r="D506" s="40"/>
      <c r="E506" s="43"/>
      <c r="F506" s="44"/>
    </row>
    <row r="507" spans="1:6" x14ac:dyDescent="0.25">
      <c r="A507" s="36">
        <v>46081</v>
      </c>
      <c r="B507" s="37" t="s">
        <v>12</v>
      </c>
      <c r="C507" s="42"/>
      <c r="D507" s="40"/>
      <c r="E507" s="40"/>
      <c r="F507" s="41"/>
    </row>
    <row r="508" spans="1:6" x14ac:dyDescent="0.25">
      <c r="A508" s="36">
        <v>46082</v>
      </c>
      <c r="B508" s="37" t="s">
        <v>13</v>
      </c>
      <c r="C508" s="42"/>
      <c r="D508" s="40"/>
      <c r="E508" s="40"/>
      <c r="F508" s="41"/>
    </row>
    <row r="509" spans="1:6" x14ac:dyDescent="0.25">
      <c r="A509" s="36">
        <v>46083</v>
      </c>
      <c r="B509" s="37" t="s">
        <v>14</v>
      </c>
      <c r="C509" s="42"/>
      <c r="D509" s="40"/>
      <c r="E509" s="40"/>
      <c r="F509" s="41"/>
    </row>
    <row r="510" spans="1:6" x14ac:dyDescent="0.25">
      <c r="A510" s="36">
        <v>46084</v>
      </c>
      <c r="B510" s="37" t="s">
        <v>15</v>
      </c>
      <c r="C510" s="42"/>
      <c r="D510" s="40"/>
      <c r="E510" s="40"/>
      <c r="F510" s="41"/>
    </row>
    <row r="511" spans="1:6" x14ac:dyDescent="0.25">
      <c r="A511" s="36">
        <v>46085</v>
      </c>
      <c r="B511" s="37" t="s">
        <v>16</v>
      </c>
      <c r="C511" s="42"/>
      <c r="D511" s="40"/>
      <c r="E511" s="40"/>
      <c r="F511" s="41"/>
    </row>
    <row r="512" spans="1:6" x14ac:dyDescent="0.25">
      <c r="A512" s="36">
        <v>46086</v>
      </c>
      <c r="B512" s="37" t="s">
        <v>8</v>
      </c>
      <c r="C512" s="42"/>
      <c r="D512" s="40"/>
      <c r="E512" s="40"/>
      <c r="F512" s="41"/>
    </row>
    <row r="513" spans="1:6" x14ac:dyDescent="0.25">
      <c r="A513" s="36">
        <v>46087</v>
      </c>
      <c r="B513" s="37" t="s">
        <v>10</v>
      </c>
      <c r="C513" s="42"/>
      <c r="D513" s="40"/>
      <c r="E513" s="40"/>
      <c r="F513" s="41"/>
    </row>
    <row r="514" spans="1:6" x14ac:dyDescent="0.25">
      <c r="A514" s="36">
        <v>46088</v>
      </c>
      <c r="B514" s="37" t="s">
        <v>12</v>
      </c>
      <c r="C514" s="42"/>
      <c r="D514" s="40"/>
      <c r="E514" s="40"/>
      <c r="F514" s="41"/>
    </row>
    <row r="515" spans="1:6" x14ac:dyDescent="0.25">
      <c r="A515" s="36">
        <v>46089</v>
      </c>
      <c r="B515" s="37" t="s">
        <v>13</v>
      </c>
      <c r="C515" s="42"/>
      <c r="D515" s="40"/>
      <c r="E515" s="40"/>
      <c r="F515" s="41"/>
    </row>
    <row r="516" spans="1:6" x14ac:dyDescent="0.25">
      <c r="A516" s="36">
        <v>46090</v>
      </c>
      <c r="B516" s="37" t="s">
        <v>14</v>
      </c>
      <c r="C516" s="42"/>
      <c r="D516" s="40"/>
      <c r="E516" s="40"/>
      <c r="F516" s="41"/>
    </row>
    <row r="517" spans="1:6" x14ac:dyDescent="0.25">
      <c r="A517" s="36">
        <v>46091</v>
      </c>
      <c r="B517" s="37" t="s">
        <v>15</v>
      </c>
      <c r="C517" s="42"/>
      <c r="D517" s="40"/>
      <c r="E517" s="40"/>
      <c r="F517" s="41"/>
    </row>
    <row r="518" spans="1:6" x14ac:dyDescent="0.25">
      <c r="A518" s="36">
        <v>46092</v>
      </c>
      <c r="B518" s="37" t="s">
        <v>16</v>
      </c>
      <c r="C518" s="42"/>
      <c r="D518" s="40"/>
      <c r="E518" s="40"/>
      <c r="F518" s="41"/>
    </row>
    <row r="519" spans="1:6" x14ac:dyDescent="0.25">
      <c r="A519" s="36">
        <v>46093</v>
      </c>
      <c r="B519" s="37" t="s">
        <v>8</v>
      </c>
      <c r="C519" s="42"/>
      <c r="D519" s="40"/>
      <c r="E519" s="40"/>
      <c r="F519" s="41"/>
    </row>
    <row r="520" spans="1:6" x14ac:dyDescent="0.25">
      <c r="A520" s="36">
        <v>46094</v>
      </c>
      <c r="B520" s="37" t="s">
        <v>10</v>
      </c>
      <c r="C520" s="42"/>
      <c r="D520" s="40"/>
      <c r="E520" s="40"/>
      <c r="F520" s="41"/>
    </row>
    <row r="521" spans="1:6" x14ac:dyDescent="0.25">
      <c r="A521" s="36">
        <v>46095</v>
      </c>
      <c r="B521" s="37" t="s">
        <v>12</v>
      </c>
      <c r="C521" s="42"/>
      <c r="D521" s="40"/>
      <c r="E521" s="40"/>
      <c r="F521" s="41"/>
    </row>
    <row r="522" spans="1:6" x14ac:dyDescent="0.25">
      <c r="A522" s="36">
        <v>46096</v>
      </c>
      <c r="B522" s="37" t="s">
        <v>13</v>
      </c>
      <c r="C522" s="42"/>
      <c r="D522" s="40"/>
      <c r="E522" s="40"/>
      <c r="F522" s="41"/>
    </row>
    <row r="523" spans="1:6" x14ac:dyDescent="0.25">
      <c r="A523" s="36">
        <v>46097</v>
      </c>
      <c r="B523" s="37" t="s">
        <v>14</v>
      </c>
      <c r="C523" s="42"/>
      <c r="D523" s="40"/>
      <c r="E523" s="40"/>
      <c r="F523" s="41"/>
    </row>
    <row r="524" spans="1:6" x14ac:dyDescent="0.25">
      <c r="A524" s="36">
        <v>46098</v>
      </c>
      <c r="B524" s="37" t="s">
        <v>15</v>
      </c>
      <c r="C524" s="42"/>
      <c r="D524" s="40"/>
      <c r="E524" s="40"/>
      <c r="F524" s="41"/>
    </row>
    <row r="525" spans="1:6" x14ac:dyDescent="0.25">
      <c r="A525" s="36">
        <v>46099</v>
      </c>
      <c r="B525" s="37" t="s">
        <v>16</v>
      </c>
      <c r="C525" s="42"/>
      <c r="D525" s="40"/>
      <c r="E525" s="40"/>
      <c r="F525" s="41"/>
    </row>
    <row r="526" spans="1:6" x14ac:dyDescent="0.25">
      <c r="A526" s="36">
        <v>46100</v>
      </c>
      <c r="B526" s="37" t="s">
        <v>8</v>
      </c>
      <c r="C526" s="42" t="s">
        <v>9</v>
      </c>
      <c r="D526" s="40"/>
      <c r="E526" s="40"/>
      <c r="F526" s="41"/>
    </row>
    <row r="527" spans="1:6" x14ac:dyDescent="0.25">
      <c r="A527" s="36">
        <v>46101</v>
      </c>
      <c r="B527" s="37" t="s">
        <v>10</v>
      </c>
      <c r="C527" s="42"/>
      <c r="D527" s="40"/>
      <c r="E527" s="40"/>
      <c r="F527" s="41"/>
    </row>
    <row r="528" spans="1:6" x14ac:dyDescent="0.25">
      <c r="A528" s="36">
        <v>46102</v>
      </c>
      <c r="B528" s="37" t="s">
        <v>12</v>
      </c>
      <c r="C528" s="42"/>
      <c r="D528" s="40"/>
      <c r="E528" s="40"/>
      <c r="F528" s="41"/>
    </row>
    <row r="529" spans="1:6" x14ac:dyDescent="0.25">
      <c r="A529" s="36">
        <v>46103</v>
      </c>
      <c r="B529" s="37" t="s">
        <v>13</v>
      </c>
      <c r="C529" s="42"/>
      <c r="D529" s="40"/>
      <c r="E529" s="40"/>
      <c r="F529" s="41"/>
    </row>
    <row r="530" spans="1:6" x14ac:dyDescent="0.25">
      <c r="A530" s="36">
        <v>46104</v>
      </c>
      <c r="B530" s="37" t="s">
        <v>14</v>
      </c>
      <c r="C530" s="42"/>
      <c r="D530" s="40"/>
      <c r="E530" s="40"/>
      <c r="F530" s="41"/>
    </row>
    <row r="531" spans="1:6" x14ac:dyDescent="0.25">
      <c r="A531" s="36">
        <v>46105</v>
      </c>
      <c r="B531" s="37" t="s">
        <v>15</v>
      </c>
      <c r="C531" s="42"/>
      <c r="D531" s="40"/>
      <c r="E531" s="40"/>
      <c r="F531" s="41"/>
    </row>
    <row r="532" spans="1:6" x14ac:dyDescent="0.25">
      <c r="A532" s="36">
        <v>46106</v>
      </c>
      <c r="B532" s="37" t="s">
        <v>16</v>
      </c>
      <c r="C532" s="42"/>
      <c r="D532" s="40"/>
      <c r="E532" s="40"/>
      <c r="F532" s="41"/>
    </row>
    <row r="533" spans="1:6" x14ac:dyDescent="0.25">
      <c r="A533" s="36">
        <v>46107</v>
      </c>
      <c r="B533" s="37" t="s">
        <v>8</v>
      </c>
      <c r="C533" s="42"/>
      <c r="D533" s="40"/>
      <c r="E533" s="40"/>
      <c r="F533" s="41"/>
    </row>
    <row r="534" spans="1:6" x14ac:dyDescent="0.25">
      <c r="A534" s="36">
        <v>46108</v>
      </c>
      <c r="B534" s="37" t="s">
        <v>10</v>
      </c>
      <c r="C534" s="42"/>
      <c r="D534" s="40"/>
      <c r="E534" s="40"/>
      <c r="F534" s="41"/>
    </row>
    <row r="535" spans="1:6" x14ac:dyDescent="0.25">
      <c r="A535" s="36">
        <v>46109</v>
      </c>
      <c r="B535" s="37" t="s">
        <v>12</v>
      </c>
      <c r="C535" s="42"/>
      <c r="D535" s="40"/>
      <c r="E535" s="40"/>
      <c r="F535" s="41"/>
    </row>
    <row r="536" spans="1:6" x14ac:dyDescent="0.25">
      <c r="A536" s="36">
        <v>46110</v>
      </c>
      <c r="B536" s="37" t="s">
        <v>13</v>
      </c>
      <c r="C536" s="42"/>
      <c r="D536" s="40"/>
      <c r="E536" s="40"/>
      <c r="F536" s="41"/>
    </row>
    <row r="537" spans="1:6" x14ac:dyDescent="0.25">
      <c r="A537" s="36">
        <v>46111</v>
      </c>
      <c r="B537" s="37" t="s">
        <v>14</v>
      </c>
      <c r="C537" s="42"/>
      <c r="D537" s="40"/>
      <c r="E537" s="40"/>
      <c r="F537" s="41"/>
    </row>
    <row r="538" spans="1:6" x14ac:dyDescent="0.25">
      <c r="A538" s="13">
        <v>46112</v>
      </c>
      <c r="B538" s="14" t="s">
        <v>15</v>
      </c>
      <c r="C538" s="15" t="s">
        <v>26</v>
      </c>
      <c r="D538" s="16">
        <v>120</v>
      </c>
      <c r="E538" s="16">
        <v>13</v>
      </c>
      <c r="F538" s="17"/>
    </row>
    <row r="539" spans="1:6" x14ac:dyDescent="0.25">
      <c r="A539" s="13">
        <v>46113</v>
      </c>
      <c r="B539" s="14" t="s">
        <v>16</v>
      </c>
      <c r="C539" s="15" t="s">
        <v>26</v>
      </c>
      <c r="D539" s="16">
        <v>120</v>
      </c>
      <c r="E539" s="16">
        <v>13</v>
      </c>
      <c r="F539" s="17"/>
    </row>
    <row r="540" spans="1:6" x14ac:dyDescent="0.25">
      <c r="A540" s="13">
        <v>46114</v>
      </c>
      <c r="B540" s="14" t="s">
        <v>8</v>
      </c>
      <c r="C540" s="15" t="s">
        <v>23</v>
      </c>
      <c r="D540" s="16">
        <v>120</v>
      </c>
      <c r="E540" s="16">
        <v>13</v>
      </c>
      <c r="F540" s="17">
        <v>10</v>
      </c>
    </row>
    <row r="541" spans="1:6" x14ac:dyDescent="0.25">
      <c r="A541" s="13">
        <v>46115</v>
      </c>
      <c r="B541" s="14" t="s">
        <v>10</v>
      </c>
      <c r="C541" s="15" t="s">
        <v>9</v>
      </c>
      <c r="D541" s="16"/>
      <c r="E541" s="16"/>
      <c r="F541" s="17"/>
    </row>
    <row r="542" spans="1:6" x14ac:dyDescent="0.25">
      <c r="A542" s="13">
        <v>46116</v>
      </c>
      <c r="B542" s="14" t="s">
        <v>12</v>
      </c>
      <c r="C542" s="15"/>
      <c r="D542" s="16"/>
      <c r="E542" s="16"/>
      <c r="F542" s="17"/>
    </row>
    <row r="543" spans="1:6" x14ac:dyDescent="0.25">
      <c r="A543" s="13">
        <v>46117</v>
      </c>
      <c r="B543" s="14" t="s">
        <v>13</v>
      </c>
      <c r="C543" s="15" t="s">
        <v>9</v>
      </c>
      <c r="D543" s="16"/>
      <c r="E543" s="16"/>
      <c r="F543" s="17"/>
    </row>
    <row r="544" spans="1:6" x14ac:dyDescent="0.25">
      <c r="A544" s="13">
        <v>46118</v>
      </c>
      <c r="B544" s="14" t="s">
        <v>14</v>
      </c>
      <c r="C544" s="15" t="s">
        <v>23</v>
      </c>
      <c r="D544" s="16">
        <v>120</v>
      </c>
      <c r="E544" s="16">
        <v>13</v>
      </c>
      <c r="F544" s="17"/>
    </row>
    <row r="545" spans="1:6" ht="15.75" thickBot="1" x14ac:dyDescent="0.3"/>
    <row r="546" spans="1:6" ht="15.75" thickBot="1" x14ac:dyDescent="0.3">
      <c r="A546" s="1" t="s">
        <v>0</v>
      </c>
      <c r="B546" s="2"/>
      <c r="C546" s="33" t="s">
        <v>38</v>
      </c>
      <c r="D546" s="34"/>
      <c r="E546" s="34"/>
      <c r="F546" s="35"/>
    </row>
    <row r="547" spans="1:6" x14ac:dyDescent="0.25">
      <c r="A547" s="6"/>
      <c r="B547" s="6"/>
      <c r="C547" s="7"/>
      <c r="D547" s="8"/>
      <c r="E547" s="8"/>
      <c r="F547" s="8"/>
    </row>
    <row r="548" spans="1:6" ht="25.5" x14ac:dyDescent="0.25">
      <c r="A548" s="9" t="s">
        <v>2</v>
      </c>
      <c r="B548" s="10" t="s">
        <v>3</v>
      </c>
      <c r="C548" s="10" t="s">
        <v>4</v>
      </c>
      <c r="D548" s="11" t="s">
        <v>5</v>
      </c>
      <c r="E548" s="11" t="s">
        <v>6</v>
      </c>
      <c r="F548" s="12" t="s">
        <v>7</v>
      </c>
    </row>
    <row r="549" spans="1:6" x14ac:dyDescent="0.25">
      <c r="A549" s="13">
        <v>46023</v>
      </c>
      <c r="B549" s="14" t="s">
        <v>8</v>
      </c>
      <c r="C549" s="15" t="s">
        <v>9</v>
      </c>
      <c r="D549" s="16"/>
      <c r="E549" s="16"/>
      <c r="F549" s="17"/>
    </row>
    <row r="550" spans="1:6" x14ac:dyDescent="0.25">
      <c r="A550" s="13">
        <v>46024</v>
      </c>
      <c r="B550" s="14" t="s">
        <v>10</v>
      </c>
      <c r="C550" s="15" t="s">
        <v>25</v>
      </c>
      <c r="D550" s="16"/>
      <c r="E550" s="16"/>
      <c r="F550" s="17"/>
    </row>
    <row r="551" spans="1:6" x14ac:dyDescent="0.25">
      <c r="A551" s="13">
        <v>46025</v>
      </c>
      <c r="B551" s="14" t="s">
        <v>12</v>
      </c>
      <c r="C551" s="15"/>
      <c r="D551" s="16"/>
      <c r="E551" s="16"/>
      <c r="F551" s="17"/>
    </row>
    <row r="552" spans="1:6" x14ac:dyDescent="0.25">
      <c r="A552" s="13">
        <v>46026</v>
      </c>
      <c r="B552" s="14" t="s">
        <v>13</v>
      </c>
      <c r="C552" s="15"/>
      <c r="D552" s="16"/>
      <c r="E552" s="16"/>
      <c r="F552" s="17"/>
    </row>
    <row r="553" spans="1:6" x14ac:dyDescent="0.25">
      <c r="A553" s="13">
        <v>46027</v>
      </c>
      <c r="B553" s="14" t="s">
        <v>14</v>
      </c>
      <c r="C553" s="18" t="s">
        <v>31</v>
      </c>
      <c r="D553" s="19">
        <v>120</v>
      </c>
      <c r="E553" s="19">
        <v>0</v>
      </c>
      <c r="F553" s="20">
        <v>0</v>
      </c>
    </row>
    <row r="554" spans="1:6" x14ac:dyDescent="0.25">
      <c r="A554" s="13">
        <v>46028</v>
      </c>
      <c r="B554" s="14" t="s">
        <v>15</v>
      </c>
      <c r="C554" s="18" t="s">
        <v>31</v>
      </c>
      <c r="D554" s="19">
        <v>120</v>
      </c>
      <c r="E554" s="19">
        <v>0</v>
      </c>
      <c r="F554" s="20">
        <v>0</v>
      </c>
    </row>
    <row r="555" spans="1:6" x14ac:dyDescent="0.25">
      <c r="A555" s="13">
        <v>46029</v>
      </c>
      <c r="B555" s="14" t="s">
        <v>16</v>
      </c>
      <c r="C555" s="18" t="s">
        <v>31</v>
      </c>
      <c r="D555" s="19">
        <v>120</v>
      </c>
      <c r="E555" s="19">
        <v>0</v>
      </c>
      <c r="F555" s="20">
        <v>0</v>
      </c>
    </row>
    <row r="556" spans="1:6" x14ac:dyDescent="0.25">
      <c r="A556" s="13">
        <v>46030</v>
      </c>
      <c r="B556" s="14" t="s">
        <v>8</v>
      </c>
      <c r="C556" s="18" t="s">
        <v>31</v>
      </c>
      <c r="D556" s="19">
        <v>120</v>
      </c>
      <c r="E556" s="19">
        <v>0</v>
      </c>
      <c r="F556" s="20">
        <v>0</v>
      </c>
    </row>
    <row r="557" spans="1:6" x14ac:dyDescent="0.25">
      <c r="A557" s="13">
        <v>46031</v>
      </c>
      <c r="B557" s="14" t="s">
        <v>10</v>
      </c>
      <c r="C557" s="18" t="s">
        <v>31</v>
      </c>
      <c r="D557" s="19">
        <v>120</v>
      </c>
      <c r="E557" s="19">
        <v>0</v>
      </c>
      <c r="F557" s="20">
        <v>0</v>
      </c>
    </row>
    <row r="558" spans="1:6" x14ac:dyDescent="0.25">
      <c r="A558" s="13">
        <v>46032</v>
      </c>
      <c r="B558" s="14" t="s">
        <v>12</v>
      </c>
      <c r="C558" s="18"/>
      <c r="D558" s="19"/>
      <c r="E558" s="19"/>
      <c r="F558" s="20"/>
    </row>
    <row r="559" spans="1:6" x14ac:dyDescent="0.25">
      <c r="A559" s="13">
        <v>46033</v>
      </c>
      <c r="B559" s="14" t="s">
        <v>13</v>
      </c>
      <c r="C559" s="18"/>
      <c r="D559" s="19"/>
      <c r="E559" s="19"/>
      <c r="F559" s="20"/>
    </row>
    <row r="560" spans="1:6" x14ac:dyDescent="0.25">
      <c r="A560" s="13">
        <v>46034</v>
      </c>
      <c r="B560" s="14" t="s">
        <v>14</v>
      </c>
      <c r="C560" s="18" t="s">
        <v>18</v>
      </c>
      <c r="D560" s="19">
        <v>100</v>
      </c>
      <c r="E560" s="19">
        <v>0</v>
      </c>
      <c r="F560" s="20">
        <v>0</v>
      </c>
    </row>
    <row r="561" spans="1:6" x14ac:dyDescent="0.25">
      <c r="A561" s="13">
        <v>46035</v>
      </c>
      <c r="B561" s="14" t="s">
        <v>15</v>
      </c>
      <c r="C561" s="18" t="s">
        <v>11</v>
      </c>
      <c r="D561" s="19">
        <v>100</v>
      </c>
      <c r="E561" s="19">
        <v>0</v>
      </c>
      <c r="F561" s="20">
        <v>0</v>
      </c>
    </row>
    <row r="562" spans="1:6" x14ac:dyDescent="0.25">
      <c r="A562" s="13">
        <v>46036</v>
      </c>
      <c r="B562" s="14" t="s">
        <v>16</v>
      </c>
      <c r="C562" s="18" t="s">
        <v>23</v>
      </c>
      <c r="D562" s="19">
        <v>100</v>
      </c>
      <c r="E562" s="19">
        <v>6</v>
      </c>
      <c r="F562" s="20">
        <v>0</v>
      </c>
    </row>
    <row r="563" spans="1:6" x14ac:dyDescent="0.25">
      <c r="A563" s="13">
        <v>46037</v>
      </c>
      <c r="B563" s="14" t="s">
        <v>8</v>
      </c>
      <c r="C563" s="18" t="s">
        <v>23</v>
      </c>
      <c r="D563" s="19">
        <v>100</v>
      </c>
      <c r="E563" s="19">
        <v>12</v>
      </c>
      <c r="F563" s="20">
        <v>0</v>
      </c>
    </row>
    <row r="564" spans="1:6" x14ac:dyDescent="0.25">
      <c r="A564" s="13">
        <v>46038</v>
      </c>
      <c r="B564" s="14" t="s">
        <v>10</v>
      </c>
      <c r="C564" s="18" t="s">
        <v>23</v>
      </c>
      <c r="D564" s="19">
        <v>100</v>
      </c>
      <c r="E564" s="19">
        <v>12</v>
      </c>
      <c r="F564" s="20">
        <v>0</v>
      </c>
    </row>
    <row r="565" spans="1:6" x14ac:dyDescent="0.25">
      <c r="A565" s="13">
        <v>46039</v>
      </c>
      <c r="B565" s="14" t="s">
        <v>12</v>
      </c>
      <c r="C565" s="18"/>
      <c r="D565" s="19"/>
      <c r="E565" s="19"/>
      <c r="F565" s="20"/>
    </row>
    <row r="566" spans="1:6" x14ac:dyDescent="0.25">
      <c r="A566" s="13">
        <v>46040</v>
      </c>
      <c r="B566" s="14" t="s">
        <v>13</v>
      </c>
      <c r="C566" s="18"/>
      <c r="D566" s="19"/>
      <c r="E566" s="19"/>
      <c r="F566" s="20"/>
    </row>
    <row r="567" spans="1:6" x14ac:dyDescent="0.25">
      <c r="A567" s="13">
        <v>46041</v>
      </c>
      <c r="B567" s="14" t="s">
        <v>14</v>
      </c>
      <c r="C567" s="18" t="s">
        <v>23</v>
      </c>
      <c r="D567" s="19">
        <v>100</v>
      </c>
      <c r="E567" s="19">
        <v>12</v>
      </c>
      <c r="F567" s="20">
        <v>0</v>
      </c>
    </row>
    <row r="568" spans="1:6" x14ac:dyDescent="0.25">
      <c r="A568" s="13">
        <v>46042</v>
      </c>
      <c r="B568" s="14" t="s">
        <v>15</v>
      </c>
      <c r="C568" s="18" t="s">
        <v>23</v>
      </c>
      <c r="D568" s="19">
        <v>100</v>
      </c>
      <c r="E568" s="19">
        <v>12</v>
      </c>
      <c r="F568" s="20">
        <v>0</v>
      </c>
    </row>
    <row r="569" spans="1:6" x14ac:dyDescent="0.25">
      <c r="A569" s="13">
        <v>46043</v>
      </c>
      <c r="B569" s="14" t="s">
        <v>16</v>
      </c>
      <c r="C569" s="18" t="s">
        <v>32</v>
      </c>
      <c r="D569" s="19">
        <v>100</v>
      </c>
      <c r="E569" s="19">
        <v>12</v>
      </c>
      <c r="F569" s="20">
        <v>0</v>
      </c>
    </row>
    <row r="570" spans="1:6" x14ac:dyDescent="0.25">
      <c r="A570" s="13">
        <v>46044</v>
      </c>
      <c r="B570" s="14" t="s">
        <v>8</v>
      </c>
      <c r="C570" s="18" t="s">
        <v>32</v>
      </c>
      <c r="D570" s="19">
        <v>100</v>
      </c>
      <c r="E570" s="19">
        <v>12</v>
      </c>
      <c r="F570" s="20">
        <v>0</v>
      </c>
    </row>
    <row r="571" spans="1:6" x14ac:dyDescent="0.25">
      <c r="A571" s="13">
        <v>46045</v>
      </c>
      <c r="B571" s="14" t="s">
        <v>10</v>
      </c>
      <c r="C571" s="18" t="s">
        <v>32</v>
      </c>
      <c r="D571" s="19">
        <v>100</v>
      </c>
      <c r="E571" s="19">
        <v>12</v>
      </c>
      <c r="F571" s="20">
        <v>0</v>
      </c>
    </row>
    <row r="572" spans="1:6" x14ac:dyDescent="0.25">
      <c r="A572" s="13">
        <v>46046</v>
      </c>
      <c r="B572" s="14" t="s">
        <v>12</v>
      </c>
      <c r="C572" s="18"/>
      <c r="D572" s="19"/>
      <c r="E572" s="19"/>
      <c r="F572" s="20"/>
    </row>
    <row r="573" spans="1:6" x14ac:dyDescent="0.25">
      <c r="A573" s="13">
        <v>46047</v>
      </c>
      <c r="B573" s="14" t="s">
        <v>13</v>
      </c>
      <c r="C573" s="18"/>
      <c r="D573" s="19"/>
      <c r="E573" s="19"/>
      <c r="F573" s="20"/>
    </row>
    <row r="574" spans="1:6" x14ac:dyDescent="0.25">
      <c r="A574" s="13">
        <v>46048</v>
      </c>
      <c r="B574" s="14" t="s">
        <v>14</v>
      </c>
      <c r="C574" s="18" t="s">
        <v>19</v>
      </c>
      <c r="D574" s="19"/>
      <c r="E574" s="19"/>
      <c r="F574" s="20"/>
    </row>
    <row r="575" spans="1:6" x14ac:dyDescent="0.25">
      <c r="A575" s="13">
        <v>46049</v>
      </c>
      <c r="B575" s="14" t="s">
        <v>15</v>
      </c>
      <c r="C575" s="18" t="s">
        <v>19</v>
      </c>
      <c r="D575" s="19"/>
      <c r="E575" s="19"/>
      <c r="F575" s="20"/>
    </row>
    <row r="576" spans="1:6" x14ac:dyDescent="0.25">
      <c r="A576" s="13">
        <v>46050</v>
      </c>
      <c r="B576" s="14" t="s">
        <v>16</v>
      </c>
      <c r="C576" s="18" t="s">
        <v>23</v>
      </c>
      <c r="D576" s="19">
        <v>100</v>
      </c>
      <c r="E576" s="19">
        <v>12</v>
      </c>
      <c r="F576" s="20">
        <v>0</v>
      </c>
    </row>
    <row r="577" spans="1:6" x14ac:dyDescent="0.25">
      <c r="A577" s="13">
        <v>46051</v>
      </c>
      <c r="B577" s="14" t="s">
        <v>8</v>
      </c>
      <c r="C577" s="18" t="s">
        <v>23</v>
      </c>
      <c r="D577" s="19">
        <v>100</v>
      </c>
      <c r="E577" s="19">
        <v>13</v>
      </c>
      <c r="F577" s="20">
        <v>0</v>
      </c>
    </row>
    <row r="578" spans="1:6" x14ac:dyDescent="0.25">
      <c r="A578" s="13">
        <v>46052</v>
      </c>
      <c r="B578" s="14" t="s">
        <v>10</v>
      </c>
      <c r="C578" s="18" t="s">
        <v>23</v>
      </c>
      <c r="D578" s="19">
        <v>100</v>
      </c>
      <c r="E578" s="19">
        <v>13</v>
      </c>
      <c r="F578" s="20">
        <v>0</v>
      </c>
    </row>
    <row r="579" spans="1:6" x14ac:dyDescent="0.25">
      <c r="A579" s="13">
        <v>46053</v>
      </c>
      <c r="B579" s="14" t="s">
        <v>12</v>
      </c>
      <c r="C579" s="18"/>
      <c r="D579" s="19"/>
      <c r="E579" s="19"/>
      <c r="F579" s="20"/>
    </row>
    <row r="580" spans="1:6" x14ac:dyDescent="0.25">
      <c r="A580" s="13">
        <v>46054</v>
      </c>
      <c r="B580" s="14" t="s">
        <v>13</v>
      </c>
      <c r="C580" s="18"/>
      <c r="D580" s="19"/>
      <c r="E580" s="19"/>
      <c r="F580" s="20"/>
    </row>
    <row r="581" spans="1:6" x14ac:dyDescent="0.25">
      <c r="A581" s="13">
        <v>46055</v>
      </c>
      <c r="B581" s="14" t="s">
        <v>14</v>
      </c>
      <c r="C581" s="18" t="s">
        <v>23</v>
      </c>
      <c r="D581" s="19">
        <v>100</v>
      </c>
      <c r="E581" s="19">
        <v>13</v>
      </c>
      <c r="F581" s="20">
        <v>0</v>
      </c>
    </row>
    <row r="582" spans="1:6" x14ac:dyDescent="0.25">
      <c r="A582" s="13">
        <v>46056</v>
      </c>
      <c r="B582" s="14" t="s">
        <v>15</v>
      </c>
      <c r="C582" s="18" t="s">
        <v>23</v>
      </c>
      <c r="D582" s="19">
        <v>100</v>
      </c>
      <c r="E582" s="19">
        <v>13</v>
      </c>
      <c r="F582" s="20">
        <v>10</v>
      </c>
    </row>
    <row r="583" spans="1:6" x14ac:dyDescent="0.25">
      <c r="A583" s="13">
        <v>46057</v>
      </c>
      <c r="B583" s="14" t="s">
        <v>16</v>
      </c>
      <c r="C583" s="18" t="s">
        <v>23</v>
      </c>
      <c r="D583" s="19">
        <v>100</v>
      </c>
      <c r="E583" s="19">
        <v>0</v>
      </c>
      <c r="F583" s="20">
        <v>10</v>
      </c>
    </row>
    <row r="584" spans="1:6" x14ac:dyDescent="0.25">
      <c r="A584" s="13">
        <v>46058</v>
      </c>
      <c r="B584" s="14" t="s">
        <v>8</v>
      </c>
      <c r="C584" s="18" t="s">
        <v>23</v>
      </c>
      <c r="D584" s="19">
        <v>100</v>
      </c>
      <c r="E584" s="19">
        <v>0</v>
      </c>
      <c r="F584" s="20">
        <v>10</v>
      </c>
    </row>
    <row r="585" spans="1:6" x14ac:dyDescent="0.25">
      <c r="A585" s="13">
        <v>46059</v>
      </c>
      <c r="B585" s="14" t="s">
        <v>10</v>
      </c>
      <c r="C585" s="15" t="s">
        <v>23</v>
      </c>
      <c r="D585" s="16">
        <v>120</v>
      </c>
      <c r="E585" s="19">
        <v>0</v>
      </c>
      <c r="F585" s="20">
        <v>10</v>
      </c>
    </row>
    <row r="586" spans="1:6" x14ac:dyDescent="0.25">
      <c r="A586" s="13">
        <v>46060</v>
      </c>
      <c r="B586" s="14" t="s">
        <v>12</v>
      </c>
      <c r="C586" s="15"/>
      <c r="D586" s="16"/>
      <c r="E586" s="19"/>
      <c r="F586" s="20"/>
    </row>
    <row r="587" spans="1:6" x14ac:dyDescent="0.25">
      <c r="A587" s="13">
        <v>46061</v>
      </c>
      <c r="B587" s="14" t="s">
        <v>13</v>
      </c>
      <c r="C587" s="15"/>
      <c r="D587" s="16"/>
      <c r="E587" s="19"/>
      <c r="F587" s="20"/>
    </row>
    <row r="588" spans="1:6" x14ac:dyDescent="0.25">
      <c r="A588" s="13">
        <v>46062</v>
      </c>
      <c r="B588" s="14" t="s">
        <v>14</v>
      </c>
      <c r="C588" s="15" t="s">
        <v>23</v>
      </c>
      <c r="D588" s="16">
        <v>60</v>
      </c>
      <c r="E588" s="19">
        <v>13</v>
      </c>
      <c r="F588" s="20">
        <v>10</v>
      </c>
    </row>
    <row r="589" spans="1:6" x14ac:dyDescent="0.25">
      <c r="A589" s="13">
        <v>46062</v>
      </c>
      <c r="B589" s="14" t="s">
        <v>14</v>
      </c>
      <c r="C589" s="15" t="s">
        <v>11</v>
      </c>
      <c r="D589" s="16">
        <v>60</v>
      </c>
      <c r="E589" s="19">
        <f>13/2</f>
        <v>6.5</v>
      </c>
      <c r="F589" s="20">
        <v>0</v>
      </c>
    </row>
    <row r="590" spans="1:6" x14ac:dyDescent="0.25">
      <c r="A590" s="13">
        <v>46063</v>
      </c>
      <c r="B590" s="14" t="s">
        <v>15</v>
      </c>
      <c r="C590" s="15" t="s">
        <v>11</v>
      </c>
      <c r="D590" s="16">
        <v>120</v>
      </c>
      <c r="E590" s="19">
        <v>13</v>
      </c>
      <c r="F590" s="20">
        <v>0</v>
      </c>
    </row>
    <row r="591" spans="1:6" x14ac:dyDescent="0.25">
      <c r="A591" s="13">
        <v>46064</v>
      </c>
      <c r="B591" s="14" t="s">
        <v>16</v>
      </c>
      <c r="C591" s="15" t="s">
        <v>23</v>
      </c>
      <c r="D591" s="16">
        <v>120</v>
      </c>
      <c r="E591" s="19">
        <v>13</v>
      </c>
      <c r="F591" s="20">
        <v>10</v>
      </c>
    </row>
    <row r="592" spans="1:6" x14ac:dyDescent="0.25">
      <c r="A592" s="13">
        <v>46065</v>
      </c>
      <c r="B592" s="14" t="s">
        <v>8</v>
      </c>
      <c r="C592" s="15" t="s">
        <v>23</v>
      </c>
      <c r="D592" s="16">
        <v>120</v>
      </c>
      <c r="E592" s="19">
        <v>13</v>
      </c>
      <c r="F592" s="20">
        <v>10</v>
      </c>
    </row>
    <row r="593" spans="1:6" x14ac:dyDescent="0.25">
      <c r="A593" s="13">
        <v>46066</v>
      </c>
      <c r="B593" s="14" t="s">
        <v>10</v>
      </c>
      <c r="C593" s="15" t="s">
        <v>23</v>
      </c>
      <c r="D593" s="16">
        <v>120</v>
      </c>
      <c r="E593" s="19">
        <v>13</v>
      </c>
      <c r="F593" s="20">
        <v>10</v>
      </c>
    </row>
    <row r="594" spans="1:6" x14ac:dyDescent="0.25">
      <c r="A594" s="13">
        <v>46067</v>
      </c>
      <c r="B594" s="14" t="s">
        <v>12</v>
      </c>
      <c r="C594" s="15"/>
      <c r="D594" s="16"/>
      <c r="E594" s="19"/>
      <c r="F594" s="20"/>
    </row>
    <row r="595" spans="1:6" x14ac:dyDescent="0.25">
      <c r="A595" s="13">
        <v>46068</v>
      </c>
      <c r="B595" s="14" t="s">
        <v>13</v>
      </c>
      <c r="C595" s="15"/>
      <c r="D595" s="16"/>
      <c r="E595" s="19"/>
      <c r="F595" s="20"/>
    </row>
    <row r="596" spans="1:6" x14ac:dyDescent="0.25">
      <c r="A596" s="13">
        <v>46069</v>
      </c>
      <c r="B596" s="14" t="s">
        <v>14</v>
      </c>
      <c r="C596" s="15" t="s">
        <v>9</v>
      </c>
      <c r="D596" s="16"/>
      <c r="E596" s="19"/>
      <c r="F596" s="20"/>
    </row>
    <row r="597" spans="1:6" x14ac:dyDescent="0.25">
      <c r="A597" s="13">
        <v>46070</v>
      </c>
      <c r="B597" s="14" t="s">
        <v>15</v>
      </c>
      <c r="C597" s="15" t="s">
        <v>9</v>
      </c>
      <c r="D597" s="16"/>
      <c r="E597" s="19"/>
      <c r="F597" s="20"/>
    </row>
    <row r="598" spans="1:6" x14ac:dyDescent="0.25">
      <c r="A598" s="13">
        <v>46071</v>
      </c>
      <c r="B598" s="14" t="s">
        <v>16</v>
      </c>
      <c r="C598" s="18" t="s">
        <v>19</v>
      </c>
      <c r="D598" s="19">
        <v>0</v>
      </c>
      <c r="E598" s="19">
        <v>0</v>
      </c>
      <c r="F598" s="20">
        <v>0</v>
      </c>
    </row>
    <row r="599" spans="1:6" x14ac:dyDescent="0.25">
      <c r="A599" s="13">
        <v>46072</v>
      </c>
      <c r="B599" s="14" t="s">
        <v>8</v>
      </c>
      <c r="C599" s="18" t="s">
        <v>23</v>
      </c>
      <c r="D599" s="19">
        <v>120</v>
      </c>
      <c r="E599" s="19">
        <v>0</v>
      </c>
      <c r="F599" s="20">
        <v>10</v>
      </c>
    </row>
    <row r="600" spans="1:6" x14ac:dyDescent="0.25">
      <c r="A600" s="13">
        <v>46073</v>
      </c>
      <c r="B600" s="14" t="s">
        <v>10</v>
      </c>
      <c r="C600" s="18" t="s">
        <v>23</v>
      </c>
      <c r="D600" s="19">
        <v>120</v>
      </c>
      <c r="E600" s="19">
        <v>0</v>
      </c>
      <c r="F600" s="20">
        <v>10</v>
      </c>
    </row>
    <row r="601" spans="1:6" x14ac:dyDescent="0.25">
      <c r="A601" s="13">
        <v>46074</v>
      </c>
      <c r="B601" s="14" t="s">
        <v>12</v>
      </c>
      <c r="C601" s="18" t="s">
        <v>11</v>
      </c>
      <c r="D601" s="19">
        <v>170</v>
      </c>
      <c r="E601" s="19">
        <v>0</v>
      </c>
      <c r="F601" s="20">
        <v>0</v>
      </c>
    </row>
    <row r="602" spans="1:6" x14ac:dyDescent="0.25">
      <c r="A602" s="13">
        <v>46075</v>
      </c>
      <c r="B602" s="14" t="s">
        <v>13</v>
      </c>
      <c r="C602" s="18" t="s">
        <v>11</v>
      </c>
      <c r="D602" s="19">
        <v>170</v>
      </c>
      <c r="E602" s="19">
        <v>0</v>
      </c>
      <c r="F602" s="20">
        <v>0</v>
      </c>
    </row>
    <row r="603" spans="1:6" x14ac:dyDescent="0.25">
      <c r="A603" s="13">
        <v>46076</v>
      </c>
      <c r="B603" s="14" t="s">
        <v>14</v>
      </c>
      <c r="C603" s="18" t="s">
        <v>23</v>
      </c>
      <c r="D603" s="19">
        <v>120</v>
      </c>
      <c r="E603" s="19">
        <v>0</v>
      </c>
      <c r="F603" s="20">
        <v>10</v>
      </c>
    </row>
    <row r="604" spans="1:6" x14ac:dyDescent="0.25">
      <c r="A604" s="13">
        <v>46077</v>
      </c>
      <c r="B604" s="14" t="s">
        <v>15</v>
      </c>
      <c r="C604" s="18" t="s">
        <v>23</v>
      </c>
      <c r="D604" s="19">
        <v>120</v>
      </c>
      <c r="E604" s="19">
        <v>0</v>
      </c>
      <c r="F604" s="20">
        <v>10</v>
      </c>
    </row>
    <row r="605" spans="1:6" x14ac:dyDescent="0.25">
      <c r="A605" s="13">
        <v>46078</v>
      </c>
      <c r="B605" s="14" t="s">
        <v>16</v>
      </c>
      <c r="C605" s="18" t="s">
        <v>23</v>
      </c>
      <c r="D605" s="19">
        <v>120</v>
      </c>
      <c r="E605" s="19">
        <v>0</v>
      </c>
      <c r="F605" s="20">
        <v>10</v>
      </c>
    </row>
    <row r="606" spans="1:6" x14ac:dyDescent="0.25">
      <c r="A606" s="13">
        <v>46079</v>
      </c>
      <c r="B606" s="14" t="s">
        <v>8</v>
      </c>
      <c r="C606" s="18" t="s">
        <v>23</v>
      </c>
      <c r="D606" s="19">
        <v>120</v>
      </c>
      <c r="E606" s="19">
        <v>0</v>
      </c>
      <c r="F606" s="20">
        <v>10</v>
      </c>
    </row>
    <row r="607" spans="1:6" x14ac:dyDescent="0.25">
      <c r="A607" s="13">
        <v>46080</v>
      </c>
      <c r="B607" s="14" t="s">
        <v>10</v>
      </c>
      <c r="C607" s="18" t="s">
        <v>23</v>
      </c>
      <c r="D607" s="19">
        <v>120</v>
      </c>
      <c r="E607" s="19">
        <v>0</v>
      </c>
      <c r="F607" s="20">
        <v>10</v>
      </c>
    </row>
    <row r="608" spans="1:6" x14ac:dyDescent="0.25">
      <c r="A608" s="13">
        <v>46081</v>
      </c>
      <c r="B608" s="14" t="s">
        <v>12</v>
      </c>
      <c r="C608" s="18"/>
      <c r="D608" s="19"/>
      <c r="E608" s="19"/>
      <c r="F608" s="17"/>
    </row>
    <row r="609" spans="1:6" x14ac:dyDescent="0.25">
      <c r="A609" s="13">
        <v>46082</v>
      </c>
      <c r="B609" s="14" t="s">
        <v>13</v>
      </c>
      <c r="C609" s="18"/>
      <c r="D609" s="19"/>
      <c r="E609" s="19"/>
      <c r="F609" s="17"/>
    </row>
    <row r="610" spans="1:6" x14ac:dyDescent="0.25">
      <c r="A610" s="13">
        <v>46083</v>
      </c>
      <c r="B610" s="14" t="s">
        <v>14</v>
      </c>
      <c r="C610" s="18" t="s">
        <v>23</v>
      </c>
      <c r="D610" s="19">
        <v>120</v>
      </c>
      <c r="E610" s="19">
        <v>0</v>
      </c>
      <c r="F610" s="20">
        <v>0</v>
      </c>
    </row>
    <row r="611" spans="1:6" x14ac:dyDescent="0.25">
      <c r="A611" s="13">
        <v>46084</v>
      </c>
      <c r="B611" s="14" t="s">
        <v>15</v>
      </c>
      <c r="C611" s="18" t="s">
        <v>23</v>
      </c>
      <c r="D611" s="19">
        <v>120</v>
      </c>
      <c r="E611" s="19">
        <v>0</v>
      </c>
      <c r="F611" s="20">
        <v>10</v>
      </c>
    </row>
    <row r="612" spans="1:6" x14ac:dyDescent="0.25">
      <c r="A612" s="13">
        <v>46085</v>
      </c>
      <c r="B612" s="14" t="s">
        <v>16</v>
      </c>
      <c r="C612" s="18" t="s">
        <v>23</v>
      </c>
      <c r="D612" s="19">
        <v>120</v>
      </c>
      <c r="E612" s="19">
        <v>0</v>
      </c>
      <c r="F612" s="20">
        <v>10</v>
      </c>
    </row>
    <row r="613" spans="1:6" x14ac:dyDescent="0.25">
      <c r="A613" s="13">
        <v>46086</v>
      </c>
      <c r="B613" s="14" t="s">
        <v>8</v>
      </c>
      <c r="C613" s="18" t="s">
        <v>23</v>
      </c>
      <c r="D613" s="19">
        <v>120</v>
      </c>
      <c r="E613" s="19">
        <v>0</v>
      </c>
      <c r="F613" s="20">
        <v>10</v>
      </c>
    </row>
    <row r="614" spans="1:6" x14ac:dyDescent="0.25">
      <c r="A614" s="13">
        <v>46087</v>
      </c>
      <c r="B614" s="14" t="s">
        <v>10</v>
      </c>
      <c r="C614" s="18" t="s">
        <v>23</v>
      </c>
      <c r="D614" s="19">
        <v>120</v>
      </c>
      <c r="E614" s="19">
        <v>0</v>
      </c>
      <c r="F614" s="20">
        <v>10</v>
      </c>
    </row>
    <row r="615" spans="1:6" x14ac:dyDescent="0.25">
      <c r="A615" s="13">
        <v>46088</v>
      </c>
      <c r="B615" s="14" t="s">
        <v>12</v>
      </c>
      <c r="C615" s="18"/>
      <c r="D615" s="19"/>
      <c r="E615" s="16"/>
      <c r="F615" s="17"/>
    </row>
    <row r="616" spans="1:6" x14ac:dyDescent="0.25">
      <c r="A616" s="13">
        <v>46089</v>
      </c>
      <c r="B616" s="14" t="s">
        <v>13</v>
      </c>
      <c r="C616" s="18"/>
      <c r="D616" s="19"/>
      <c r="E616" s="16"/>
      <c r="F616" s="17"/>
    </row>
    <row r="617" spans="1:6" x14ac:dyDescent="0.25">
      <c r="A617" s="13">
        <v>46090</v>
      </c>
      <c r="B617" s="14" t="s">
        <v>14</v>
      </c>
      <c r="C617" s="18" t="s">
        <v>23</v>
      </c>
      <c r="D617" s="19">
        <v>120</v>
      </c>
      <c r="E617" s="19">
        <v>0</v>
      </c>
      <c r="F617" s="20">
        <v>10</v>
      </c>
    </row>
    <row r="618" spans="1:6" x14ac:dyDescent="0.25">
      <c r="A618" s="13">
        <v>46091</v>
      </c>
      <c r="B618" s="14" t="s">
        <v>15</v>
      </c>
      <c r="C618" s="18" t="s">
        <v>23</v>
      </c>
      <c r="D618" s="19">
        <v>120</v>
      </c>
      <c r="E618" s="19">
        <v>0</v>
      </c>
      <c r="F618" s="20">
        <v>10</v>
      </c>
    </row>
    <row r="619" spans="1:6" x14ac:dyDescent="0.25">
      <c r="A619" s="13">
        <v>46092</v>
      </c>
      <c r="B619" s="14" t="s">
        <v>16</v>
      </c>
      <c r="C619" s="18" t="s">
        <v>23</v>
      </c>
      <c r="D619" s="19">
        <v>120</v>
      </c>
      <c r="E619" s="19">
        <v>0</v>
      </c>
      <c r="F619" s="20">
        <v>10</v>
      </c>
    </row>
    <row r="620" spans="1:6" x14ac:dyDescent="0.25">
      <c r="A620" s="13">
        <v>46093</v>
      </c>
      <c r="B620" s="14" t="s">
        <v>8</v>
      </c>
      <c r="C620" s="18" t="s">
        <v>23</v>
      </c>
      <c r="D620" s="19">
        <v>120</v>
      </c>
      <c r="E620" s="19">
        <v>0</v>
      </c>
      <c r="F620" s="20">
        <v>10</v>
      </c>
    </row>
    <row r="621" spans="1:6" x14ac:dyDescent="0.25">
      <c r="A621" s="13">
        <v>46094</v>
      </c>
      <c r="B621" s="14" t="s">
        <v>10</v>
      </c>
      <c r="C621" s="18" t="s">
        <v>23</v>
      </c>
      <c r="D621" s="19">
        <v>120</v>
      </c>
      <c r="E621" s="19">
        <v>0</v>
      </c>
      <c r="F621" s="20">
        <v>10</v>
      </c>
    </row>
    <row r="622" spans="1:6" x14ac:dyDescent="0.25">
      <c r="A622" s="13">
        <v>46095</v>
      </c>
      <c r="B622" s="14" t="s">
        <v>12</v>
      </c>
      <c r="C622" s="18"/>
      <c r="D622" s="19"/>
      <c r="E622" s="16"/>
      <c r="F622" s="20"/>
    </row>
    <row r="623" spans="1:6" x14ac:dyDescent="0.25">
      <c r="A623" s="13">
        <v>46096</v>
      </c>
      <c r="B623" s="14" t="s">
        <v>13</v>
      </c>
      <c r="C623" s="18"/>
      <c r="D623" s="19"/>
      <c r="E623" s="16"/>
      <c r="F623" s="20"/>
    </row>
    <row r="624" spans="1:6" x14ac:dyDescent="0.25">
      <c r="A624" s="13">
        <v>46097</v>
      </c>
      <c r="B624" s="14" t="s">
        <v>14</v>
      </c>
      <c r="C624" s="18" t="s">
        <v>23</v>
      </c>
      <c r="D624" s="19">
        <v>120</v>
      </c>
      <c r="E624" s="19">
        <v>0</v>
      </c>
      <c r="F624" s="20">
        <v>10</v>
      </c>
    </row>
    <row r="625" spans="1:6" x14ac:dyDescent="0.25">
      <c r="A625" s="13">
        <v>46098</v>
      </c>
      <c r="B625" s="14" t="s">
        <v>15</v>
      </c>
      <c r="C625" s="18" t="s">
        <v>23</v>
      </c>
      <c r="D625" s="19">
        <v>120</v>
      </c>
      <c r="E625" s="19">
        <v>0</v>
      </c>
      <c r="F625" s="20">
        <v>10</v>
      </c>
    </row>
    <row r="626" spans="1:6" x14ac:dyDescent="0.25">
      <c r="A626" s="13">
        <v>46099</v>
      </c>
      <c r="B626" s="14" t="s">
        <v>16</v>
      </c>
      <c r="C626" s="18" t="s">
        <v>23</v>
      </c>
      <c r="D626" s="19">
        <v>120</v>
      </c>
      <c r="E626" s="19">
        <v>0</v>
      </c>
      <c r="F626" s="20">
        <v>10</v>
      </c>
    </row>
    <row r="627" spans="1:6" x14ac:dyDescent="0.25">
      <c r="A627" s="13">
        <v>46100</v>
      </c>
      <c r="B627" s="14" t="s">
        <v>8</v>
      </c>
      <c r="C627" s="18" t="s">
        <v>23</v>
      </c>
      <c r="D627" s="19">
        <v>120</v>
      </c>
      <c r="E627" s="19">
        <v>0</v>
      </c>
      <c r="F627" s="20">
        <v>10</v>
      </c>
    </row>
    <row r="628" spans="1:6" x14ac:dyDescent="0.25">
      <c r="A628" s="13">
        <v>46101</v>
      </c>
      <c r="B628" s="14" t="s">
        <v>10</v>
      </c>
      <c r="C628" s="18" t="s">
        <v>23</v>
      </c>
      <c r="D628" s="19">
        <v>120</v>
      </c>
      <c r="E628" s="19">
        <v>0</v>
      </c>
      <c r="F628" s="20">
        <v>10</v>
      </c>
    </row>
    <row r="629" spans="1:6" x14ac:dyDescent="0.25">
      <c r="A629" s="13">
        <v>46102</v>
      </c>
      <c r="B629" s="14" t="s">
        <v>12</v>
      </c>
      <c r="C629" s="15"/>
      <c r="D629" s="16"/>
      <c r="E629" s="16"/>
      <c r="F629" s="17"/>
    </row>
    <row r="630" spans="1:6" x14ac:dyDescent="0.25">
      <c r="A630" s="13">
        <v>46103</v>
      </c>
      <c r="B630" s="14" t="s">
        <v>13</v>
      </c>
      <c r="C630" s="15"/>
      <c r="D630" s="16"/>
      <c r="E630" s="16"/>
      <c r="F630" s="17"/>
    </row>
    <row r="631" spans="1:6" x14ac:dyDescent="0.25">
      <c r="A631" s="13">
        <v>46104</v>
      </c>
      <c r="B631" s="14" t="s">
        <v>14</v>
      </c>
      <c r="C631" s="15" t="s">
        <v>23</v>
      </c>
      <c r="D631" s="16">
        <v>120</v>
      </c>
      <c r="E631" s="19">
        <v>0</v>
      </c>
      <c r="F631" s="20">
        <v>10</v>
      </c>
    </row>
    <row r="632" spans="1:6" x14ac:dyDescent="0.25">
      <c r="A632" s="13">
        <v>46105</v>
      </c>
      <c r="B632" s="14" t="s">
        <v>15</v>
      </c>
      <c r="C632" s="15" t="s">
        <v>25</v>
      </c>
      <c r="D632" s="16"/>
      <c r="E632" s="19">
        <v>0</v>
      </c>
      <c r="F632" s="20">
        <v>0</v>
      </c>
    </row>
    <row r="633" spans="1:6" x14ac:dyDescent="0.25">
      <c r="A633" s="13">
        <v>46106</v>
      </c>
      <c r="B633" s="14" t="s">
        <v>16</v>
      </c>
      <c r="C633" s="15" t="s">
        <v>23</v>
      </c>
      <c r="D633" s="16">
        <v>120</v>
      </c>
      <c r="E633" s="19">
        <v>0</v>
      </c>
      <c r="F633" s="20">
        <v>10</v>
      </c>
    </row>
    <row r="634" spans="1:6" x14ac:dyDescent="0.25">
      <c r="A634" s="13">
        <v>46107</v>
      </c>
      <c r="B634" s="14" t="s">
        <v>8</v>
      </c>
      <c r="C634" s="15" t="s">
        <v>23</v>
      </c>
      <c r="D634" s="16">
        <v>120</v>
      </c>
      <c r="E634" s="19">
        <v>0</v>
      </c>
      <c r="F634" s="20">
        <v>10</v>
      </c>
    </row>
    <row r="635" spans="1:6" x14ac:dyDescent="0.25">
      <c r="A635" s="13">
        <v>46108</v>
      </c>
      <c r="B635" s="14" t="s">
        <v>10</v>
      </c>
      <c r="C635" s="15" t="s">
        <v>23</v>
      </c>
      <c r="D635" s="16">
        <v>120</v>
      </c>
      <c r="E635" s="19">
        <v>0</v>
      </c>
      <c r="F635" s="20">
        <v>10</v>
      </c>
    </row>
    <row r="636" spans="1:6" x14ac:dyDescent="0.25">
      <c r="A636" s="13">
        <v>46109</v>
      </c>
      <c r="B636" s="14" t="s">
        <v>12</v>
      </c>
      <c r="C636" s="15"/>
      <c r="D636" s="16"/>
      <c r="E636" s="16"/>
      <c r="F636" s="17"/>
    </row>
    <row r="637" spans="1:6" x14ac:dyDescent="0.25">
      <c r="A637" s="13">
        <v>46110</v>
      </c>
      <c r="B637" s="14" t="s">
        <v>13</v>
      </c>
      <c r="C637" s="15"/>
      <c r="D637" s="16"/>
      <c r="E637" s="16"/>
      <c r="F637" s="17"/>
    </row>
    <row r="638" spans="1:6" x14ac:dyDescent="0.25">
      <c r="A638" s="13">
        <v>46111</v>
      </c>
      <c r="B638" s="14" t="s">
        <v>14</v>
      </c>
      <c r="C638" s="15" t="s">
        <v>34</v>
      </c>
      <c r="D638" s="16">
        <v>150</v>
      </c>
      <c r="E638" s="16">
        <v>0</v>
      </c>
      <c r="F638" s="17">
        <v>0</v>
      </c>
    </row>
    <row r="639" spans="1:6" x14ac:dyDescent="0.25">
      <c r="A639" s="13">
        <v>46112</v>
      </c>
      <c r="B639" s="14" t="s">
        <v>15</v>
      </c>
      <c r="C639" s="15" t="s">
        <v>34</v>
      </c>
      <c r="D639" s="16">
        <v>150</v>
      </c>
      <c r="E639" s="16">
        <v>0</v>
      </c>
      <c r="F639" s="17">
        <v>40</v>
      </c>
    </row>
    <row r="640" spans="1:6" x14ac:dyDescent="0.25">
      <c r="A640" s="13">
        <v>46113</v>
      </c>
      <c r="B640" s="14" t="s">
        <v>16</v>
      </c>
      <c r="C640" s="15" t="s">
        <v>34</v>
      </c>
      <c r="D640" s="16">
        <v>150</v>
      </c>
      <c r="E640" s="16">
        <v>0</v>
      </c>
      <c r="F640" s="17">
        <v>40</v>
      </c>
    </row>
    <row r="641" spans="1:6" x14ac:dyDescent="0.25">
      <c r="A641" s="13">
        <v>46114</v>
      </c>
      <c r="B641" s="14" t="s">
        <v>8</v>
      </c>
      <c r="C641" s="15" t="s">
        <v>34</v>
      </c>
      <c r="D641" s="16">
        <v>150</v>
      </c>
      <c r="E641" s="16">
        <v>0</v>
      </c>
      <c r="F641" s="17">
        <v>40</v>
      </c>
    </row>
    <row r="642" spans="1:6" x14ac:dyDescent="0.25">
      <c r="A642" s="13">
        <v>46115</v>
      </c>
      <c r="B642" s="14" t="s">
        <v>10</v>
      </c>
      <c r="C642" s="15" t="s">
        <v>9</v>
      </c>
      <c r="D642" s="16"/>
      <c r="E642" s="16"/>
      <c r="F642" s="17">
        <v>40</v>
      </c>
    </row>
    <row r="643" spans="1:6" x14ac:dyDescent="0.25">
      <c r="A643" s="13">
        <v>46116</v>
      </c>
      <c r="B643" s="14" t="s">
        <v>12</v>
      </c>
      <c r="C643" s="15"/>
      <c r="D643" s="16">
        <v>0</v>
      </c>
      <c r="E643" s="16"/>
      <c r="F643" s="17">
        <f>40+30</f>
        <v>70</v>
      </c>
    </row>
    <row r="644" spans="1:6" x14ac:dyDescent="0.25">
      <c r="A644" s="13">
        <v>46117</v>
      </c>
      <c r="B644" s="14" t="s">
        <v>13</v>
      </c>
      <c r="C644" s="15" t="s">
        <v>9</v>
      </c>
      <c r="D644" s="16">
        <v>0</v>
      </c>
      <c r="E644" s="16"/>
      <c r="F644" s="17">
        <f>40+30</f>
        <v>70</v>
      </c>
    </row>
    <row r="645" spans="1:6" x14ac:dyDescent="0.25">
      <c r="A645" s="13">
        <v>46118</v>
      </c>
      <c r="B645" s="14" t="s">
        <v>14</v>
      </c>
      <c r="C645" s="15" t="s">
        <v>34</v>
      </c>
      <c r="D645" s="16">
        <v>150</v>
      </c>
      <c r="E645" s="16"/>
      <c r="F645" s="17">
        <v>40</v>
      </c>
    </row>
    <row r="646" spans="1:6" ht="15.75" thickBot="1" x14ac:dyDescent="0.3"/>
    <row r="647" spans="1:6" ht="15.75" thickBot="1" x14ac:dyDescent="0.3">
      <c r="A647" s="1" t="s">
        <v>0</v>
      </c>
      <c r="B647" s="2"/>
      <c r="C647" s="33" t="s">
        <v>39</v>
      </c>
      <c r="D647" s="34"/>
      <c r="E647" s="34"/>
      <c r="F647" s="35"/>
    </row>
    <row r="648" spans="1:6" x14ac:dyDescent="0.25">
      <c r="A648" s="6"/>
      <c r="B648" s="6"/>
      <c r="C648" s="7"/>
      <c r="D648" s="8"/>
      <c r="E648" s="8"/>
      <c r="F648" s="8"/>
    </row>
    <row r="649" spans="1:6" ht="25.5" x14ac:dyDescent="0.25">
      <c r="A649" s="9" t="s">
        <v>2</v>
      </c>
      <c r="B649" s="10" t="s">
        <v>3</v>
      </c>
      <c r="C649" s="10" t="s">
        <v>4</v>
      </c>
      <c r="D649" s="11" t="s">
        <v>5</v>
      </c>
      <c r="E649" s="11" t="s">
        <v>6</v>
      </c>
      <c r="F649" s="12" t="s">
        <v>7</v>
      </c>
    </row>
    <row r="650" spans="1:6" x14ac:dyDescent="0.25">
      <c r="A650" s="13">
        <v>46023</v>
      </c>
      <c r="B650" s="14" t="s">
        <v>8</v>
      </c>
      <c r="C650" s="15" t="s">
        <v>9</v>
      </c>
      <c r="D650" s="16"/>
      <c r="E650" s="16"/>
      <c r="F650" s="17"/>
    </row>
    <row r="651" spans="1:6" x14ac:dyDescent="0.25">
      <c r="A651" s="13">
        <v>46024</v>
      </c>
      <c r="B651" s="14" t="s">
        <v>10</v>
      </c>
      <c r="C651" s="18" t="s">
        <v>11</v>
      </c>
      <c r="D651" s="19">
        <v>100</v>
      </c>
      <c r="E651" s="19">
        <v>12</v>
      </c>
      <c r="F651" s="20">
        <v>0</v>
      </c>
    </row>
    <row r="652" spans="1:6" x14ac:dyDescent="0.25">
      <c r="A652" s="13">
        <v>46025</v>
      </c>
      <c r="B652" s="14" t="s">
        <v>12</v>
      </c>
      <c r="C652" s="18" t="s">
        <v>11</v>
      </c>
      <c r="D652" s="19">
        <v>100</v>
      </c>
      <c r="E652" s="19">
        <v>12</v>
      </c>
      <c r="F652" s="20">
        <v>0</v>
      </c>
    </row>
    <row r="653" spans="1:6" x14ac:dyDescent="0.25">
      <c r="A653" s="13">
        <v>46026</v>
      </c>
      <c r="B653" s="14" t="s">
        <v>13</v>
      </c>
      <c r="C653" s="18"/>
      <c r="D653" s="19"/>
      <c r="E653" s="19"/>
      <c r="F653" s="20"/>
    </row>
    <row r="654" spans="1:6" x14ac:dyDescent="0.25">
      <c r="A654" s="13">
        <v>46027</v>
      </c>
      <c r="B654" s="14" t="s">
        <v>14</v>
      </c>
      <c r="C654" s="18" t="s">
        <v>11</v>
      </c>
      <c r="D654" s="19">
        <v>100</v>
      </c>
      <c r="E654" s="19">
        <v>12</v>
      </c>
      <c r="F654" s="20">
        <v>0</v>
      </c>
    </row>
    <row r="655" spans="1:6" x14ac:dyDescent="0.25">
      <c r="A655" s="13">
        <v>46028</v>
      </c>
      <c r="B655" s="14" t="s">
        <v>15</v>
      </c>
      <c r="C655" s="18" t="s">
        <v>11</v>
      </c>
      <c r="D655" s="19">
        <v>100</v>
      </c>
      <c r="E655" s="19">
        <v>12</v>
      </c>
      <c r="F655" s="20">
        <v>0</v>
      </c>
    </row>
    <row r="656" spans="1:6" x14ac:dyDescent="0.25">
      <c r="A656" s="13">
        <v>46029</v>
      </c>
      <c r="B656" s="14" t="s">
        <v>16</v>
      </c>
      <c r="C656" s="18" t="s">
        <v>11</v>
      </c>
      <c r="D656" s="19">
        <v>100</v>
      </c>
      <c r="E656" s="19">
        <v>12</v>
      </c>
      <c r="F656" s="20">
        <v>0</v>
      </c>
    </row>
    <row r="657" spans="1:6" x14ac:dyDescent="0.25">
      <c r="A657" s="13">
        <v>46030</v>
      </c>
      <c r="B657" s="14" t="s">
        <v>8</v>
      </c>
      <c r="C657" s="18" t="s">
        <v>17</v>
      </c>
      <c r="D657" s="19">
        <v>100</v>
      </c>
      <c r="E657" s="19">
        <v>12</v>
      </c>
      <c r="F657" s="20">
        <v>0</v>
      </c>
    </row>
    <row r="658" spans="1:6" x14ac:dyDescent="0.25">
      <c r="A658" s="13">
        <v>46031</v>
      </c>
      <c r="B658" s="14" t="s">
        <v>10</v>
      </c>
      <c r="C658" s="18" t="s">
        <v>18</v>
      </c>
      <c r="D658" s="19">
        <v>100</v>
      </c>
      <c r="E658" s="19">
        <v>12</v>
      </c>
      <c r="F658" s="20">
        <v>0</v>
      </c>
    </row>
    <row r="659" spans="1:6" x14ac:dyDescent="0.25">
      <c r="A659" s="13">
        <v>46032</v>
      </c>
      <c r="B659" s="14" t="s">
        <v>12</v>
      </c>
      <c r="C659" s="18"/>
      <c r="D659" s="19"/>
      <c r="E659" s="19"/>
      <c r="F659" s="20"/>
    </row>
    <row r="660" spans="1:6" x14ac:dyDescent="0.25">
      <c r="A660" s="13">
        <v>46033</v>
      </c>
      <c r="B660" s="14" t="s">
        <v>13</v>
      </c>
      <c r="C660" s="18"/>
      <c r="D660" s="19"/>
      <c r="E660" s="19"/>
      <c r="F660" s="20"/>
    </row>
    <row r="661" spans="1:6" x14ac:dyDescent="0.25">
      <c r="A661" s="13">
        <v>46034</v>
      </c>
      <c r="B661" s="14" t="s">
        <v>14</v>
      </c>
      <c r="C661" s="18" t="s">
        <v>11</v>
      </c>
      <c r="D661" s="19">
        <v>100</v>
      </c>
      <c r="E661" s="19">
        <v>12</v>
      </c>
      <c r="F661" s="20">
        <v>0</v>
      </c>
    </row>
    <row r="662" spans="1:6" x14ac:dyDescent="0.25">
      <c r="A662" s="13">
        <v>46035</v>
      </c>
      <c r="B662" s="14" t="s">
        <v>15</v>
      </c>
      <c r="C662" s="18" t="s">
        <v>25</v>
      </c>
      <c r="D662" s="19"/>
      <c r="E662" s="19"/>
      <c r="F662" s="20"/>
    </row>
    <row r="663" spans="1:6" x14ac:dyDescent="0.25">
      <c r="A663" s="13">
        <v>46036</v>
      </c>
      <c r="B663" s="14" t="s">
        <v>16</v>
      </c>
      <c r="C663" s="18" t="s">
        <v>11</v>
      </c>
      <c r="D663" s="19">
        <v>100</v>
      </c>
      <c r="E663" s="19">
        <v>12</v>
      </c>
      <c r="F663" s="20">
        <v>0</v>
      </c>
    </row>
    <row r="664" spans="1:6" x14ac:dyDescent="0.25">
      <c r="A664" s="13">
        <v>46037</v>
      </c>
      <c r="B664" s="14" t="s">
        <v>8</v>
      </c>
      <c r="C664" s="18" t="s">
        <v>11</v>
      </c>
      <c r="D664" s="19">
        <v>100</v>
      </c>
      <c r="E664" s="19">
        <v>12</v>
      </c>
      <c r="F664" s="20">
        <v>0</v>
      </c>
    </row>
    <row r="665" spans="1:6" x14ac:dyDescent="0.25">
      <c r="A665" s="13">
        <v>46038</v>
      </c>
      <c r="B665" s="14" t="s">
        <v>10</v>
      </c>
      <c r="C665" s="18" t="s">
        <v>11</v>
      </c>
      <c r="D665" s="19">
        <v>100</v>
      </c>
      <c r="E665" s="19">
        <v>12</v>
      </c>
      <c r="F665" s="20">
        <v>0</v>
      </c>
    </row>
    <row r="666" spans="1:6" x14ac:dyDescent="0.25">
      <c r="A666" s="13">
        <v>46039</v>
      </c>
      <c r="B666" s="14" t="s">
        <v>12</v>
      </c>
      <c r="C666" s="18"/>
      <c r="D666" s="19"/>
      <c r="E666" s="19"/>
      <c r="F666" s="20"/>
    </row>
    <row r="667" spans="1:6" x14ac:dyDescent="0.25">
      <c r="A667" s="13">
        <v>46040</v>
      </c>
      <c r="B667" s="14" t="s">
        <v>13</v>
      </c>
      <c r="C667" s="18"/>
      <c r="D667" s="19"/>
      <c r="E667" s="19"/>
      <c r="F667" s="20"/>
    </row>
    <row r="668" spans="1:6" x14ac:dyDescent="0.25">
      <c r="A668" s="13">
        <v>46041</v>
      </c>
      <c r="B668" s="14" t="s">
        <v>14</v>
      </c>
      <c r="C668" s="18" t="s">
        <v>11</v>
      </c>
      <c r="D668" s="19">
        <v>100</v>
      </c>
      <c r="E668" s="19">
        <v>12</v>
      </c>
      <c r="F668" s="20">
        <v>0</v>
      </c>
    </row>
    <row r="669" spans="1:6" x14ac:dyDescent="0.25">
      <c r="A669" s="13">
        <v>46042</v>
      </c>
      <c r="B669" s="14" t="s">
        <v>15</v>
      </c>
      <c r="C669" s="18" t="s">
        <v>11</v>
      </c>
      <c r="D669" s="19">
        <v>100</v>
      </c>
      <c r="E669" s="19">
        <v>12</v>
      </c>
      <c r="F669" s="20">
        <v>0</v>
      </c>
    </row>
    <row r="670" spans="1:6" x14ac:dyDescent="0.25">
      <c r="A670" s="13">
        <v>46043</v>
      </c>
      <c r="B670" s="14" t="s">
        <v>16</v>
      </c>
      <c r="C670" s="18" t="s">
        <v>11</v>
      </c>
      <c r="D670" s="19">
        <v>100</v>
      </c>
      <c r="E670" s="19">
        <v>12</v>
      </c>
      <c r="F670" s="20">
        <v>0</v>
      </c>
    </row>
    <row r="671" spans="1:6" x14ac:dyDescent="0.25">
      <c r="A671" s="13">
        <v>46044</v>
      </c>
      <c r="B671" s="14" t="s">
        <v>8</v>
      </c>
      <c r="C671" s="18" t="s">
        <v>11</v>
      </c>
      <c r="D671" s="19">
        <v>100</v>
      </c>
      <c r="E671" s="19">
        <v>12</v>
      </c>
      <c r="F671" s="20">
        <v>0</v>
      </c>
    </row>
    <row r="672" spans="1:6" x14ac:dyDescent="0.25">
      <c r="A672" s="13">
        <v>46045</v>
      </c>
      <c r="B672" s="14" t="s">
        <v>10</v>
      </c>
      <c r="C672" s="18" t="s">
        <v>11</v>
      </c>
      <c r="D672" s="19">
        <v>100</v>
      </c>
      <c r="E672" s="19">
        <v>12</v>
      </c>
      <c r="F672" s="20">
        <v>0</v>
      </c>
    </row>
    <row r="673" spans="1:6" x14ac:dyDescent="0.25">
      <c r="A673" s="13">
        <v>46046</v>
      </c>
      <c r="B673" s="14" t="s">
        <v>12</v>
      </c>
      <c r="C673" s="18"/>
      <c r="D673" s="19"/>
      <c r="E673" s="19"/>
      <c r="F673" s="20"/>
    </row>
    <row r="674" spans="1:6" x14ac:dyDescent="0.25">
      <c r="A674" s="13">
        <v>46047</v>
      </c>
      <c r="B674" s="14" t="s">
        <v>13</v>
      </c>
      <c r="C674" s="18"/>
      <c r="D674" s="19"/>
      <c r="E674" s="19"/>
      <c r="F674" s="20"/>
    </row>
    <row r="675" spans="1:6" x14ac:dyDescent="0.25">
      <c r="A675" s="13">
        <v>46048</v>
      </c>
      <c r="B675" s="14" t="s">
        <v>14</v>
      </c>
      <c r="C675" s="18" t="s">
        <v>19</v>
      </c>
      <c r="D675" s="19"/>
      <c r="E675" s="19"/>
      <c r="F675" s="20"/>
    </row>
    <row r="676" spans="1:6" x14ac:dyDescent="0.25">
      <c r="A676" s="13">
        <v>46049</v>
      </c>
      <c r="B676" s="14" t="s">
        <v>15</v>
      </c>
      <c r="C676" s="18" t="s">
        <v>19</v>
      </c>
      <c r="D676" s="19"/>
      <c r="E676" s="19"/>
      <c r="F676" s="20"/>
    </row>
    <row r="677" spans="1:6" x14ac:dyDescent="0.25">
      <c r="A677" s="13">
        <v>46050</v>
      </c>
      <c r="B677" s="14" t="s">
        <v>16</v>
      </c>
      <c r="C677" s="18" t="s">
        <v>11</v>
      </c>
      <c r="D677" s="19">
        <v>100</v>
      </c>
      <c r="E677" s="19">
        <v>12</v>
      </c>
      <c r="F677" s="20">
        <v>0</v>
      </c>
    </row>
    <row r="678" spans="1:6" x14ac:dyDescent="0.25">
      <c r="A678" s="13">
        <v>46051</v>
      </c>
      <c r="B678" s="14" t="s">
        <v>8</v>
      </c>
      <c r="C678" s="18" t="s">
        <v>11</v>
      </c>
      <c r="D678" s="19">
        <v>100</v>
      </c>
      <c r="E678" s="19">
        <v>13</v>
      </c>
      <c r="F678" s="20">
        <v>0</v>
      </c>
    </row>
    <row r="679" spans="1:6" x14ac:dyDescent="0.25">
      <c r="A679" s="13">
        <v>46052</v>
      </c>
      <c r="B679" s="14" t="s">
        <v>10</v>
      </c>
      <c r="C679" s="18" t="s">
        <v>11</v>
      </c>
      <c r="D679" s="19">
        <v>100</v>
      </c>
      <c r="E679" s="19">
        <v>13</v>
      </c>
      <c r="F679" s="20">
        <v>0</v>
      </c>
    </row>
    <row r="680" spans="1:6" x14ac:dyDescent="0.25">
      <c r="A680" s="13">
        <v>46053</v>
      </c>
      <c r="B680" s="14" t="s">
        <v>12</v>
      </c>
      <c r="C680" s="18" t="s">
        <v>11</v>
      </c>
      <c r="D680" s="19">
        <v>100</v>
      </c>
      <c r="E680" s="19">
        <v>13</v>
      </c>
      <c r="F680" s="20">
        <v>0</v>
      </c>
    </row>
    <row r="681" spans="1:6" x14ac:dyDescent="0.25">
      <c r="A681" s="13">
        <v>46054</v>
      </c>
      <c r="B681" s="14" t="s">
        <v>13</v>
      </c>
      <c r="C681" s="18" t="s">
        <v>11</v>
      </c>
      <c r="D681" s="19">
        <v>100</v>
      </c>
      <c r="E681" s="19">
        <v>13</v>
      </c>
      <c r="F681" s="20">
        <v>0</v>
      </c>
    </row>
    <row r="682" spans="1:6" x14ac:dyDescent="0.25">
      <c r="A682" s="13">
        <v>46055</v>
      </c>
      <c r="B682" s="14" t="s">
        <v>14</v>
      </c>
      <c r="C682" s="18" t="s">
        <v>11</v>
      </c>
      <c r="D682" s="19">
        <v>100</v>
      </c>
      <c r="E682" s="19">
        <v>13</v>
      </c>
      <c r="F682" s="20">
        <v>0</v>
      </c>
    </row>
    <row r="683" spans="1:6" x14ac:dyDescent="0.25">
      <c r="A683" s="13">
        <v>46056</v>
      </c>
      <c r="B683" s="14" t="s">
        <v>15</v>
      </c>
      <c r="C683" s="18" t="s">
        <v>11</v>
      </c>
      <c r="D683" s="19">
        <v>100</v>
      </c>
      <c r="E683" s="19">
        <v>13</v>
      </c>
      <c r="F683" s="20">
        <v>0</v>
      </c>
    </row>
    <row r="684" spans="1:6" x14ac:dyDescent="0.25">
      <c r="A684" s="13">
        <v>46057</v>
      </c>
      <c r="B684" s="14" t="s">
        <v>16</v>
      </c>
      <c r="C684" s="18" t="s">
        <v>11</v>
      </c>
      <c r="D684" s="19">
        <v>100</v>
      </c>
      <c r="E684" s="19">
        <v>13</v>
      </c>
      <c r="F684" s="20">
        <v>0</v>
      </c>
    </row>
    <row r="685" spans="1:6" x14ac:dyDescent="0.25">
      <c r="A685" s="13">
        <v>46058</v>
      </c>
      <c r="B685" s="14" t="s">
        <v>8</v>
      </c>
      <c r="C685" s="18" t="s">
        <v>11</v>
      </c>
      <c r="D685" s="19">
        <v>100</v>
      </c>
      <c r="E685" s="19">
        <v>13</v>
      </c>
      <c r="F685" s="20">
        <v>0</v>
      </c>
    </row>
    <row r="686" spans="1:6" x14ac:dyDescent="0.25">
      <c r="A686" s="13">
        <v>46059</v>
      </c>
      <c r="B686" s="14" t="s">
        <v>10</v>
      </c>
      <c r="C686" s="18" t="s">
        <v>11</v>
      </c>
      <c r="D686" s="19">
        <v>120</v>
      </c>
      <c r="E686" s="19">
        <v>13</v>
      </c>
      <c r="F686" s="20">
        <v>0</v>
      </c>
    </row>
    <row r="687" spans="1:6" x14ac:dyDescent="0.25">
      <c r="A687" s="13">
        <v>46060</v>
      </c>
      <c r="B687" s="14" t="s">
        <v>12</v>
      </c>
      <c r="C687" s="18" t="s">
        <v>11</v>
      </c>
      <c r="D687" s="19">
        <v>120</v>
      </c>
      <c r="E687" s="19">
        <v>13</v>
      </c>
      <c r="F687" s="20">
        <v>0</v>
      </c>
    </row>
    <row r="688" spans="1:6" x14ac:dyDescent="0.25">
      <c r="A688" s="13">
        <v>46061</v>
      </c>
      <c r="B688" s="14" t="s">
        <v>13</v>
      </c>
      <c r="C688" s="18"/>
      <c r="D688" s="19"/>
      <c r="E688" s="19"/>
      <c r="F688" s="20"/>
    </row>
    <row r="689" spans="1:6" x14ac:dyDescent="0.25">
      <c r="A689" s="13">
        <v>46062</v>
      </c>
      <c r="B689" s="14" t="s">
        <v>14</v>
      </c>
      <c r="C689" s="18" t="s">
        <v>11</v>
      </c>
      <c r="D689" s="19">
        <v>120</v>
      </c>
      <c r="E689" s="19">
        <v>13</v>
      </c>
      <c r="F689" s="20">
        <v>0</v>
      </c>
    </row>
    <row r="690" spans="1:6" x14ac:dyDescent="0.25">
      <c r="A690" s="13">
        <v>46063</v>
      </c>
      <c r="B690" s="14" t="s">
        <v>15</v>
      </c>
      <c r="C690" s="18" t="s">
        <v>11</v>
      </c>
      <c r="D690" s="19">
        <v>120</v>
      </c>
      <c r="E690" s="19">
        <v>13</v>
      </c>
      <c r="F690" s="20">
        <v>0</v>
      </c>
    </row>
    <row r="691" spans="1:6" x14ac:dyDescent="0.25">
      <c r="A691" s="13">
        <v>46064</v>
      </c>
      <c r="B691" s="14" t="s">
        <v>16</v>
      </c>
      <c r="C691" s="18" t="s">
        <v>11</v>
      </c>
      <c r="D691" s="19">
        <v>120</v>
      </c>
      <c r="E691" s="19">
        <v>13</v>
      </c>
      <c r="F691" s="20">
        <v>0</v>
      </c>
    </row>
    <row r="692" spans="1:6" x14ac:dyDescent="0.25">
      <c r="A692" s="13">
        <v>46065</v>
      </c>
      <c r="B692" s="14" t="s">
        <v>8</v>
      </c>
      <c r="C692" s="18" t="s">
        <v>11</v>
      </c>
      <c r="D692" s="19">
        <v>120</v>
      </c>
      <c r="E692" s="19">
        <v>13</v>
      </c>
      <c r="F692" s="20">
        <v>0</v>
      </c>
    </row>
    <row r="693" spans="1:6" x14ac:dyDescent="0.25">
      <c r="A693" s="13">
        <v>46066</v>
      </c>
      <c r="B693" s="14" t="s">
        <v>10</v>
      </c>
      <c r="C693" s="18" t="s">
        <v>11</v>
      </c>
      <c r="D693" s="19">
        <v>120</v>
      </c>
      <c r="E693" s="19">
        <v>13</v>
      </c>
      <c r="F693" s="20">
        <v>0</v>
      </c>
    </row>
    <row r="694" spans="1:6" x14ac:dyDescent="0.25">
      <c r="A694" s="13">
        <v>46067</v>
      </c>
      <c r="B694" s="14" t="s">
        <v>12</v>
      </c>
      <c r="C694" s="18" t="s">
        <v>11</v>
      </c>
      <c r="D694" s="19">
        <v>120</v>
      </c>
      <c r="E694" s="19">
        <v>13</v>
      </c>
      <c r="F694" s="20">
        <v>0</v>
      </c>
    </row>
    <row r="695" spans="1:6" x14ac:dyDescent="0.25">
      <c r="A695" s="13">
        <v>46068</v>
      </c>
      <c r="B695" s="14" t="s">
        <v>13</v>
      </c>
      <c r="C695" s="18"/>
      <c r="D695" s="19"/>
      <c r="E695" s="19"/>
      <c r="F695" s="20"/>
    </row>
    <row r="696" spans="1:6" x14ac:dyDescent="0.25">
      <c r="A696" s="13">
        <v>46069</v>
      </c>
      <c r="B696" s="14" t="s">
        <v>14</v>
      </c>
      <c r="C696" s="18" t="s">
        <v>11</v>
      </c>
      <c r="D696" s="19">
        <v>120</v>
      </c>
      <c r="E696" s="19">
        <v>13</v>
      </c>
      <c r="F696" s="20">
        <v>0</v>
      </c>
    </row>
    <row r="697" spans="1:6" x14ac:dyDescent="0.25">
      <c r="A697" s="13">
        <v>46070</v>
      </c>
      <c r="B697" s="14" t="s">
        <v>15</v>
      </c>
      <c r="C697" s="18" t="s">
        <v>11</v>
      </c>
      <c r="D697" s="19">
        <v>120</v>
      </c>
      <c r="E697" s="19">
        <v>13</v>
      </c>
      <c r="F697" s="20">
        <v>0</v>
      </c>
    </row>
    <row r="698" spans="1:6" x14ac:dyDescent="0.25">
      <c r="A698" s="13">
        <v>46071</v>
      </c>
      <c r="B698" s="14" t="s">
        <v>16</v>
      </c>
      <c r="C698" s="18" t="s">
        <v>11</v>
      </c>
      <c r="D698" s="19">
        <v>120</v>
      </c>
      <c r="E698" s="19">
        <v>13</v>
      </c>
      <c r="F698" s="20">
        <v>0</v>
      </c>
    </row>
    <row r="699" spans="1:6" x14ac:dyDescent="0.25">
      <c r="A699" s="13">
        <v>46072</v>
      </c>
      <c r="B699" s="14" t="s">
        <v>8</v>
      </c>
      <c r="C699" s="18" t="s">
        <v>11</v>
      </c>
      <c r="D699" s="19">
        <v>120</v>
      </c>
      <c r="E699" s="19">
        <v>13</v>
      </c>
      <c r="F699" s="20">
        <v>0</v>
      </c>
    </row>
    <row r="700" spans="1:6" x14ac:dyDescent="0.25">
      <c r="A700" s="13">
        <v>46073</v>
      </c>
      <c r="B700" s="14" t="s">
        <v>10</v>
      </c>
      <c r="C700" s="18" t="s">
        <v>11</v>
      </c>
      <c r="D700" s="19">
        <v>120</v>
      </c>
      <c r="E700" s="19">
        <v>13</v>
      </c>
      <c r="F700" s="20">
        <v>0</v>
      </c>
    </row>
    <row r="701" spans="1:6" x14ac:dyDescent="0.25">
      <c r="A701" s="13">
        <v>46074</v>
      </c>
      <c r="B701" s="14" t="s">
        <v>12</v>
      </c>
      <c r="C701" s="15"/>
      <c r="D701" s="16"/>
      <c r="E701" s="16"/>
      <c r="F701" s="17"/>
    </row>
    <row r="702" spans="1:6" x14ac:dyDescent="0.25">
      <c r="A702" s="13">
        <v>46075</v>
      </c>
      <c r="B702" s="14" t="s">
        <v>13</v>
      </c>
      <c r="C702" s="15"/>
      <c r="D702" s="16"/>
      <c r="E702" s="16"/>
      <c r="F702" s="17"/>
    </row>
    <row r="703" spans="1:6" x14ac:dyDescent="0.25">
      <c r="A703" s="13">
        <v>46076</v>
      </c>
      <c r="B703" s="14" t="s">
        <v>14</v>
      </c>
      <c r="C703" s="15" t="s">
        <v>19</v>
      </c>
      <c r="D703" s="16"/>
      <c r="E703" s="19">
        <v>0</v>
      </c>
      <c r="F703" s="20">
        <v>0</v>
      </c>
    </row>
    <row r="704" spans="1:6" x14ac:dyDescent="0.25">
      <c r="A704" s="13">
        <v>46077</v>
      </c>
      <c r="B704" s="14" t="s">
        <v>15</v>
      </c>
      <c r="C704" s="18" t="s">
        <v>11</v>
      </c>
      <c r="D704" s="19">
        <v>120</v>
      </c>
      <c r="E704" s="19">
        <v>13</v>
      </c>
      <c r="F704" s="20">
        <v>0</v>
      </c>
    </row>
    <row r="705" spans="1:6" x14ac:dyDescent="0.25">
      <c r="A705" s="13">
        <v>46078</v>
      </c>
      <c r="B705" s="14" t="s">
        <v>16</v>
      </c>
      <c r="C705" s="18" t="s">
        <v>11</v>
      </c>
      <c r="D705" s="19">
        <v>120</v>
      </c>
      <c r="E705" s="19">
        <v>13</v>
      </c>
      <c r="F705" s="20">
        <v>0</v>
      </c>
    </row>
    <row r="706" spans="1:6" x14ac:dyDescent="0.25">
      <c r="A706" s="13">
        <v>46079</v>
      </c>
      <c r="B706" s="14" t="s">
        <v>8</v>
      </c>
      <c r="C706" s="18" t="s">
        <v>11</v>
      </c>
      <c r="D706" s="19">
        <v>120</v>
      </c>
      <c r="E706" s="19">
        <v>13</v>
      </c>
      <c r="F706" s="20">
        <v>0</v>
      </c>
    </row>
    <row r="707" spans="1:6" x14ac:dyDescent="0.25">
      <c r="A707" s="13">
        <v>46080</v>
      </c>
      <c r="B707" s="14" t="s">
        <v>10</v>
      </c>
      <c r="C707" s="18" t="s">
        <v>11</v>
      </c>
      <c r="D707" s="19">
        <v>120</v>
      </c>
      <c r="E707" s="19">
        <v>13</v>
      </c>
      <c r="F707" s="20">
        <v>0</v>
      </c>
    </row>
    <row r="708" spans="1:6" x14ac:dyDescent="0.25">
      <c r="A708" s="13">
        <v>46081</v>
      </c>
      <c r="B708" s="14" t="s">
        <v>12</v>
      </c>
      <c r="C708" s="18"/>
      <c r="D708" s="19"/>
      <c r="E708" s="16"/>
      <c r="F708" s="17"/>
    </row>
    <row r="709" spans="1:6" x14ac:dyDescent="0.25">
      <c r="A709" s="13">
        <v>46082</v>
      </c>
      <c r="B709" s="14" t="s">
        <v>13</v>
      </c>
      <c r="C709" s="18"/>
      <c r="D709" s="19"/>
      <c r="E709" s="16"/>
      <c r="F709" s="17"/>
    </row>
    <row r="710" spans="1:6" x14ac:dyDescent="0.25">
      <c r="A710" s="13">
        <v>46083</v>
      </c>
      <c r="B710" s="14" t="s">
        <v>14</v>
      </c>
      <c r="C710" s="18" t="s">
        <v>11</v>
      </c>
      <c r="D710" s="19">
        <v>120</v>
      </c>
      <c r="E710" s="19">
        <v>13</v>
      </c>
      <c r="F710" s="17"/>
    </row>
    <row r="711" spans="1:6" x14ac:dyDescent="0.25">
      <c r="A711" s="13">
        <v>46084</v>
      </c>
      <c r="B711" s="14" t="s">
        <v>15</v>
      </c>
      <c r="C711" s="18" t="s">
        <v>11</v>
      </c>
      <c r="D711" s="19">
        <v>120</v>
      </c>
      <c r="E711" s="19">
        <v>13</v>
      </c>
      <c r="F711" s="17"/>
    </row>
    <row r="712" spans="1:6" x14ac:dyDescent="0.25">
      <c r="A712" s="13">
        <v>46085</v>
      </c>
      <c r="B712" s="14" t="s">
        <v>16</v>
      </c>
      <c r="C712" s="18" t="s">
        <v>11</v>
      </c>
      <c r="D712" s="19">
        <v>120</v>
      </c>
      <c r="E712" s="19">
        <v>13</v>
      </c>
      <c r="F712" s="17"/>
    </row>
    <row r="713" spans="1:6" x14ac:dyDescent="0.25">
      <c r="A713" s="13">
        <v>46086</v>
      </c>
      <c r="B713" s="14" t="s">
        <v>8</v>
      </c>
      <c r="C713" s="18" t="s">
        <v>11</v>
      </c>
      <c r="D713" s="19">
        <v>120</v>
      </c>
      <c r="E713" s="19">
        <v>13</v>
      </c>
      <c r="F713" s="17"/>
    </row>
    <row r="714" spans="1:6" x14ac:dyDescent="0.25">
      <c r="A714" s="13">
        <v>46087</v>
      </c>
      <c r="B714" s="14" t="s">
        <v>10</v>
      </c>
      <c r="C714" s="18" t="s">
        <v>11</v>
      </c>
      <c r="D714" s="19">
        <v>120</v>
      </c>
      <c r="E714" s="19">
        <v>13</v>
      </c>
      <c r="F714" s="17"/>
    </row>
    <row r="715" spans="1:6" x14ac:dyDescent="0.25">
      <c r="A715" s="13">
        <v>46088</v>
      </c>
      <c r="B715" s="14" t="s">
        <v>12</v>
      </c>
      <c r="C715" s="18"/>
      <c r="D715" s="19"/>
      <c r="E715" s="16"/>
      <c r="F715" s="17"/>
    </row>
    <row r="716" spans="1:6" x14ac:dyDescent="0.25">
      <c r="A716" s="13">
        <v>46089</v>
      </c>
      <c r="B716" s="14" t="s">
        <v>13</v>
      </c>
      <c r="C716" s="18"/>
      <c r="D716" s="19"/>
      <c r="E716" s="16"/>
      <c r="F716" s="17"/>
    </row>
    <row r="717" spans="1:6" x14ac:dyDescent="0.25">
      <c r="A717" s="13">
        <v>46090</v>
      </c>
      <c r="B717" s="14" t="s">
        <v>14</v>
      </c>
      <c r="C717" s="18" t="s">
        <v>20</v>
      </c>
      <c r="D717" s="19">
        <v>120</v>
      </c>
      <c r="E717" s="19">
        <v>13</v>
      </c>
      <c r="F717" s="17"/>
    </row>
    <row r="718" spans="1:6" x14ac:dyDescent="0.25">
      <c r="A718" s="13">
        <v>46091</v>
      </c>
      <c r="B718" s="14" t="s">
        <v>15</v>
      </c>
      <c r="C718" s="18" t="s">
        <v>20</v>
      </c>
      <c r="D718" s="19">
        <v>120</v>
      </c>
      <c r="E718" s="19">
        <v>13</v>
      </c>
      <c r="F718" s="17"/>
    </row>
    <row r="719" spans="1:6" x14ac:dyDescent="0.25">
      <c r="A719" s="13">
        <v>46092</v>
      </c>
      <c r="B719" s="14" t="s">
        <v>16</v>
      </c>
      <c r="C719" s="18" t="s">
        <v>21</v>
      </c>
      <c r="D719" s="19">
        <v>120</v>
      </c>
      <c r="E719" s="19">
        <v>13</v>
      </c>
      <c r="F719" s="17"/>
    </row>
    <row r="720" spans="1:6" x14ac:dyDescent="0.25">
      <c r="A720" s="13">
        <v>46093</v>
      </c>
      <c r="B720" s="14" t="s">
        <v>8</v>
      </c>
      <c r="C720" s="18" t="s">
        <v>11</v>
      </c>
      <c r="D720" s="19">
        <v>120</v>
      </c>
      <c r="E720" s="19">
        <v>13</v>
      </c>
      <c r="F720" s="17"/>
    </row>
    <row r="721" spans="1:6" x14ac:dyDescent="0.25">
      <c r="A721" s="13">
        <v>46094</v>
      </c>
      <c r="B721" s="14" t="s">
        <v>10</v>
      </c>
      <c r="C721" s="18" t="s">
        <v>32</v>
      </c>
      <c r="D721" s="19">
        <v>120</v>
      </c>
      <c r="E721" s="19">
        <v>13</v>
      </c>
      <c r="F721" s="17"/>
    </row>
    <row r="722" spans="1:6" x14ac:dyDescent="0.25">
      <c r="A722" s="13">
        <v>46095</v>
      </c>
      <c r="B722" s="14" t="s">
        <v>12</v>
      </c>
      <c r="C722" s="18"/>
      <c r="D722" s="19"/>
      <c r="E722" s="19"/>
      <c r="F722" s="17"/>
    </row>
    <row r="723" spans="1:6" x14ac:dyDescent="0.25">
      <c r="A723" s="13">
        <v>46096</v>
      </c>
      <c r="B723" s="14" t="s">
        <v>13</v>
      </c>
      <c r="C723" s="18"/>
      <c r="D723" s="19"/>
      <c r="E723" s="19"/>
      <c r="F723" s="17"/>
    </row>
    <row r="724" spans="1:6" x14ac:dyDescent="0.25">
      <c r="A724" s="13">
        <v>46097</v>
      </c>
      <c r="B724" s="14" t="s">
        <v>14</v>
      </c>
      <c r="C724" s="18" t="s">
        <v>23</v>
      </c>
      <c r="D724" s="19">
        <v>120</v>
      </c>
      <c r="E724" s="19">
        <v>13</v>
      </c>
      <c r="F724" s="17"/>
    </row>
    <row r="725" spans="1:6" x14ac:dyDescent="0.25">
      <c r="A725" s="13">
        <v>46098</v>
      </c>
      <c r="B725" s="14" t="s">
        <v>15</v>
      </c>
      <c r="C725" s="18" t="s">
        <v>24</v>
      </c>
      <c r="D725" s="19">
        <v>120</v>
      </c>
      <c r="E725" s="19">
        <v>13</v>
      </c>
      <c r="F725" s="17"/>
    </row>
    <row r="726" spans="1:6" x14ac:dyDescent="0.25">
      <c r="A726" s="13">
        <v>46099</v>
      </c>
      <c r="B726" s="14" t="s">
        <v>16</v>
      </c>
      <c r="C726" s="18" t="s">
        <v>24</v>
      </c>
      <c r="D726" s="19">
        <v>120</v>
      </c>
      <c r="E726" s="19">
        <v>13</v>
      </c>
      <c r="F726" s="17"/>
    </row>
    <row r="727" spans="1:6" x14ac:dyDescent="0.25">
      <c r="A727" s="13">
        <v>46100</v>
      </c>
      <c r="B727" s="14" t="s">
        <v>8</v>
      </c>
      <c r="C727" s="18" t="s">
        <v>9</v>
      </c>
      <c r="D727" s="19"/>
      <c r="E727" s="19"/>
      <c r="F727" s="17"/>
    </row>
    <row r="728" spans="1:6" x14ac:dyDescent="0.25">
      <c r="A728" s="13">
        <v>46101</v>
      </c>
      <c r="B728" s="14" t="s">
        <v>10</v>
      </c>
      <c r="C728" s="18" t="s">
        <v>11</v>
      </c>
      <c r="D728" s="19">
        <v>120</v>
      </c>
      <c r="E728" s="19">
        <v>13</v>
      </c>
      <c r="F728" s="17"/>
    </row>
    <row r="729" spans="1:6" x14ac:dyDescent="0.25">
      <c r="A729" s="13">
        <v>46102</v>
      </c>
      <c r="B729" s="14" t="s">
        <v>12</v>
      </c>
      <c r="C729" s="15"/>
      <c r="D729" s="16"/>
      <c r="E729" s="16"/>
      <c r="F729" s="17"/>
    </row>
    <row r="730" spans="1:6" x14ac:dyDescent="0.25">
      <c r="A730" s="13">
        <v>46103</v>
      </c>
      <c r="B730" s="14" t="s">
        <v>13</v>
      </c>
      <c r="C730" s="15"/>
      <c r="D730" s="16"/>
      <c r="E730" s="16"/>
      <c r="F730" s="17"/>
    </row>
    <row r="731" spans="1:6" x14ac:dyDescent="0.25">
      <c r="A731" s="13">
        <v>46104</v>
      </c>
      <c r="B731" s="14" t="s">
        <v>14</v>
      </c>
      <c r="C731" s="15" t="s">
        <v>19</v>
      </c>
      <c r="D731" s="16">
        <v>0</v>
      </c>
      <c r="E731" s="19">
        <v>13</v>
      </c>
      <c r="F731" s="17"/>
    </row>
    <row r="732" spans="1:6" x14ac:dyDescent="0.25">
      <c r="A732" s="13">
        <v>46105</v>
      </c>
      <c r="B732" s="14" t="s">
        <v>15</v>
      </c>
      <c r="C732" s="15" t="s">
        <v>25</v>
      </c>
      <c r="D732" s="16"/>
      <c r="E732" s="19">
        <v>13</v>
      </c>
      <c r="F732" s="17"/>
    </row>
    <row r="733" spans="1:6" x14ac:dyDescent="0.25">
      <c r="A733" s="13">
        <v>46106</v>
      </c>
      <c r="B733" s="14" t="s">
        <v>16</v>
      </c>
      <c r="C733" s="15" t="s">
        <v>24</v>
      </c>
      <c r="D733" s="16">
        <v>120</v>
      </c>
      <c r="E733" s="19">
        <v>13</v>
      </c>
      <c r="F733" s="17"/>
    </row>
    <row r="734" spans="1:6" x14ac:dyDescent="0.25">
      <c r="A734" s="13">
        <v>46107</v>
      </c>
      <c r="B734" s="14" t="s">
        <v>8</v>
      </c>
      <c r="C734" s="15" t="s">
        <v>24</v>
      </c>
      <c r="D734" s="16">
        <v>120</v>
      </c>
      <c r="E734" s="19">
        <v>13</v>
      </c>
      <c r="F734" s="17"/>
    </row>
    <row r="735" spans="1:6" x14ac:dyDescent="0.25">
      <c r="A735" s="13">
        <v>46108</v>
      </c>
      <c r="B735" s="14" t="s">
        <v>10</v>
      </c>
      <c r="C735" s="15" t="s">
        <v>27</v>
      </c>
      <c r="D735" s="16">
        <v>120</v>
      </c>
      <c r="E735" s="19">
        <v>13</v>
      </c>
      <c r="F735" s="17"/>
    </row>
    <row r="736" spans="1:6" x14ac:dyDescent="0.25">
      <c r="A736" s="13">
        <v>46109</v>
      </c>
      <c r="B736" s="14" t="s">
        <v>12</v>
      </c>
      <c r="C736" s="15"/>
      <c r="D736" s="16"/>
      <c r="E736" s="16"/>
      <c r="F736" s="17"/>
    </row>
    <row r="737" spans="1:6" x14ac:dyDescent="0.25">
      <c r="A737" s="13">
        <v>46110</v>
      </c>
      <c r="B737" s="14" t="s">
        <v>13</v>
      </c>
      <c r="C737" s="15"/>
      <c r="D737" s="16"/>
      <c r="E737" s="16"/>
      <c r="F737" s="17"/>
    </row>
    <row r="738" spans="1:6" x14ac:dyDescent="0.25">
      <c r="A738" s="13">
        <v>46111</v>
      </c>
      <c r="B738" s="14" t="s">
        <v>14</v>
      </c>
      <c r="C738" s="15" t="s">
        <v>26</v>
      </c>
      <c r="D738" s="16">
        <v>120</v>
      </c>
      <c r="E738" s="19">
        <v>13</v>
      </c>
      <c r="F738" s="17"/>
    </row>
    <row r="739" spans="1:6" x14ac:dyDescent="0.25">
      <c r="A739" s="13">
        <v>46112</v>
      </c>
      <c r="B739" s="14" t="s">
        <v>15</v>
      </c>
      <c r="C739" s="15" t="s">
        <v>23</v>
      </c>
      <c r="D739" s="16">
        <v>120</v>
      </c>
      <c r="E739" s="19">
        <v>13</v>
      </c>
      <c r="F739" s="17">
        <v>10</v>
      </c>
    </row>
    <row r="740" spans="1:6" x14ac:dyDescent="0.25">
      <c r="A740" s="13">
        <v>46113</v>
      </c>
      <c r="B740" s="14" t="s">
        <v>16</v>
      </c>
      <c r="C740" s="15" t="s">
        <v>23</v>
      </c>
      <c r="D740" s="16">
        <v>120</v>
      </c>
      <c r="E740" s="19">
        <v>13</v>
      </c>
      <c r="F740" s="17">
        <v>10</v>
      </c>
    </row>
    <row r="741" spans="1:6" x14ac:dyDescent="0.25">
      <c r="A741" s="13">
        <v>46114</v>
      </c>
      <c r="B741" s="14" t="s">
        <v>8</v>
      </c>
      <c r="C741" s="15" t="s">
        <v>23</v>
      </c>
      <c r="D741" s="16">
        <v>120</v>
      </c>
      <c r="E741" s="19">
        <v>13</v>
      </c>
      <c r="F741" s="17">
        <v>10</v>
      </c>
    </row>
    <row r="742" spans="1:6" x14ac:dyDescent="0.25">
      <c r="A742" s="13">
        <v>46115</v>
      </c>
      <c r="B742" s="14" t="s">
        <v>10</v>
      </c>
      <c r="C742" s="15" t="s">
        <v>9</v>
      </c>
      <c r="D742" s="16"/>
      <c r="E742" s="19"/>
      <c r="F742" s="17"/>
    </row>
    <row r="743" spans="1:6" x14ac:dyDescent="0.25">
      <c r="A743" s="13">
        <v>46116</v>
      </c>
      <c r="B743" s="14" t="s">
        <v>12</v>
      </c>
      <c r="C743" s="15"/>
      <c r="D743" s="16"/>
      <c r="E743" s="16"/>
      <c r="F743" s="17"/>
    </row>
    <row r="744" spans="1:6" x14ac:dyDescent="0.25">
      <c r="A744" s="13">
        <v>46117</v>
      </c>
      <c r="B744" s="14" t="s">
        <v>13</v>
      </c>
      <c r="C744" s="15" t="s">
        <v>9</v>
      </c>
      <c r="D744" s="16"/>
      <c r="E744" s="16"/>
      <c r="F744" s="17"/>
    </row>
    <row r="745" spans="1:6" x14ac:dyDescent="0.25">
      <c r="A745" s="13">
        <v>46118</v>
      </c>
      <c r="B745" s="14" t="s">
        <v>14</v>
      </c>
      <c r="C745" s="15" t="s">
        <v>23</v>
      </c>
      <c r="D745" s="16">
        <v>120</v>
      </c>
      <c r="E745" s="16">
        <v>13</v>
      </c>
      <c r="F745" s="17">
        <v>0</v>
      </c>
    </row>
    <row r="746" spans="1:6" ht="15.75" thickBot="1" x14ac:dyDescent="0.3"/>
    <row r="747" spans="1:6" ht="15.75" thickBot="1" x14ac:dyDescent="0.3">
      <c r="A747" s="1" t="s">
        <v>0</v>
      </c>
      <c r="B747" s="2"/>
      <c r="C747" s="33" t="s">
        <v>40</v>
      </c>
      <c r="D747" s="34"/>
      <c r="E747" s="34"/>
      <c r="F747" s="35"/>
    </row>
    <row r="748" spans="1:6" x14ac:dyDescent="0.25">
      <c r="A748" s="6"/>
      <c r="B748" s="6"/>
      <c r="C748" s="7"/>
      <c r="D748" s="8"/>
      <c r="E748" s="8"/>
      <c r="F748" s="8"/>
    </row>
    <row r="749" spans="1:6" ht="25.5" x14ac:dyDescent="0.25">
      <c r="A749" s="9" t="s">
        <v>2</v>
      </c>
      <c r="B749" s="10" t="s">
        <v>3</v>
      </c>
      <c r="C749" s="10" t="s">
        <v>4</v>
      </c>
      <c r="D749" s="11" t="s">
        <v>5</v>
      </c>
      <c r="E749" s="11" t="s">
        <v>6</v>
      </c>
      <c r="F749" s="12" t="s">
        <v>7</v>
      </c>
    </row>
    <row r="750" spans="1:6" x14ac:dyDescent="0.25">
      <c r="A750" s="13">
        <v>46036</v>
      </c>
      <c r="B750" s="14" t="s">
        <v>16</v>
      </c>
      <c r="C750" s="18" t="s">
        <v>23</v>
      </c>
      <c r="D750" s="19">
        <v>100</v>
      </c>
      <c r="E750" s="19">
        <v>12</v>
      </c>
      <c r="F750" s="20">
        <v>0</v>
      </c>
    </row>
    <row r="751" spans="1:6" x14ac:dyDescent="0.25">
      <c r="A751" s="13">
        <v>46037</v>
      </c>
      <c r="B751" s="14" t="s">
        <v>8</v>
      </c>
      <c r="C751" s="18" t="s">
        <v>23</v>
      </c>
      <c r="D751" s="19">
        <v>100</v>
      </c>
      <c r="E751" s="19">
        <v>12</v>
      </c>
      <c r="F751" s="20">
        <v>0</v>
      </c>
    </row>
    <row r="752" spans="1:6" x14ac:dyDescent="0.25">
      <c r="A752" s="13">
        <v>46038</v>
      </c>
      <c r="B752" s="14" t="s">
        <v>10</v>
      </c>
      <c r="C752" s="18" t="s">
        <v>23</v>
      </c>
      <c r="D752" s="19">
        <v>100</v>
      </c>
      <c r="E752" s="19">
        <v>12</v>
      </c>
      <c r="F752" s="20">
        <v>0</v>
      </c>
    </row>
    <row r="753" spans="1:6" x14ac:dyDescent="0.25">
      <c r="A753" s="13">
        <v>46039</v>
      </c>
      <c r="B753" s="14" t="s">
        <v>12</v>
      </c>
      <c r="C753" s="18"/>
      <c r="D753" s="19"/>
      <c r="E753" s="19"/>
      <c r="F753" s="20"/>
    </row>
    <row r="754" spans="1:6" x14ac:dyDescent="0.25">
      <c r="A754" s="13">
        <v>46040</v>
      </c>
      <c r="B754" s="14" t="s">
        <v>13</v>
      </c>
      <c r="C754" s="18"/>
      <c r="D754" s="19"/>
      <c r="E754" s="19"/>
      <c r="F754" s="20"/>
    </row>
    <row r="755" spans="1:6" x14ac:dyDescent="0.25">
      <c r="A755" s="13">
        <v>46041</v>
      </c>
      <c r="B755" s="14" t="s">
        <v>14</v>
      </c>
      <c r="C755" s="18" t="s">
        <v>23</v>
      </c>
      <c r="D755" s="19">
        <v>100</v>
      </c>
      <c r="E755" s="19">
        <v>12</v>
      </c>
      <c r="F755" s="20">
        <v>0</v>
      </c>
    </row>
    <row r="756" spans="1:6" x14ac:dyDescent="0.25">
      <c r="A756" s="13">
        <v>46042</v>
      </c>
      <c r="B756" s="14" t="s">
        <v>15</v>
      </c>
      <c r="C756" s="18" t="s">
        <v>23</v>
      </c>
      <c r="D756" s="19">
        <v>100</v>
      </c>
      <c r="E756" s="19">
        <v>12</v>
      </c>
      <c r="F756" s="20">
        <v>0</v>
      </c>
    </row>
    <row r="757" spans="1:6" x14ac:dyDescent="0.25">
      <c r="A757" s="13">
        <v>46043</v>
      </c>
      <c r="B757" s="14" t="s">
        <v>16</v>
      </c>
      <c r="C757" s="18" t="s">
        <v>19</v>
      </c>
      <c r="D757" s="19">
        <v>0</v>
      </c>
      <c r="E757" s="19">
        <v>0</v>
      </c>
      <c r="F757" s="20"/>
    </row>
    <row r="758" spans="1:6" x14ac:dyDescent="0.25">
      <c r="A758" s="13">
        <v>46044</v>
      </c>
      <c r="B758" s="14" t="s">
        <v>8</v>
      </c>
      <c r="C758" s="18" t="s">
        <v>32</v>
      </c>
      <c r="D758" s="19">
        <v>100</v>
      </c>
      <c r="E758" s="19">
        <v>12</v>
      </c>
      <c r="F758" s="20"/>
    </row>
    <row r="759" spans="1:6" x14ac:dyDescent="0.25">
      <c r="A759" s="13">
        <v>46045</v>
      </c>
      <c r="B759" s="14" t="s">
        <v>10</v>
      </c>
      <c r="C759" s="18" t="s">
        <v>32</v>
      </c>
      <c r="D759" s="19">
        <v>100</v>
      </c>
      <c r="E759" s="19">
        <v>12</v>
      </c>
      <c r="F759" s="20"/>
    </row>
    <row r="760" spans="1:6" x14ac:dyDescent="0.25">
      <c r="A760" s="13">
        <v>46046</v>
      </c>
      <c r="B760" s="14" t="s">
        <v>12</v>
      </c>
      <c r="C760" s="18"/>
      <c r="D760" s="19"/>
      <c r="E760" s="19"/>
      <c r="F760" s="20"/>
    </row>
    <row r="761" spans="1:6" x14ac:dyDescent="0.25">
      <c r="A761" s="13">
        <v>46047</v>
      </c>
      <c r="B761" s="14" t="s">
        <v>13</v>
      </c>
      <c r="C761" s="18"/>
      <c r="D761" s="19"/>
      <c r="E761" s="19"/>
      <c r="F761" s="20"/>
    </row>
    <row r="762" spans="1:6" x14ac:dyDescent="0.25">
      <c r="A762" s="13">
        <v>46048</v>
      </c>
      <c r="B762" s="14" t="s">
        <v>14</v>
      </c>
      <c r="C762" s="18" t="s">
        <v>32</v>
      </c>
      <c r="D762" s="19">
        <v>100</v>
      </c>
      <c r="E762" s="19">
        <v>12</v>
      </c>
      <c r="F762" s="20"/>
    </row>
    <row r="763" spans="1:6" x14ac:dyDescent="0.25">
      <c r="A763" s="13">
        <v>46049</v>
      </c>
      <c r="B763" s="14" t="s">
        <v>15</v>
      </c>
      <c r="C763" s="18" t="s">
        <v>23</v>
      </c>
      <c r="D763" s="19">
        <v>100</v>
      </c>
      <c r="E763" s="19">
        <v>12</v>
      </c>
      <c r="F763" s="20"/>
    </row>
    <row r="764" spans="1:6" x14ac:dyDescent="0.25">
      <c r="A764" s="13">
        <v>46050</v>
      </c>
      <c r="B764" s="14" t="s">
        <v>16</v>
      </c>
      <c r="C764" s="18" t="s">
        <v>23</v>
      </c>
      <c r="D764" s="19">
        <v>100</v>
      </c>
      <c r="E764" s="19">
        <v>12</v>
      </c>
      <c r="F764" s="20"/>
    </row>
    <row r="765" spans="1:6" x14ac:dyDescent="0.25">
      <c r="A765" s="13">
        <v>46051</v>
      </c>
      <c r="B765" s="14" t="s">
        <v>8</v>
      </c>
      <c r="C765" s="18" t="s">
        <v>23</v>
      </c>
      <c r="D765" s="19">
        <v>100</v>
      </c>
      <c r="E765" s="19">
        <v>13</v>
      </c>
      <c r="F765" s="20"/>
    </row>
    <row r="766" spans="1:6" x14ac:dyDescent="0.25">
      <c r="A766" s="13">
        <v>46052</v>
      </c>
      <c r="B766" s="14" t="s">
        <v>10</v>
      </c>
      <c r="C766" s="18" t="s">
        <v>23</v>
      </c>
      <c r="D766" s="19">
        <v>100</v>
      </c>
      <c r="E766" s="19">
        <v>13</v>
      </c>
      <c r="F766" s="20"/>
    </row>
    <row r="767" spans="1:6" x14ac:dyDescent="0.25">
      <c r="A767" s="13">
        <v>46053</v>
      </c>
      <c r="B767" s="14" t="s">
        <v>12</v>
      </c>
      <c r="C767" s="18"/>
      <c r="D767" s="19"/>
      <c r="E767" s="19"/>
      <c r="F767" s="20"/>
    </row>
    <row r="768" spans="1:6" x14ac:dyDescent="0.25">
      <c r="A768" s="13">
        <v>46054</v>
      </c>
      <c r="B768" s="14" t="s">
        <v>13</v>
      </c>
      <c r="C768" s="18"/>
      <c r="D768" s="19"/>
      <c r="E768" s="19"/>
      <c r="F768" s="20"/>
    </row>
    <row r="769" spans="1:6" x14ac:dyDescent="0.25">
      <c r="A769" s="13">
        <v>46055</v>
      </c>
      <c r="B769" s="14" t="s">
        <v>14</v>
      </c>
      <c r="C769" s="18" t="s">
        <v>23</v>
      </c>
      <c r="D769" s="19">
        <v>100</v>
      </c>
      <c r="E769" s="19">
        <v>6.5</v>
      </c>
      <c r="F769" s="20">
        <v>0</v>
      </c>
    </row>
    <row r="770" spans="1:6" x14ac:dyDescent="0.25">
      <c r="A770" s="13">
        <v>46056</v>
      </c>
      <c r="B770" s="14" t="s">
        <v>15</v>
      </c>
      <c r="C770" s="18" t="s">
        <v>23</v>
      </c>
      <c r="D770" s="19">
        <v>100</v>
      </c>
      <c r="E770" s="19">
        <v>0</v>
      </c>
      <c r="F770" s="20">
        <v>10</v>
      </c>
    </row>
    <row r="771" spans="1:6" x14ac:dyDescent="0.25">
      <c r="A771" s="13">
        <v>46057</v>
      </c>
      <c r="B771" s="14" t="s">
        <v>16</v>
      </c>
      <c r="C771" s="18" t="s">
        <v>23</v>
      </c>
      <c r="D771" s="19">
        <v>100</v>
      </c>
      <c r="E771" s="19">
        <v>0</v>
      </c>
      <c r="F771" s="20">
        <v>10</v>
      </c>
    </row>
    <row r="772" spans="1:6" x14ac:dyDescent="0.25">
      <c r="A772" s="13">
        <v>46058</v>
      </c>
      <c r="B772" s="14" t="s">
        <v>8</v>
      </c>
      <c r="C772" s="18" t="s">
        <v>23</v>
      </c>
      <c r="D772" s="19">
        <v>100</v>
      </c>
      <c r="E772" s="19">
        <v>0</v>
      </c>
      <c r="F772" s="20">
        <v>10</v>
      </c>
    </row>
    <row r="773" spans="1:6" x14ac:dyDescent="0.25">
      <c r="A773" s="13">
        <v>46059</v>
      </c>
      <c r="B773" s="14" t="s">
        <v>10</v>
      </c>
      <c r="C773" s="18" t="s">
        <v>23</v>
      </c>
      <c r="D773" s="19">
        <v>120</v>
      </c>
      <c r="E773" s="19">
        <v>0</v>
      </c>
      <c r="F773" s="20">
        <v>10</v>
      </c>
    </row>
    <row r="774" spans="1:6" x14ac:dyDescent="0.25">
      <c r="A774" s="13">
        <v>46060</v>
      </c>
      <c r="B774" s="14" t="s">
        <v>12</v>
      </c>
      <c r="C774" s="18"/>
      <c r="D774" s="19"/>
      <c r="E774" s="19"/>
      <c r="F774" s="20"/>
    </row>
    <row r="775" spans="1:6" x14ac:dyDescent="0.25">
      <c r="A775" s="13">
        <v>46061</v>
      </c>
      <c r="B775" s="14" t="s">
        <v>13</v>
      </c>
      <c r="C775" s="18"/>
      <c r="D775" s="19"/>
      <c r="E775" s="19"/>
      <c r="F775" s="20"/>
    </row>
    <row r="776" spans="1:6" x14ac:dyDescent="0.25">
      <c r="A776" s="13">
        <v>46062</v>
      </c>
      <c r="B776" s="14" t="s">
        <v>14</v>
      </c>
      <c r="C776" s="18" t="s">
        <v>23</v>
      </c>
      <c r="D776" s="19">
        <v>60</v>
      </c>
      <c r="E776" s="19">
        <v>0</v>
      </c>
      <c r="F776" s="20">
        <v>10</v>
      </c>
    </row>
    <row r="777" spans="1:6" x14ac:dyDescent="0.25">
      <c r="A777" s="13">
        <v>46062</v>
      </c>
      <c r="B777" s="14" t="s">
        <v>14</v>
      </c>
      <c r="C777" s="18" t="s">
        <v>11</v>
      </c>
      <c r="D777" s="19">
        <v>60</v>
      </c>
      <c r="E777" s="19">
        <v>0</v>
      </c>
      <c r="F777" s="20">
        <v>0</v>
      </c>
    </row>
    <row r="778" spans="1:6" x14ac:dyDescent="0.25">
      <c r="A778" s="13">
        <v>46063</v>
      </c>
      <c r="B778" s="14" t="s">
        <v>15</v>
      </c>
      <c r="C778" s="18" t="s">
        <v>11</v>
      </c>
      <c r="D778" s="19">
        <v>120</v>
      </c>
      <c r="E778" s="19">
        <v>0</v>
      </c>
      <c r="F778" s="20">
        <v>0</v>
      </c>
    </row>
    <row r="779" spans="1:6" x14ac:dyDescent="0.25">
      <c r="A779" s="13">
        <v>46064</v>
      </c>
      <c r="B779" s="14" t="s">
        <v>16</v>
      </c>
      <c r="C779" s="18" t="s">
        <v>23</v>
      </c>
      <c r="D779" s="19">
        <v>120</v>
      </c>
      <c r="E779" s="19">
        <v>0</v>
      </c>
      <c r="F779" s="20">
        <v>10</v>
      </c>
    </row>
    <row r="780" spans="1:6" x14ac:dyDescent="0.25">
      <c r="A780" s="13">
        <v>46065</v>
      </c>
      <c r="B780" s="14" t="s">
        <v>8</v>
      </c>
      <c r="C780" s="18" t="s">
        <v>19</v>
      </c>
      <c r="D780" s="19">
        <v>0</v>
      </c>
      <c r="E780" s="19">
        <v>0</v>
      </c>
      <c r="F780" s="20">
        <v>0</v>
      </c>
    </row>
    <row r="781" spans="1:6" x14ac:dyDescent="0.25">
      <c r="A781" s="13">
        <v>46066</v>
      </c>
      <c r="B781" s="14" t="s">
        <v>10</v>
      </c>
      <c r="C781" s="18" t="s">
        <v>19</v>
      </c>
      <c r="D781" s="19">
        <v>0</v>
      </c>
      <c r="E781" s="19">
        <v>0</v>
      </c>
      <c r="F781" s="20">
        <v>0</v>
      </c>
    </row>
    <row r="782" spans="1:6" x14ac:dyDescent="0.25">
      <c r="A782" s="13">
        <v>46067</v>
      </c>
      <c r="B782" s="14" t="s">
        <v>12</v>
      </c>
      <c r="C782" s="18"/>
      <c r="D782" s="19"/>
      <c r="E782" s="19"/>
      <c r="F782" s="20"/>
    </row>
    <row r="783" spans="1:6" x14ac:dyDescent="0.25">
      <c r="A783" s="13">
        <v>46068</v>
      </c>
      <c r="B783" s="14" t="s">
        <v>13</v>
      </c>
      <c r="C783" s="18"/>
      <c r="D783" s="19"/>
      <c r="E783" s="19"/>
      <c r="F783" s="20"/>
    </row>
    <row r="784" spans="1:6" x14ac:dyDescent="0.25">
      <c r="A784" s="13">
        <v>46069</v>
      </c>
      <c r="B784" s="14" t="s">
        <v>14</v>
      </c>
      <c r="C784" s="18" t="s">
        <v>9</v>
      </c>
      <c r="D784" s="19"/>
      <c r="E784" s="19"/>
      <c r="F784" s="20"/>
    </row>
    <row r="785" spans="1:6" x14ac:dyDescent="0.25">
      <c r="A785" s="13">
        <v>46070</v>
      </c>
      <c r="B785" s="14" t="s">
        <v>15</v>
      </c>
      <c r="C785" s="18" t="s">
        <v>9</v>
      </c>
      <c r="D785" s="19"/>
      <c r="E785" s="19"/>
      <c r="F785" s="20"/>
    </row>
    <row r="786" spans="1:6" x14ac:dyDescent="0.25">
      <c r="A786" s="13">
        <v>46071</v>
      </c>
      <c r="B786" s="14" t="s">
        <v>16</v>
      </c>
      <c r="C786" s="18" t="s">
        <v>23</v>
      </c>
      <c r="D786" s="19">
        <v>120</v>
      </c>
      <c r="E786" s="19">
        <v>13</v>
      </c>
      <c r="F786" s="20">
        <v>10</v>
      </c>
    </row>
    <row r="787" spans="1:6" x14ac:dyDescent="0.25">
      <c r="A787" s="13">
        <v>46072</v>
      </c>
      <c r="B787" s="14" t="s">
        <v>8</v>
      </c>
      <c r="C787" s="18" t="s">
        <v>23</v>
      </c>
      <c r="D787" s="19">
        <v>120</v>
      </c>
      <c r="E787" s="19">
        <v>0</v>
      </c>
      <c r="F787" s="20">
        <v>10</v>
      </c>
    </row>
    <row r="788" spans="1:6" x14ac:dyDescent="0.25">
      <c r="A788" s="13">
        <v>46073</v>
      </c>
      <c r="B788" s="14" t="s">
        <v>10</v>
      </c>
      <c r="C788" s="18" t="s">
        <v>23</v>
      </c>
      <c r="D788" s="19">
        <v>120</v>
      </c>
      <c r="E788" s="19">
        <v>0</v>
      </c>
      <c r="F788" s="20">
        <v>10</v>
      </c>
    </row>
    <row r="789" spans="1:6" x14ac:dyDescent="0.25">
      <c r="A789" s="13">
        <v>46074</v>
      </c>
      <c r="B789" s="14" t="s">
        <v>12</v>
      </c>
      <c r="C789" s="15"/>
      <c r="D789" s="16"/>
      <c r="E789" s="16"/>
      <c r="F789" s="17"/>
    </row>
    <row r="790" spans="1:6" x14ac:dyDescent="0.25">
      <c r="A790" s="13">
        <v>46075</v>
      </c>
      <c r="B790" s="14" t="s">
        <v>13</v>
      </c>
      <c r="C790" s="15"/>
      <c r="D790" s="16"/>
      <c r="E790" s="16"/>
      <c r="F790" s="17"/>
    </row>
    <row r="791" spans="1:6" x14ac:dyDescent="0.25">
      <c r="A791" s="13">
        <v>46076</v>
      </c>
      <c r="B791" s="14" t="s">
        <v>14</v>
      </c>
      <c r="C791" s="18" t="s">
        <v>19</v>
      </c>
      <c r="D791" s="19">
        <v>0</v>
      </c>
      <c r="E791" s="19">
        <v>0</v>
      </c>
      <c r="F791" s="20">
        <v>0</v>
      </c>
    </row>
    <row r="792" spans="1:6" x14ac:dyDescent="0.25">
      <c r="A792" s="13">
        <v>46077</v>
      </c>
      <c r="B792" s="14" t="s">
        <v>15</v>
      </c>
      <c r="C792" s="18" t="s">
        <v>23</v>
      </c>
      <c r="D792" s="19">
        <v>120</v>
      </c>
      <c r="E792" s="19">
        <v>0</v>
      </c>
      <c r="F792" s="20">
        <v>10</v>
      </c>
    </row>
    <row r="793" spans="1:6" x14ac:dyDescent="0.25">
      <c r="A793" s="13">
        <v>46078</v>
      </c>
      <c r="B793" s="14" t="s">
        <v>16</v>
      </c>
      <c r="C793" s="18" t="s">
        <v>23</v>
      </c>
      <c r="D793" s="19">
        <v>120</v>
      </c>
      <c r="E793" s="19">
        <v>0</v>
      </c>
      <c r="F793" s="20">
        <v>10</v>
      </c>
    </row>
    <row r="794" spans="1:6" x14ac:dyDescent="0.25">
      <c r="A794" s="13">
        <v>46079</v>
      </c>
      <c r="B794" s="14" t="s">
        <v>8</v>
      </c>
      <c r="C794" s="18" t="s">
        <v>23</v>
      </c>
      <c r="D794" s="19">
        <v>120</v>
      </c>
      <c r="E794" s="19">
        <v>0</v>
      </c>
      <c r="F794" s="20">
        <v>10</v>
      </c>
    </row>
    <row r="795" spans="1:6" x14ac:dyDescent="0.25">
      <c r="A795" s="13">
        <v>46080</v>
      </c>
      <c r="B795" s="14" t="s">
        <v>10</v>
      </c>
      <c r="C795" s="18" t="s">
        <v>23</v>
      </c>
      <c r="D795" s="19">
        <v>120</v>
      </c>
      <c r="E795" s="19">
        <v>0</v>
      </c>
      <c r="F795" s="20">
        <v>10</v>
      </c>
    </row>
    <row r="796" spans="1:6" x14ac:dyDescent="0.25">
      <c r="A796" s="13">
        <v>46081</v>
      </c>
      <c r="B796" s="14" t="s">
        <v>12</v>
      </c>
      <c r="C796" s="18"/>
      <c r="D796" s="19"/>
      <c r="E796" s="16"/>
      <c r="F796" s="17"/>
    </row>
    <row r="797" spans="1:6" x14ac:dyDescent="0.25">
      <c r="A797" s="13">
        <v>46082</v>
      </c>
      <c r="B797" s="14" t="s">
        <v>13</v>
      </c>
      <c r="C797" s="18"/>
      <c r="D797" s="19"/>
      <c r="E797" s="16"/>
      <c r="F797" s="17"/>
    </row>
    <row r="798" spans="1:6" x14ac:dyDescent="0.25">
      <c r="A798" s="13">
        <v>46083</v>
      </c>
      <c r="B798" s="14" t="s">
        <v>14</v>
      </c>
      <c r="C798" s="18" t="s">
        <v>23</v>
      </c>
      <c r="D798" s="19">
        <v>120</v>
      </c>
      <c r="E798" s="19">
        <v>0</v>
      </c>
      <c r="F798" s="20">
        <v>0</v>
      </c>
    </row>
    <row r="799" spans="1:6" x14ac:dyDescent="0.25">
      <c r="A799" s="13">
        <v>46084</v>
      </c>
      <c r="B799" s="14" t="s">
        <v>15</v>
      </c>
      <c r="C799" s="18" t="s">
        <v>23</v>
      </c>
      <c r="D799" s="19">
        <v>120</v>
      </c>
      <c r="E799" s="19">
        <v>0</v>
      </c>
      <c r="F799" s="20">
        <v>10</v>
      </c>
    </row>
    <row r="800" spans="1:6" x14ac:dyDescent="0.25">
      <c r="A800" s="13">
        <v>46085</v>
      </c>
      <c r="B800" s="14" t="s">
        <v>16</v>
      </c>
      <c r="C800" s="18" t="s">
        <v>23</v>
      </c>
      <c r="D800" s="19">
        <v>120</v>
      </c>
      <c r="E800" s="19">
        <v>0</v>
      </c>
      <c r="F800" s="20">
        <v>10</v>
      </c>
    </row>
    <row r="801" spans="1:6" x14ac:dyDescent="0.25">
      <c r="A801" s="13">
        <v>46086</v>
      </c>
      <c r="B801" s="14" t="s">
        <v>8</v>
      </c>
      <c r="C801" s="18" t="s">
        <v>23</v>
      </c>
      <c r="D801" s="19">
        <v>120</v>
      </c>
      <c r="E801" s="19">
        <v>0</v>
      </c>
      <c r="F801" s="20">
        <v>10</v>
      </c>
    </row>
    <row r="802" spans="1:6" x14ac:dyDescent="0.25">
      <c r="A802" s="13">
        <v>46087</v>
      </c>
      <c r="B802" s="14" t="s">
        <v>10</v>
      </c>
      <c r="C802" s="18" t="s">
        <v>23</v>
      </c>
      <c r="D802" s="19">
        <v>120</v>
      </c>
      <c r="E802" s="19">
        <v>0</v>
      </c>
      <c r="F802" s="20">
        <v>10</v>
      </c>
    </row>
    <row r="803" spans="1:6" x14ac:dyDescent="0.25">
      <c r="A803" s="13">
        <v>46088</v>
      </c>
      <c r="B803" s="14" t="s">
        <v>12</v>
      </c>
      <c r="C803" s="18"/>
      <c r="D803" s="19"/>
      <c r="E803" s="16"/>
      <c r="F803" s="17"/>
    </row>
    <row r="804" spans="1:6" x14ac:dyDescent="0.25">
      <c r="A804" s="13">
        <v>46089</v>
      </c>
      <c r="B804" s="14" t="s">
        <v>13</v>
      </c>
      <c r="C804" s="18"/>
      <c r="D804" s="19"/>
      <c r="E804" s="16"/>
      <c r="F804" s="17"/>
    </row>
    <row r="805" spans="1:6" x14ac:dyDescent="0.25">
      <c r="A805" s="13">
        <v>46090</v>
      </c>
      <c r="B805" s="14" t="s">
        <v>14</v>
      </c>
      <c r="C805" s="18" t="s">
        <v>23</v>
      </c>
      <c r="D805" s="19">
        <v>120</v>
      </c>
      <c r="E805" s="19">
        <v>0</v>
      </c>
      <c r="F805" s="20">
        <v>10</v>
      </c>
    </row>
    <row r="806" spans="1:6" x14ac:dyDescent="0.25">
      <c r="A806" s="13">
        <v>46091</v>
      </c>
      <c r="B806" s="14" t="s">
        <v>15</v>
      </c>
      <c r="C806" s="18" t="s">
        <v>23</v>
      </c>
      <c r="D806" s="19">
        <v>120</v>
      </c>
      <c r="E806" s="19">
        <v>0</v>
      </c>
      <c r="F806" s="20">
        <v>10</v>
      </c>
    </row>
    <row r="807" spans="1:6" x14ac:dyDescent="0.25">
      <c r="A807" s="13">
        <v>46092</v>
      </c>
      <c r="B807" s="14" t="s">
        <v>16</v>
      </c>
      <c r="C807" s="18" t="s">
        <v>23</v>
      </c>
      <c r="D807" s="19">
        <v>120</v>
      </c>
      <c r="E807" s="19">
        <v>0</v>
      </c>
      <c r="F807" s="20">
        <v>10</v>
      </c>
    </row>
    <row r="808" spans="1:6" x14ac:dyDescent="0.25">
      <c r="A808" s="13">
        <v>46093</v>
      </c>
      <c r="B808" s="14" t="s">
        <v>8</v>
      </c>
      <c r="C808" s="18" t="s">
        <v>11</v>
      </c>
      <c r="D808" s="19">
        <v>120</v>
      </c>
      <c r="E808" s="19">
        <v>0</v>
      </c>
      <c r="F808" s="20">
        <v>10</v>
      </c>
    </row>
    <row r="809" spans="1:6" x14ac:dyDescent="0.25">
      <c r="A809" s="13">
        <v>46094</v>
      </c>
      <c r="B809" s="14" t="s">
        <v>10</v>
      </c>
      <c r="C809" s="18" t="s">
        <v>23</v>
      </c>
      <c r="D809" s="19">
        <v>120</v>
      </c>
      <c r="E809" s="19">
        <v>0</v>
      </c>
      <c r="F809" s="20">
        <v>10</v>
      </c>
    </row>
    <row r="810" spans="1:6" x14ac:dyDescent="0.25">
      <c r="A810" s="13">
        <v>46095</v>
      </c>
      <c r="B810" s="14" t="s">
        <v>12</v>
      </c>
      <c r="C810" s="18"/>
      <c r="D810" s="19"/>
      <c r="E810" s="16"/>
      <c r="F810" s="17"/>
    </row>
    <row r="811" spans="1:6" x14ac:dyDescent="0.25">
      <c r="A811" s="13">
        <v>46096</v>
      </c>
      <c r="B811" s="14" t="s">
        <v>13</v>
      </c>
      <c r="C811" s="18"/>
      <c r="D811" s="19"/>
      <c r="E811" s="16"/>
      <c r="F811" s="17"/>
    </row>
    <row r="812" spans="1:6" x14ac:dyDescent="0.25">
      <c r="A812" s="13">
        <v>46097</v>
      </c>
      <c r="B812" s="14" t="s">
        <v>14</v>
      </c>
      <c r="C812" s="18" t="s">
        <v>23</v>
      </c>
      <c r="D812" s="19">
        <v>120</v>
      </c>
      <c r="E812" s="19">
        <v>0</v>
      </c>
      <c r="F812" s="20">
        <v>10</v>
      </c>
    </row>
    <row r="813" spans="1:6" x14ac:dyDescent="0.25">
      <c r="A813" s="13">
        <v>46098</v>
      </c>
      <c r="B813" s="14" t="s">
        <v>15</v>
      </c>
      <c r="C813" s="18" t="s">
        <v>23</v>
      </c>
      <c r="D813" s="19">
        <v>120</v>
      </c>
      <c r="E813" s="19">
        <v>0</v>
      </c>
      <c r="F813" s="20">
        <v>10</v>
      </c>
    </row>
    <row r="814" spans="1:6" x14ac:dyDescent="0.25">
      <c r="A814" s="13">
        <v>46099</v>
      </c>
      <c r="B814" s="14" t="s">
        <v>16</v>
      </c>
      <c r="C814" s="18" t="s">
        <v>23</v>
      </c>
      <c r="D814" s="19">
        <v>120</v>
      </c>
      <c r="E814" s="19">
        <v>0</v>
      </c>
      <c r="F814" s="20">
        <v>10</v>
      </c>
    </row>
    <row r="815" spans="1:6" x14ac:dyDescent="0.25">
      <c r="A815" s="13">
        <v>46100</v>
      </c>
      <c r="B815" s="14" t="s">
        <v>8</v>
      </c>
      <c r="C815" s="18" t="s">
        <v>23</v>
      </c>
      <c r="D815" s="19">
        <v>120</v>
      </c>
      <c r="E815" s="19">
        <v>0</v>
      </c>
      <c r="F815" s="20">
        <v>10</v>
      </c>
    </row>
    <row r="816" spans="1:6" x14ac:dyDescent="0.25">
      <c r="A816" s="13">
        <v>46101</v>
      </c>
      <c r="B816" s="14" t="s">
        <v>10</v>
      </c>
      <c r="C816" s="18" t="s">
        <v>23</v>
      </c>
      <c r="D816" s="19">
        <v>120</v>
      </c>
      <c r="E816" s="19">
        <v>0</v>
      </c>
      <c r="F816" s="20">
        <v>10</v>
      </c>
    </row>
    <row r="817" spans="1:6" x14ac:dyDescent="0.25">
      <c r="A817" s="13">
        <v>46102</v>
      </c>
      <c r="B817" s="14" t="s">
        <v>12</v>
      </c>
      <c r="C817" s="18"/>
      <c r="D817" s="19"/>
      <c r="E817" s="16"/>
      <c r="F817" s="17"/>
    </row>
    <row r="818" spans="1:6" x14ac:dyDescent="0.25">
      <c r="A818" s="13">
        <v>46103</v>
      </c>
      <c r="B818" s="14" t="s">
        <v>13</v>
      </c>
      <c r="C818" s="15"/>
      <c r="D818" s="16"/>
      <c r="E818" s="16"/>
      <c r="F818" s="17"/>
    </row>
    <row r="819" spans="1:6" x14ac:dyDescent="0.25">
      <c r="A819" s="13">
        <v>46104</v>
      </c>
      <c r="B819" s="14" t="s">
        <v>14</v>
      </c>
      <c r="C819" s="15" t="s">
        <v>23</v>
      </c>
      <c r="D819" s="16">
        <v>120</v>
      </c>
      <c r="E819" s="19">
        <v>0</v>
      </c>
      <c r="F819" s="20">
        <v>10</v>
      </c>
    </row>
    <row r="820" spans="1:6" x14ac:dyDescent="0.25">
      <c r="A820" s="13">
        <v>46105</v>
      </c>
      <c r="B820" s="14" t="s">
        <v>15</v>
      </c>
      <c r="C820" s="15" t="s">
        <v>25</v>
      </c>
      <c r="D820" s="16"/>
      <c r="E820" s="19">
        <v>0</v>
      </c>
      <c r="F820" s="20">
        <v>10</v>
      </c>
    </row>
    <row r="821" spans="1:6" x14ac:dyDescent="0.25">
      <c r="A821" s="13">
        <v>46106</v>
      </c>
      <c r="B821" s="14" t="s">
        <v>16</v>
      </c>
      <c r="C821" s="15" t="s">
        <v>23</v>
      </c>
      <c r="D821" s="16">
        <v>120</v>
      </c>
      <c r="E821" s="19">
        <v>0</v>
      </c>
      <c r="F821" s="20">
        <v>10</v>
      </c>
    </row>
    <row r="822" spans="1:6" x14ac:dyDescent="0.25">
      <c r="A822" s="13">
        <v>46107</v>
      </c>
      <c r="B822" s="14" t="s">
        <v>8</v>
      </c>
      <c r="C822" s="15" t="s">
        <v>19</v>
      </c>
      <c r="D822" s="16">
        <v>0</v>
      </c>
      <c r="E822" s="19">
        <v>0</v>
      </c>
      <c r="F822" s="20">
        <v>10</v>
      </c>
    </row>
    <row r="823" spans="1:6" x14ac:dyDescent="0.25">
      <c r="A823" s="13">
        <v>46108</v>
      </c>
      <c r="B823" s="14" t="s">
        <v>10</v>
      </c>
      <c r="C823" s="15"/>
      <c r="D823" s="16"/>
      <c r="E823" s="19">
        <v>0</v>
      </c>
      <c r="F823" s="20">
        <v>10</v>
      </c>
    </row>
    <row r="824" spans="1:6" x14ac:dyDescent="0.25">
      <c r="A824" s="13">
        <v>46109</v>
      </c>
      <c r="B824" s="14" t="s">
        <v>12</v>
      </c>
      <c r="C824" s="15"/>
      <c r="D824" s="16"/>
      <c r="E824" s="16"/>
      <c r="F824" s="17"/>
    </row>
    <row r="825" spans="1:6" x14ac:dyDescent="0.25">
      <c r="A825" s="13">
        <v>46110</v>
      </c>
      <c r="B825" s="14" t="s">
        <v>13</v>
      </c>
      <c r="C825" s="15"/>
      <c r="D825" s="16"/>
      <c r="E825" s="16"/>
      <c r="F825" s="17"/>
    </row>
    <row r="826" spans="1:6" x14ac:dyDescent="0.25">
      <c r="A826" s="13">
        <v>46111</v>
      </c>
      <c r="B826" s="14" t="s">
        <v>14</v>
      </c>
      <c r="C826" s="15"/>
      <c r="D826" s="16"/>
      <c r="E826" s="16"/>
      <c r="F826" s="17"/>
    </row>
    <row r="827" spans="1:6" x14ac:dyDescent="0.25">
      <c r="A827" s="13">
        <v>46112</v>
      </c>
      <c r="B827" s="14" t="s">
        <v>15</v>
      </c>
      <c r="C827" s="15" t="s">
        <v>26</v>
      </c>
      <c r="D827" s="16">
        <v>120</v>
      </c>
      <c r="E827" s="16"/>
      <c r="F827" s="17"/>
    </row>
    <row r="828" spans="1:6" ht="15.75" thickBot="1" x14ac:dyDescent="0.3"/>
    <row r="829" spans="1:6" ht="15.75" thickBot="1" x14ac:dyDescent="0.3">
      <c r="A829" s="1" t="s">
        <v>0</v>
      </c>
      <c r="B829" s="2"/>
      <c r="C829" s="46" t="s">
        <v>41</v>
      </c>
      <c r="D829" s="47"/>
      <c r="E829" s="47"/>
      <c r="F829" s="48"/>
    </row>
    <row r="830" spans="1:6" x14ac:dyDescent="0.25">
      <c r="A830" s="6"/>
      <c r="B830" s="6"/>
      <c r="C830" s="7"/>
      <c r="D830" s="8"/>
      <c r="E830" s="8"/>
      <c r="F830" s="8"/>
    </row>
    <row r="831" spans="1:6" ht="25.5" x14ac:dyDescent="0.25">
      <c r="A831" s="9" t="s">
        <v>2</v>
      </c>
      <c r="B831" s="10" t="s">
        <v>3</v>
      </c>
      <c r="C831" s="10" t="s">
        <v>4</v>
      </c>
      <c r="D831" s="11" t="s">
        <v>5</v>
      </c>
      <c r="E831" s="11" t="s">
        <v>6</v>
      </c>
      <c r="F831" s="12" t="s">
        <v>7</v>
      </c>
    </row>
    <row r="832" spans="1:6" x14ac:dyDescent="0.25">
      <c r="A832" s="13">
        <v>46056</v>
      </c>
      <c r="B832" s="14" t="s">
        <v>15</v>
      </c>
      <c r="C832" s="18" t="s">
        <v>23</v>
      </c>
      <c r="D832" s="19">
        <v>135</v>
      </c>
      <c r="E832" s="19">
        <v>13</v>
      </c>
      <c r="F832" s="20">
        <v>10</v>
      </c>
    </row>
    <row r="833" spans="1:6" x14ac:dyDescent="0.25">
      <c r="A833" s="13">
        <v>46057</v>
      </c>
      <c r="B833" s="14" t="s">
        <v>16</v>
      </c>
      <c r="C833" s="18" t="s">
        <v>23</v>
      </c>
      <c r="D833" s="19">
        <v>135</v>
      </c>
      <c r="E833" s="19">
        <v>13</v>
      </c>
      <c r="F833" s="20">
        <v>10</v>
      </c>
    </row>
    <row r="834" spans="1:6" x14ac:dyDescent="0.25">
      <c r="A834" s="13">
        <v>46058</v>
      </c>
      <c r="B834" s="14" t="s">
        <v>8</v>
      </c>
      <c r="C834" s="18" t="s">
        <v>23</v>
      </c>
      <c r="D834" s="19">
        <v>135</v>
      </c>
      <c r="E834" s="19">
        <v>13</v>
      </c>
      <c r="F834" s="20">
        <v>10</v>
      </c>
    </row>
    <row r="835" spans="1:6" x14ac:dyDescent="0.25">
      <c r="A835" s="13">
        <v>46059</v>
      </c>
      <c r="B835" s="14" t="s">
        <v>10</v>
      </c>
      <c r="C835" s="18" t="s">
        <v>23</v>
      </c>
      <c r="D835" s="19">
        <v>135</v>
      </c>
      <c r="E835" s="19">
        <v>13</v>
      </c>
      <c r="F835" s="20">
        <v>10</v>
      </c>
    </row>
    <row r="836" spans="1:6" x14ac:dyDescent="0.25">
      <c r="A836" s="13">
        <v>46060</v>
      </c>
      <c r="B836" s="14" t="s">
        <v>12</v>
      </c>
      <c r="C836" s="18" t="s">
        <v>32</v>
      </c>
      <c r="D836" s="19">
        <v>135</v>
      </c>
      <c r="E836" s="19">
        <v>13</v>
      </c>
      <c r="F836" s="20">
        <v>0</v>
      </c>
    </row>
    <row r="837" spans="1:6" x14ac:dyDescent="0.25">
      <c r="A837" s="13">
        <v>46061</v>
      </c>
      <c r="B837" s="14" t="s">
        <v>13</v>
      </c>
      <c r="C837" s="18"/>
      <c r="D837" s="19"/>
      <c r="E837" s="19"/>
      <c r="F837" s="20"/>
    </row>
    <row r="838" spans="1:6" x14ac:dyDescent="0.25">
      <c r="A838" s="13">
        <v>46062</v>
      </c>
      <c r="B838" s="14" t="s">
        <v>14</v>
      </c>
      <c r="C838" s="18" t="s">
        <v>23</v>
      </c>
      <c r="D838" s="19">
        <v>135</v>
      </c>
      <c r="E838" s="19">
        <v>13</v>
      </c>
      <c r="F838" s="20">
        <v>10</v>
      </c>
    </row>
    <row r="839" spans="1:6" x14ac:dyDescent="0.25">
      <c r="A839" s="13">
        <v>46063</v>
      </c>
      <c r="B839" s="14" t="s">
        <v>15</v>
      </c>
      <c r="C839" s="45" t="s">
        <v>11</v>
      </c>
      <c r="D839" s="49">
        <v>135</v>
      </c>
      <c r="E839" s="49">
        <v>13</v>
      </c>
      <c r="F839" s="50">
        <v>0</v>
      </c>
    </row>
    <row r="840" spans="1:6" x14ac:dyDescent="0.25">
      <c r="A840" s="13">
        <v>46064</v>
      </c>
      <c r="B840" s="14" t="s">
        <v>16</v>
      </c>
      <c r="C840" s="18" t="s">
        <v>11</v>
      </c>
      <c r="D840" s="19">
        <v>135</v>
      </c>
      <c r="E840" s="19">
        <v>13</v>
      </c>
      <c r="F840" s="20">
        <v>0</v>
      </c>
    </row>
    <row r="841" spans="1:6" x14ac:dyDescent="0.25">
      <c r="A841" s="13">
        <v>46065</v>
      </c>
      <c r="B841" s="14" t="s">
        <v>8</v>
      </c>
      <c r="C841" s="18" t="s">
        <v>11</v>
      </c>
      <c r="D841" s="19">
        <v>135</v>
      </c>
      <c r="E841" s="19">
        <v>13</v>
      </c>
      <c r="F841" s="20">
        <v>0</v>
      </c>
    </row>
    <row r="842" spans="1:6" x14ac:dyDescent="0.25">
      <c r="A842" s="13">
        <v>46066</v>
      </c>
      <c r="B842" s="14" t="s">
        <v>10</v>
      </c>
      <c r="C842" s="18" t="s">
        <v>11</v>
      </c>
      <c r="D842" s="19">
        <v>135</v>
      </c>
      <c r="E842" s="19">
        <v>13</v>
      </c>
      <c r="F842" s="20">
        <v>0</v>
      </c>
    </row>
    <row r="843" spans="1:6" x14ac:dyDescent="0.25">
      <c r="A843" s="13">
        <v>46067</v>
      </c>
      <c r="B843" s="14" t="s">
        <v>12</v>
      </c>
      <c r="C843" s="18" t="s">
        <v>11</v>
      </c>
      <c r="D843" s="19">
        <v>135</v>
      </c>
      <c r="E843" s="19">
        <v>13</v>
      </c>
      <c r="F843" s="20">
        <v>0</v>
      </c>
    </row>
    <row r="844" spans="1:6" x14ac:dyDescent="0.25">
      <c r="A844" s="13">
        <v>46068</v>
      </c>
      <c r="B844" s="14" t="s">
        <v>13</v>
      </c>
      <c r="C844" s="18"/>
      <c r="D844" s="19"/>
      <c r="E844" s="19"/>
      <c r="F844" s="20"/>
    </row>
    <row r="845" spans="1:6" x14ac:dyDescent="0.25">
      <c r="A845" s="13">
        <v>46069</v>
      </c>
      <c r="B845" s="14" t="s">
        <v>14</v>
      </c>
      <c r="C845" s="18" t="s">
        <v>11</v>
      </c>
      <c r="D845" s="19">
        <v>180</v>
      </c>
      <c r="E845" s="19">
        <v>13</v>
      </c>
      <c r="F845" s="20">
        <v>0</v>
      </c>
    </row>
    <row r="846" spans="1:6" x14ac:dyDescent="0.25">
      <c r="A846" s="13">
        <v>46070</v>
      </c>
      <c r="B846" s="14" t="s">
        <v>15</v>
      </c>
      <c r="C846" s="18" t="s">
        <v>11</v>
      </c>
      <c r="D846" s="19">
        <v>180</v>
      </c>
      <c r="E846" s="19">
        <v>13</v>
      </c>
      <c r="F846" s="20">
        <v>0</v>
      </c>
    </row>
    <row r="847" spans="1:6" x14ac:dyDescent="0.25">
      <c r="A847" s="13">
        <v>46071</v>
      </c>
      <c r="B847" s="14" t="s">
        <v>16</v>
      </c>
      <c r="C847" s="18" t="s">
        <v>11</v>
      </c>
      <c r="D847" s="19">
        <v>180</v>
      </c>
      <c r="E847" s="19">
        <v>13</v>
      </c>
      <c r="F847" s="20">
        <v>0</v>
      </c>
    </row>
    <row r="848" spans="1:6" x14ac:dyDescent="0.25">
      <c r="A848" s="13">
        <v>46072</v>
      </c>
      <c r="B848" s="14" t="s">
        <v>8</v>
      </c>
      <c r="C848" s="18" t="s">
        <v>11</v>
      </c>
      <c r="D848" s="19">
        <v>180</v>
      </c>
      <c r="E848" s="19">
        <v>13</v>
      </c>
      <c r="F848" s="20">
        <v>0</v>
      </c>
    </row>
    <row r="849" spans="1:6" x14ac:dyDescent="0.25">
      <c r="A849" s="13">
        <v>46073</v>
      </c>
      <c r="B849" s="14" t="s">
        <v>10</v>
      </c>
      <c r="C849" s="18" t="s">
        <v>11</v>
      </c>
      <c r="D849" s="19">
        <v>180</v>
      </c>
      <c r="E849" s="19">
        <v>13</v>
      </c>
      <c r="F849" s="20">
        <v>0</v>
      </c>
    </row>
    <row r="850" spans="1:6" x14ac:dyDescent="0.25">
      <c r="A850" s="13">
        <v>46074</v>
      </c>
      <c r="B850" s="14" t="s">
        <v>12</v>
      </c>
      <c r="C850" s="18" t="s">
        <v>11</v>
      </c>
      <c r="D850" s="19">
        <v>250</v>
      </c>
      <c r="E850" s="19">
        <v>13</v>
      </c>
      <c r="F850" s="20">
        <v>0</v>
      </c>
    </row>
    <row r="851" spans="1:6" x14ac:dyDescent="0.25">
      <c r="A851" s="13">
        <v>46075</v>
      </c>
      <c r="B851" s="14" t="s">
        <v>13</v>
      </c>
      <c r="C851" s="18" t="s">
        <v>11</v>
      </c>
      <c r="D851" s="19">
        <v>250</v>
      </c>
      <c r="E851" s="19">
        <v>13</v>
      </c>
      <c r="F851" s="20">
        <v>0</v>
      </c>
    </row>
    <row r="852" spans="1:6" x14ac:dyDescent="0.25">
      <c r="A852" s="13">
        <v>46076</v>
      </c>
      <c r="B852" s="14" t="s">
        <v>14</v>
      </c>
      <c r="C852" s="18" t="s">
        <v>11</v>
      </c>
      <c r="D852" s="19">
        <v>180</v>
      </c>
      <c r="E852" s="19">
        <v>13</v>
      </c>
      <c r="F852" s="20">
        <v>0</v>
      </c>
    </row>
    <row r="853" spans="1:6" x14ac:dyDescent="0.25">
      <c r="A853" s="13">
        <v>46077</v>
      </c>
      <c r="B853" s="14" t="s">
        <v>15</v>
      </c>
      <c r="C853" s="18" t="s">
        <v>11</v>
      </c>
      <c r="D853" s="19">
        <v>180</v>
      </c>
      <c r="E853" s="19">
        <v>13</v>
      </c>
      <c r="F853" s="20">
        <v>0</v>
      </c>
    </row>
    <row r="854" spans="1:6" x14ac:dyDescent="0.25">
      <c r="A854" s="13">
        <v>46078</v>
      </c>
      <c r="B854" s="14" t="s">
        <v>16</v>
      </c>
      <c r="C854" s="18" t="s">
        <v>11</v>
      </c>
      <c r="D854" s="19">
        <v>180</v>
      </c>
      <c r="E854" s="19">
        <v>13</v>
      </c>
      <c r="F854" s="20">
        <v>0</v>
      </c>
    </row>
    <row r="855" spans="1:6" x14ac:dyDescent="0.25">
      <c r="A855" s="13">
        <v>46079</v>
      </c>
      <c r="B855" s="14" t="s">
        <v>8</v>
      </c>
      <c r="C855" s="18" t="s">
        <v>11</v>
      </c>
      <c r="D855" s="19">
        <v>180</v>
      </c>
      <c r="E855" s="19">
        <v>13</v>
      </c>
      <c r="F855" s="20">
        <v>0</v>
      </c>
    </row>
    <row r="856" spans="1:6" x14ac:dyDescent="0.25">
      <c r="A856" s="13">
        <v>46080</v>
      </c>
      <c r="B856" s="14" t="s">
        <v>10</v>
      </c>
      <c r="C856" s="18" t="s">
        <v>11</v>
      </c>
      <c r="D856" s="19">
        <v>180</v>
      </c>
      <c r="E856" s="19">
        <v>13</v>
      </c>
      <c r="F856" s="20">
        <v>0</v>
      </c>
    </row>
    <row r="857" spans="1:6" x14ac:dyDescent="0.25">
      <c r="A857" s="13">
        <v>46081</v>
      </c>
      <c r="B857" s="14" t="s">
        <v>12</v>
      </c>
      <c r="C857" s="18"/>
      <c r="D857" s="19"/>
      <c r="E857" s="16"/>
      <c r="F857" s="17"/>
    </row>
    <row r="858" spans="1:6" x14ac:dyDescent="0.25">
      <c r="A858" s="13">
        <v>46082</v>
      </c>
      <c r="B858" s="14" t="s">
        <v>13</v>
      </c>
      <c r="C858" s="18"/>
      <c r="D858" s="19"/>
      <c r="E858" s="16"/>
      <c r="F858" s="17"/>
    </row>
    <row r="859" spans="1:6" x14ac:dyDescent="0.25">
      <c r="A859" s="13">
        <v>46083</v>
      </c>
      <c r="B859" s="14" t="s">
        <v>14</v>
      </c>
      <c r="C859" s="18" t="s">
        <v>11</v>
      </c>
      <c r="D859" s="19">
        <v>180</v>
      </c>
      <c r="E859" s="19">
        <v>13</v>
      </c>
      <c r="F859" s="20">
        <v>0</v>
      </c>
    </row>
    <row r="860" spans="1:6" x14ac:dyDescent="0.25">
      <c r="A860" s="13">
        <v>46084</v>
      </c>
      <c r="B860" s="14" t="s">
        <v>15</v>
      </c>
      <c r="C860" s="18" t="s">
        <v>11</v>
      </c>
      <c r="D860" s="19">
        <v>180</v>
      </c>
      <c r="E860" s="19">
        <v>13</v>
      </c>
      <c r="F860" s="20">
        <v>0</v>
      </c>
    </row>
    <row r="861" spans="1:6" x14ac:dyDescent="0.25">
      <c r="A861" s="13">
        <v>46085</v>
      </c>
      <c r="B861" s="14" t="s">
        <v>16</v>
      </c>
      <c r="C861" s="18" t="s">
        <v>11</v>
      </c>
      <c r="D861" s="19">
        <v>180</v>
      </c>
      <c r="E861" s="19">
        <v>13</v>
      </c>
      <c r="F861" s="20">
        <v>0</v>
      </c>
    </row>
    <row r="862" spans="1:6" x14ac:dyDescent="0.25">
      <c r="A862" s="13">
        <v>46086</v>
      </c>
      <c r="B862" s="14" t="s">
        <v>8</v>
      </c>
      <c r="C862" s="18" t="s">
        <v>11</v>
      </c>
      <c r="D862" s="19">
        <v>180</v>
      </c>
      <c r="E862" s="19">
        <v>13</v>
      </c>
      <c r="F862" s="20">
        <v>0</v>
      </c>
    </row>
    <row r="863" spans="1:6" x14ac:dyDescent="0.25">
      <c r="A863" s="13">
        <v>46087</v>
      </c>
      <c r="B863" s="14" t="s">
        <v>10</v>
      </c>
      <c r="C863" s="18" t="s">
        <v>11</v>
      </c>
      <c r="D863" s="19">
        <v>180</v>
      </c>
      <c r="E863" s="19">
        <v>13</v>
      </c>
      <c r="F863" s="20">
        <v>0</v>
      </c>
    </row>
    <row r="864" spans="1:6" x14ac:dyDescent="0.25">
      <c r="A864" s="13">
        <v>46088</v>
      </c>
      <c r="B864" s="14" t="s">
        <v>12</v>
      </c>
      <c r="C864" s="18" t="s">
        <v>11</v>
      </c>
      <c r="D864" s="19">
        <v>180</v>
      </c>
      <c r="E864" s="16"/>
      <c r="F864" s="17"/>
    </row>
    <row r="865" spans="1:6" x14ac:dyDescent="0.25">
      <c r="A865" s="13">
        <v>46089</v>
      </c>
      <c r="B865" s="14" t="s">
        <v>13</v>
      </c>
      <c r="C865" s="18"/>
      <c r="D865" s="19"/>
      <c r="E865" s="16"/>
      <c r="F865" s="17"/>
    </row>
    <row r="866" spans="1:6" x14ac:dyDescent="0.25">
      <c r="A866" s="13">
        <v>46090</v>
      </c>
      <c r="B866" s="14" t="s">
        <v>14</v>
      </c>
      <c r="C866" s="18" t="s">
        <v>11</v>
      </c>
      <c r="D866" s="19">
        <v>180</v>
      </c>
      <c r="E866" s="19">
        <v>13</v>
      </c>
      <c r="F866" s="20">
        <v>0</v>
      </c>
    </row>
    <row r="867" spans="1:6" x14ac:dyDescent="0.25">
      <c r="A867" s="13">
        <v>46091</v>
      </c>
      <c r="B867" s="14" t="s">
        <v>15</v>
      </c>
      <c r="C867" s="18" t="s">
        <v>11</v>
      </c>
      <c r="D867" s="19">
        <v>180</v>
      </c>
      <c r="E867" s="19">
        <v>13</v>
      </c>
      <c r="F867" s="20">
        <v>0</v>
      </c>
    </row>
    <row r="868" spans="1:6" x14ac:dyDescent="0.25">
      <c r="A868" s="13">
        <v>46092</v>
      </c>
      <c r="B868" s="14" t="s">
        <v>16</v>
      </c>
      <c r="C868" s="18" t="s">
        <v>11</v>
      </c>
      <c r="D868" s="19">
        <v>180</v>
      </c>
      <c r="E868" s="19">
        <v>13</v>
      </c>
      <c r="F868" s="20">
        <v>0</v>
      </c>
    </row>
    <row r="869" spans="1:6" x14ac:dyDescent="0.25">
      <c r="A869" s="13">
        <v>46093</v>
      </c>
      <c r="B869" s="14" t="s">
        <v>8</v>
      </c>
      <c r="C869" s="18" t="s">
        <v>11</v>
      </c>
      <c r="D869" s="19">
        <v>180</v>
      </c>
      <c r="E869" s="19">
        <v>13</v>
      </c>
      <c r="F869" s="20">
        <v>0</v>
      </c>
    </row>
    <row r="870" spans="1:6" x14ac:dyDescent="0.25">
      <c r="A870" s="13">
        <v>46094</v>
      </c>
      <c r="B870" s="14" t="s">
        <v>10</v>
      </c>
      <c r="C870" s="18" t="s">
        <v>11</v>
      </c>
      <c r="D870" s="19">
        <v>180</v>
      </c>
      <c r="E870" s="19">
        <v>13</v>
      </c>
      <c r="F870" s="20">
        <v>0</v>
      </c>
    </row>
    <row r="871" spans="1:6" x14ac:dyDescent="0.25">
      <c r="A871" s="13">
        <v>46095</v>
      </c>
      <c r="B871" s="14" t="s">
        <v>12</v>
      </c>
      <c r="C871" s="18"/>
      <c r="D871" s="19"/>
      <c r="E871" s="16"/>
      <c r="F871" s="17"/>
    </row>
    <row r="872" spans="1:6" x14ac:dyDescent="0.25">
      <c r="A872" s="13">
        <v>46096</v>
      </c>
      <c r="B872" s="14" t="s">
        <v>13</v>
      </c>
      <c r="C872" s="18"/>
      <c r="D872" s="19"/>
      <c r="E872" s="16"/>
      <c r="F872" s="17"/>
    </row>
    <row r="873" spans="1:6" x14ac:dyDescent="0.25">
      <c r="A873" s="13">
        <v>46097</v>
      </c>
      <c r="B873" s="14" t="s">
        <v>14</v>
      </c>
      <c r="C873" s="18" t="s">
        <v>11</v>
      </c>
      <c r="D873" s="19">
        <v>180</v>
      </c>
      <c r="E873" s="19">
        <v>13</v>
      </c>
      <c r="F873" s="20">
        <v>0</v>
      </c>
    </row>
    <row r="874" spans="1:6" x14ac:dyDescent="0.25">
      <c r="A874" s="13">
        <v>46098</v>
      </c>
      <c r="B874" s="14" t="s">
        <v>15</v>
      </c>
      <c r="C874" s="18" t="s">
        <v>11</v>
      </c>
      <c r="D874" s="19">
        <v>180</v>
      </c>
      <c r="E874" s="19">
        <v>13</v>
      </c>
      <c r="F874" s="20">
        <v>0</v>
      </c>
    </row>
    <row r="875" spans="1:6" x14ac:dyDescent="0.25">
      <c r="A875" s="13">
        <v>46099</v>
      </c>
      <c r="B875" s="14" t="s">
        <v>16</v>
      </c>
      <c r="C875" s="18" t="s">
        <v>11</v>
      </c>
      <c r="D875" s="19">
        <v>180</v>
      </c>
      <c r="E875" s="19">
        <v>13</v>
      </c>
      <c r="F875" s="20">
        <v>0</v>
      </c>
    </row>
    <row r="876" spans="1:6" x14ac:dyDescent="0.25">
      <c r="A876" s="13">
        <v>46100</v>
      </c>
      <c r="B876" s="14" t="s">
        <v>8</v>
      </c>
      <c r="C876" s="18" t="s">
        <v>23</v>
      </c>
      <c r="D876" s="19">
        <v>180</v>
      </c>
      <c r="E876" s="19">
        <v>13</v>
      </c>
      <c r="F876" s="20">
        <v>0</v>
      </c>
    </row>
    <row r="877" spans="1:6" x14ac:dyDescent="0.25">
      <c r="A877" s="13">
        <v>46101</v>
      </c>
      <c r="B877" s="14" t="s">
        <v>10</v>
      </c>
      <c r="C877" s="15" t="s">
        <v>19</v>
      </c>
      <c r="D877" s="16"/>
      <c r="E877" s="19"/>
      <c r="F877" s="20"/>
    </row>
    <row r="878" spans="1:6" x14ac:dyDescent="0.25">
      <c r="A878" s="13">
        <v>46102</v>
      </c>
      <c r="B878" s="14" t="s">
        <v>12</v>
      </c>
      <c r="C878" s="15"/>
      <c r="D878" s="16"/>
      <c r="E878" s="16"/>
      <c r="F878" s="17"/>
    </row>
    <row r="879" spans="1:6" x14ac:dyDescent="0.25">
      <c r="A879" s="13">
        <v>46103</v>
      </c>
      <c r="B879" s="14" t="s">
        <v>13</v>
      </c>
      <c r="C879" s="15"/>
      <c r="D879" s="16"/>
      <c r="E879" s="16"/>
      <c r="F879" s="17"/>
    </row>
    <row r="880" spans="1:6" x14ac:dyDescent="0.25">
      <c r="A880" s="13">
        <v>46104</v>
      </c>
      <c r="B880" s="14" t="s">
        <v>14</v>
      </c>
      <c r="C880" s="15" t="s">
        <v>23</v>
      </c>
      <c r="D880" s="16">
        <v>180</v>
      </c>
      <c r="E880" s="19">
        <v>13</v>
      </c>
      <c r="F880" s="20">
        <v>0</v>
      </c>
    </row>
    <row r="881" spans="1:6" x14ac:dyDescent="0.25">
      <c r="A881" s="13">
        <v>46105</v>
      </c>
      <c r="B881" s="14" t="s">
        <v>15</v>
      </c>
      <c r="C881" s="15" t="s">
        <v>25</v>
      </c>
      <c r="D881" s="16"/>
      <c r="E881" s="19">
        <v>0</v>
      </c>
      <c r="F881" s="20">
        <v>0</v>
      </c>
    </row>
    <row r="882" spans="1:6" x14ac:dyDescent="0.25">
      <c r="A882" s="13">
        <v>46106</v>
      </c>
      <c r="B882" s="14" t="s">
        <v>16</v>
      </c>
      <c r="C882" s="15" t="s">
        <v>23</v>
      </c>
      <c r="D882" s="16">
        <v>180</v>
      </c>
      <c r="E882" s="19">
        <v>13</v>
      </c>
      <c r="F882" s="20">
        <v>0</v>
      </c>
    </row>
    <row r="883" spans="1:6" x14ac:dyDescent="0.25">
      <c r="A883" s="13">
        <v>46107</v>
      </c>
      <c r="B883" s="14" t="s">
        <v>8</v>
      </c>
      <c r="C883" s="15" t="s">
        <v>23</v>
      </c>
      <c r="D883" s="16">
        <v>180</v>
      </c>
      <c r="E883" s="19">
        <v>13</v>
      </c>
      <c r="F883" s="20">
        <v>0</v>
      </c>
    </row>
    <row r="884" spans="1:6" x14ac:dyDescent="0.25">
      <c r="A884" s="13">
        <v>46108</v>
      </c>
      <c r="B884" s="14" t="s">
        <v>10</v>
      </c>
      <c r="C884" s="15" t="s">
        <v>23</v>
      </c>
      <c r="D884" s="16">
        <v>180</v>
      </c>
      <c r="E884" s="19">
        <v>13</v>
      </c>
      <c r="F884" s="20">
        <v>0</v>
      </c>
    </row>
    <row r="885" spans="1:6" x14ac:dyDescent="0.25">
      <c r="A885" s="13">
        <v>46109</v>
      </c>
      <c r="B885" s="14" t="s">
        <v>12</v>
      </c>
      <c r="C885" s="15"/>
      <c r="D885" s="16"/>
      <c r="E885" s="19"/>
      <c r="F885" s="17"/>
    </row>
    <row r="886" spans="1:6" x14ac:dyDescent="0.25">
      <c r="A886" s="13">
        <v>46110</v>
      </c>
      <c r="B886" s="14" t="s">
        <v>13</v>
      </c>
      <c r="C886" s="15"/>
      <c r="D886" s="16"/>
      <c r="E886" s="16"/>
      <c r="F886" s="17"/>
    </row>
    <row r="887" spans="1:6" x14ac:dyDescent="0.25">
      <c r="A887" s="13">
        <v>46111</v>
      </c>
      <c r="B887" s="14" t="s">
        <v>14</v>
      </c>
      <c r="C887" s="15" t="s">
        <v>23</v>
      </c>
      <c r="D887" s="16">
        <v>180</v>
      </c>
      <c r="E887" s="16">
        <v>13</v>
      </c>
      <c r="F887" s="17">
        <v>10</v>
      </c>
    </row>
    <row r="888" spans="1:6" x14ac:dyDescent="0.25">
      <c r="A888" s="13">
        <v>46112</v>
      </c>
      <c r="B888" s="14" t="s">
        <v>15</v>
      </c>
      <c r="C888" s="15" t="s">
        <v>23</v>
      </c>
      <c r="D888" s="16">
        <v>180</v>
      </c>
      <c r="E888" s="16">
        <v>13</v>
      </c>
      <c r="F888" s="17">
        <v>10</v>
      </c>
    </row>
    <row r="889" spans="1:6" x14ac:dyDescent="0.25">
      <c r="A889" s="13">
        <v>46113</v>
      </c>
      <c r="B889" s="14" t="s">
        <v>16</v>
      </c>
      <c r="C889" s="15" t="s">
        <v>23</v>
      </c>
      <c r="D889" s="16">
        <v>180</v>
      </c>
      <c r="E889" s="16">
        <v>13</v>
      </c>
      <c r="F889" s="17">
        <v>10</v>
      </c>
    </row>
    <row r="890" spans="1:6" x14ac:dyDescent="0.25">
      <c r="A890" s="13">
        <v>46114</v>
      </c>
      <c r="B890" s="14" t="s">
        <v>8</v>
      </c>
      <c r="C890" s="15" t="s">
        <v>23</v>
      </c>
      <c r="D890" s="16">
        <v>180</v>
      </c>
      <c r="E890" s="16">
        <v>13</v>
      </c>
      <c r="F890" s="17">
        <v>10</v>
      </c>
    </row>
    <row r="891" spans="1:6" x14ac:dyDescent="0.25">
      <c r="A891" s="13">
        <v>46115</v>
      </c>
      <c r="B891" s="14" t="s">
        <v>10</v>
      </c>
      <c r="C891" s="15" t="s">
        <v>9</v>
      </c>
      <c r="D891" s="16"/>
      <c r="E891" s="16"/>
      <c r="F891" s="17"/>
    </row>
    <row r="892" spans="1:6" x14ac:dyDescent="0.25">
      <c r="A892" s="13">
        <v>46116</v>
      </c>
      <c r="B892" s="14" t="s">
        <v>12</v>
      </c>
      <c r="C892" s="15"/>
      <c r="D892" s="16"/>
      <c r="E892" s="16"/>
      <c r="F892" s="17"/>
    </row>
    <row r="893" spans="1:6" x14ac:dyDescent="0.25">
      <c r="A893" s="13">
        <v>46117</v>
      </c>
      <c r="B893" s="14" t="s">
        <v>13</v>
      </c>
      <c r="C893" s="15" t="s">
        <v>9</v>
      </c>
      <c r="D893" s="16"/>
      <c r="E893" s="16"/>
      <c r="F893" s="17"/>
    </row>
    <row r="894" spans="1:6" x14ac:dyDescent="0.25">
      <c r="A894" s="13">
        <v>46118</v>
      </c>
      <c r="B894" s="14" t="s">
        <v>14</v>
      </c>
      <c r="C894" s="15" t="s">
        <v>23</v>
      </c>
      <c r="D894" s="16">
        <v>180</v>
      </c>
      <c r="E894" s="16"/>
      <c r="F894" s="17">
        <v>0</v>
      </c>
    </row>
    <row r="895" spans="1:6" ht="15.75" thickBot="1" x14ac:dyDescent="0.3"/>
    <row r="896" spans="1:6" ht="15.75" thickBot="1" x14ac:dyDescent="0.3">
      <c r="A896" s="1" t="s">
        <v>0</v>
      </c>
      <c r="B896" s="2"/>
      <c r="C896" s="33" t="s">
        <v>42</v>
      </c>
      <c r="D896" s="34"/>
      <c r="E896" s="34"/>
      <c r="F896" s="35"/>
    </row>
    <row r="897" spans="1:6" x14ac:dyDescent="0.25">
      <c r="A897" s="6"/>
      <c r="B897" s="6"/>
      <c r="C897" s="7"/>
      <c r="D897" s="8"/>
      <c r="E897" s="8"/>
      <c r="F897" s="8"/>
    </row>
    <row r="898" spans="1:6" ht="25.5" x14ac:dyDescent="0.25">
      <c r="A898" s="9" t="s">
        <v>2</v>
      </c>
      <c r="B898" s="10" t="s">
        <v>3</v>
      </c>
      <c r="C898" s="10" t="s">
        <v>4</v>
      </c>
      <c r="D898" s="11" t="s">
        <v>5</v>
      </c>
      <c r="E898" s="11" t="s">
        <v>6</v>
      </c>
      <c r="F898" s="12" t="s">
        <v>7</v>
      </c>
    </row>
    <row r="899" spans="1:6" x14ac:dyDescent="0.25">
      <c r="A899" s="13">
        <v>46064</v>
      </c>
      <c r="B899" s="14" t="s">
        <v>16</v>
      </c>
      <c r="C899" s="18" t="s">
        <v>23</v>
      </c>
      <c r="D899" s="19">
        <v>120</v>
      </c>
      <c r="E899" s="19">
        <v>13</v>
      </c>
      <c r="F899" s="20">
        <v>10</v>
      </c>
    </row>
    <row r="900" spans="1:6" x14ac:dyDescent="0.25">
      <c r="A900" s="13">
        <v>46065</v>
      </c>
      <c r="B900" s="14" t="s">
        <v>8</v>
      </c>
      <c r="C900" s="18" t="s">
        <v>23</v>
      </c>
      <c r="D900" s="19">
        <v>120</v>
      </c>
      <c r="E900" s="19">
        <v>13</v>
      </c>
      <c r="F900" s="20">
        <v>10</v>
      </c>
    </row>
    <row r="901" spans="1:6" x14ac:dyDescent="0.25">
      <c r="A901" s="13">
        <v>46066</v>
      </c>
      <c r="B901" s="14" t="s">
        <v>10</v>
      </c>
      <c r="C901" s="18" t="s">
        <v>23</v>
      </c>
      <c r="D901" s="19">
        <v>120</v>
      </c>
      <c r="E901" s="19">
        <v>13</v>
      </c>
      <c r="F901" s="20">
        <v>10</v>
      </c>
    </row>
    <row r="902" spans="1:6" x14ac:dyDescent="0.25">
      <c r="A902" s="13">
        <v>46067</v>
      </c>
      <c r="B902" s="14" t="s">
        <v>12</v>
      </c>
      <c r="C902" s="18"/>
      <c r="D902" s="19"/>
      <c r="E902" s="19"/>
      <c r="F902" s="20"/>
    </row>
    <row r="903" spans="1:6" x14ac:dyDescent="0.25">
      <c r="A903" s="13">
        <v>46068</v>
      </c>
      <c r="B903" s="14" t="s">
        <v>13</v>
      </c>
      <c r="C903" s="18"/>
      <c r="D903" s="19"/>
      <c r="E903" s="19"/>
      <c r="F903" s="20"/>
    </row>
    <row r="904" spans="1:6" x14ac:dyDescent="0.25">
      <c r="A904" s="13">
        <v>46069</v>
      </c>
      <c r="B904" s="14" t="s">
        <v>14</v>
      </c>
      <c r="C904" s="18" t="s">
        <v>23</v>
      </c>
      <c r="D904" s="19">
        <v>120</v>
      </c>
      <c r="E904" s="19">
        <v>13</v>
      </c>
      <c r="F904" s="20">
        <v>10</v>
      </c>
    </row>
    <row r="905" spans="1:6" x14ac:dyDescent="0.25">
      <c r="A905" s="13">
        <v>46070</v>
      </c>
      <c r="B905" s="14" t="s">
        <v>15</v>
      </c>
      <c r="C905" s="18" t="s">
        <v>23</v>
      </c>
      <c r="D905" s="19">
        <v>120</v>
      </c>
      <c r="E905" s="19">
        <v>13</v>
      </c>
      <c r="F905" s="20">
        <v>10</v>
      </c>
    </row>
    <row r="906" spans="1:6" x14ac:dyDescent="0.25">
      <c r="A906" s="13">
        <v>46071</v>
      </c>
      <c r="B906" s="14" t="s">
        <v>16</v>
      </c>
      <c r="C906" s="18" t="s">
        <v>19</v>
      </c>
      <c r="D906" s="19">
        <v>0</v>
      </c>
      <c r="E906" s="19">
        <v>0</v>
      </c>
      <c r="F906" s="20">
        <v>0</v>
      </c>
    </row>
    <row r="907" spans="1:6" x14ac:dyDescent="0.25">
      <c r="A907" s="13">
        <v>46072</v>
      </c>
      <c r="B907" s="14" t="s">
        <v>8</v>
      </c>
      <c r="C907" s="18" t="s">
        <v>23</v>
      </c>
      <c r="D907" s="19">
        <v>120</v>
      </c>
      <c r="E907" s="19">
        <v>13</v>
      </c>
      <c r="F907" s="20">
        <v>10</v>
      </c>
    </row>
    <row r="908" spans="1:6" x14ac:dyDescent="0.25">
      <c r="A908" s="13">
        <v>46073</v>
      </c>
      <c r="B908" s="14" t="s">
        <v>10</v>
      </c>
      <c r="C908" s="18" t="s">
        <v>23</v>
      </c>
      <c r="D908" s="19">
        <v>120</v>
      </c>
      <c r="E908" s="19">
        <v>13</v>
      </c>
      <c r="F908" s="20">
        <v>10</v>
      </c>
    </row>
    <row r="909" spans="1:6" x14ac:dyDescent="0.25">
      <c r="A909" s="13">
        <v>46074</v>
      </c>
      <c r="B909" s="14" t="s">
        <v>12</v>
      </c>
      <c r="C909" s="15"/>
      <c r="D909" s="16"/>
      <c r="E909" s="16"/>
      <c r="F909" s="17"/>
    </row>
    <row r="910" spans="1:6" x14ac:dyDescent="0.25">
      <c r="A910" s="13">
        <v>46075</v>
      </c>
      <c r="B910" s="14" t="s">
        <v>13</v>
      </c>
      <c r="C910" s="15"/>
      <c r="D910" s="16"/>
      <c r="E910" s="16"/>
      <c r="F910" s="17"/>
    </row>
    <row r="911" spans="1:6" x14ac:dyDescent="0.25">
      <c r="A911" s="13">
        <v>46076</v>
      </c>
      <c r="B911" s="14" t="s">
        <v>14</v>
      </c>
      <c r="C911" s="18" t="s">
        <v>23</v>
      </c>
      <c r="D911" s="19">
        <v>120</v>
      </c>
      <c r="E911" s="19">
        <v>0</v>
      </c>
      <c r="F911" s="20">
        <v>10</v>
      </c>
    </row>
    <row r="912" spans="1:6" x14ac:dyDescent="0.25">
      <c r="A912" s="13">
        <v>46077</v>
      </c>
      <c r="B912" s="14" t="s">
        <v>15</v>
      </c>
      <c r="C912" s="18" t="s">
        <v>23</v>
      </c>
      <c r="D912" s="19">
        <v>120</v>
      </c>
      <c r="E912" s="19">
        <v>0</v>
      </c>
      <c r="F912" s="20">
        <v>10</v>
      </c>
    </row>
    <row r="913" spans="1:6" x14ac:dyDescent="0.25">
      <c r="A913" s="13">
        <v>46078</v>
      </c>
      <c r="B913" s="14" t="s">
        <v>16</v>
      </c>
      <c r="C913" s="18" t="s">
        <v>23</v>
      </c>
      <c r="D913" s="19">
        <v>120</v>
      </c>
      <c r="E913" s="19">
        <v>0</v>
      </c>
      <c r="F913" s="20">
        <v>10</v>
      </c>
    </row>
    <row r="914" spans="1:6" x14ac:dyDescent="0.25">
      <c r="A914" s="13">
        <v>46079</v>
      </c>
      <c r="B914" s="14" t="s">
        <v>8</v>
      </c>
      <c r="C914" s="18" t="s">
        <v>23</v>
      </c>
      <c r="D914" s="19">
        <v>120</v>
      </c>
      <c r="E914" s="19">
        <v>0</v>
      </c>
      <c r="F914" s="20">
        <v>10</v>
      </c>
    </row>
    <row r="915" spans="1:6" x14ac:dyDescent="0.25">
      <c r="A915" s="13">
        <v>46080</v>
      </c>
      <c r="B915" s="14" t="s">
        <v>10</v>
      </c>
      <c r="C915" s="18" t="s">
        <v>23</v>
      </c>
      <c r="D915" s="19">
        <v>120</v>
      </c>
      <c r="E915" s="19">
        <v>0</v>
      </c>
      <c r="F915" s="20">
        <v>10</v>
      </c>
    </row>
    <row r="916" spans="1:6" x14ac:dyDescent="0.25">
      <c r="A916" s="13">
        <v>46081</v>
      </c>
      <c r="B916" s="14" t="s">
        <v>12</v>
      </c>
      <c r="C916" s="18"/>
      <c r="D916" s="19"/>
      <c r="E916" s="16"/>
      <c r="F916" s="17"/>
    </row>
    <row r="917" spans="1:6" x14ac:dyDescent="0.25">
      <c r="A917" s="13">
        <v>46082</v>
      </c>
      <c r="B917" s="14" t="s">
        <v>13</v>
      </c>
      <c r="C917" s="18" t="s">
        <v>11</v>
      </c>
      <c r="D917" s="19">
        <v>120</v>
      </c>
      <c r="E917" s="19">
        <v>13</v>
      </c>
      <c r="F917" s="20">
        <v>0</v>
      </c>
    </row>
    <row r="918" spans="1:6" x14ac:dyDescent="0.25">
      <c r="A918" s="13">
        <v>46083</v>
      </c>
      <c r="B918" s="14" t="s">
        <v>14</v>
      </c>
      <c r="C918" s="18" t="s">
        <v>23</v>
      </c>
      <c r="D918" s="19">
        <v>120</v>
      </c>
      <c r="E918" s="19">
        <v>0</v>
      </c>
      <c r="F918" s="20"/>
    </row>
    <row r="919" spans="1:6" x14ac:dyDescent="0.25">
      <c r="A919" s="13">
        <v>46084</v>
      </c>
      <c r="B919" s="14" t="s">
        <v>15</v>
      </c>
      <c r="C919" s="18" t="s">
        <v>23</v>
      </c>
      <c r="D919" s="19">
        <v>120</v>
      </c>
      <c r="E919" s="19">
        <v>0</v>
      </c>
      <c r="F919" s="20">
        <v>10</v>
      </c>
    </row>
    <row r="920" spans="1:6" x14ac:dyDescent="0.25">
      <c r="A920" s="13">
        <v>46085</v>
      </c>
      <c r="B920" s="14" t="s">
        <v>16</v>
      </c>
      <c r="C920" s="18" t="s">
        <v>23</v>
      </c>
      <c r="D920" s="19">
        <v>120</v>
      </c>
      <c r="E920" s="19">
        <v>0</v>
      </c>
      <c r="F920" s="20">
        <v>10</v>
      </c>
    </row>
    <row r="921" spans="1:6" x14ac:dyDescent="0.25">
      <c r="A921" s="13">
        <v>46086</v>
      </c>
      <c r="B921" s="14" t="s">
        <v>8</v>
      </c>
      <c r="C921" s="18" t="s">
        <v>23</v>
      </c>
      <c r="D921" s="19">
        <v>120</v>
      </c>
      <c r="E921" s="19">
        <v>0</v>
      </c>
      <c r="F921" s="20">
        <v>10</v>
      </c>
    </row>
    <row r="922" spans="1:6" x14ac:dyDescent="0.25">
      <c r="A922" s="13">
        <v>46087</v>
      </c>
      <c r="B922" s="14" t="s">
        <v>10</v>
      </c>
      <c r="C922" s="18" t="s">
        <v>23</v>
      </c>
      <c r="D922" s="19">
        <v>120</v>
      </c>
      <c r="E922" s="19">
        <v>0</v>
      </c>
      <c r="F922" s="20">
        <v>10</v>
      </c>
    </row>
    <row r="923" spans="1:6" x14ac:dyDescent="0.25">
      <c r="A923" s="13">
        <v>46088</v>
      </c>
      <c r="B923" s="14" t="s">
        <v>12</v>
      </c>
      <c r="C923" s="18"/>
      <c r="D923" s="19"/>
      <c r="E923" s="19"/>
      <c r="F923" s="20"/>
    </row>
    <row r="924" spans="1:6" x14ac:dyDescent="0.25">
      <c r="A924" s="13">
        <v>46089</v>
      </c>
      <c r="B924" s="14" t="s">
        <v>13</v>
      </c>
      <c r="C924" s="18"/>
      <c r="D924" s="19"/>
      <c r="E924" s="19"/>
      <c r="F924" s="20"/>
    </row>
    <row r="925" spans="1:6" x14ac:dyDescent="0.25">
      <c r="A925" s="13">
        <v>46090</v>
      </c>
      <c r="B925" s="14" t="s">
        <v>14</v>
      </c>
      <c r="C925" s="18" t="s">
        <v>23</v>
      </c>
      <c r="D925" s="19">
        <v>120</v>
      </c>
      <c r="E925" s="19">
        <v>0</v>
      </c>
      <c r="F925" s="20">
        <v>10</v>
      </c>
    </row>
    <row r="926" spans="1:6" x14ac:dyDescent="0.25">
      <c r="A926" s="13">
        <v>46091</v>
      </c>
      <c r="B926" s="14" t="s">
        <v>15</v>
      </c>
      <c r="C926" s="18" t="s">
        <v>23</v>
      </c>
      <c r="D926" s="19">
        <v>120</v>
      </c>
      <c r="E926" s="19">
        <v>0</v>
      </c>
      <c r="F926" s="20">
        <v>10</v>
      </c>
    </row>
    <row r="927" spans="1:6" x14ac:dyDescent="0.25">
      <c r="A927" s="13">
        <v>46092</v>
      </c>
      <c r="B927" s="14" t="s">
        <v>16</v>
      </c>
      <c r="C927" s="18" t="s">
        <v>23</v>
      </c>
      <c r="D927" s="19">
        <v>120</v>
      </c>
      <c r="E927" s="19">
        <v>0</v>
      </c>
      <c r="F927" s="20">
        <v>10</v>
      </c>
    </row>
    <row r="928" spans="1:6" x14ac:dyDescent="0.25">
      <c r="A928" s="13">
        <v>46093</v>
      </c>
      <c r="B928" s="14" t="s">
        <v>8</v>
      </c>
      <c r="C928" s="18" t="s">
        <v>11</v>
      </c>
      <c r="D928" s="19">
        <v>120</v>
      </c>
      <c r="E928" s="19">
        <v>0</v>
      </c>
      <c r="F928" s="20">
        <v>10</v>
      </c>
    </row>
    <row r="929" spans="1:6" x14ac:dyDescent="0.25">
      <c r="A929" s="13">
        <v>46094</v>
      </c>
      <c r="B929" s="14" t="s">
        <v>10</v>
      </c>
      <c r="C929" s="18" t="s">
        <v>32</v>
      </c>
      <c r="D929" s="19">
        <v>120</v>
      </c>
      <c r="E929" s="19">
        <v>0</v>
      </c>
      <c r="F929" s="20">
        <v>10</v>
      </c>
    </row>
    <row r="930" spans="1:6" x14ac:dyDescent="0.25">
      <c r="A930" s="13">
        <v>46095</v>
      </c>
      <c r="B930" s="14" t="s">
        <v>12</v>
      </c>
      <c r="C930" s="18"/>
      <c r="D930" s="19"/>
      <c r="E930" s="16"/>
      <c r="F930" s="17"/>
    </row>
    <row r="931" spans="1:6" x14ac:dyDescent="0.25">
      <c r="A931" s="13">
        <v>46096</v>
      </c>
      <c r="B931" s="14" t="s">
        <v>13</v>
      </c>
      <c r="C931" s="18"/>
      <c r="D931" s="19"/>
      <c r="E931" s="16"/>
      <c r="F931" s="17"/>
    </row>
    <row r="932" spans="1:6" x14ac:dyDescent="0.25">
      <c r="A932" s="13">
        <v>46097</v>
      </c>
      <c r="B932" s="14" t="s">
        <v>14</v>
      </c>
      <c r="C932" s="18" t="s">
        <v>23</v>
      </c>
      <c r="D932" s="19">
        <v>120</v>
      </c>
      <c r="E932" s="19">
        <v>0</v>
      </c>
      <c r="F932" s="20">
        <v>10</v>
      </c>
    </row>
    <row r="933" spans="1:6" x14ac:dyDescent="0.25">
      <c r="A933" s="13">
        <v>46098</v>
      </c>
      <c r="B933" s="14" t="s">
        <v>15</v>
      </c>
      <c r="C933" s="18" t="s">
        <v>23</v>
      </c>
      <c r="D933" s="19">
        <v>120</v>
      </c>
      <c r="E933" s="19">
        <v>0</v>
      </c>
      <c r="F933" s="20">
        <v>10</v>
      </c>
    </row>
    <row r="934" spans="1:6" x14ac:dyDescent="0.25">
      <c r="A934" s="13">
        <v>46099</v>
      </c>
      <c r="B934" s="14" t="s">
        <v>16</v>
      </c>
      <c r="C934" s="18" t="s">
        <v>23</v>
      </c>
      <c r="D934" s="19">
        <v>120</v>
      </c>
      <c r="E934" s="19">
        <v>0</v>
      </c>
      <c r="F934" s="20">
        <v>10</v>
      </c>
    </row>
    <row r="935" spans="1:6" x14ac:dyDescent="0.25">
      <c r="A935" s="13">
        <v>46100</v>
      </c>
      <c r="B935" s="14" t="s">
        <v>8</v>
      </c>
      <c r="C935" s="18" t="s">
        <v>23</v>
      </c>
      <c r="D935" s="19">
        <v>120</v>
      </c>
      <c r="E935" s="19">
        <v>0</v>
      </c>
      <c r="F935" s="20">
        <v>10</v>
      </c>
    </row>
    <row r="936" spans="1:6" x14ac:dyDescent="0.25">
      <c r="A936" s="13">
        <v>46101</v>
      </c>
      <c r="B936" s="14" t="s">
        <v>10</v>
      </c>
      <c r="C936" s="18" t="s">
        <v>23</v>
      </c>
      <c r="D936" s="19">
        <v>120</v>
      </c>
      <c r="E936" s="19">
        <v>0</v>
      </c>
      <c r="F936" s="20">
        <v>10</v>
      </c>
    </row>
    <row r="937" spans="1:6" x14ac:dyDescent="0.25">
      <c r="A937" s="13">
        <v>46102</v>
      </c>
      <c r="B937" s="14" t="s">
        <v>12</v>
      </c>
      <c r="C937" s="15"/>
      <c r="D937" s="16"/>
      <c r="E937" s="16"/>
      <c r="F937" s="17"/>
    </row>
    <row r="938" spans="1:6" x14ac:dyDescent="0.25">
      <c r="A938" s="13">
        <v>46103</v>
      </c>
      <c r="B938" s="14" t="s">
        <v>13</v>
      </c>
      <c r="C938" s="15"/>
      <c r="D938" s="16"/>
      <c r="E938" s="16"/>
      <c r="F938" s="17"/>
    </row>
    <row r="939" spans="1:6" x14ac:dyDescent="0.25">
      <c r="A939" s="13">
        <v>46104</v>
      </c>
      <c r="B939" s="14" t="s">
        <v>14</v>
      </c>
      <c r="C939" s="15" t="s">
        <v>23</v>
      </c>
      <c r="D939" s="16">
        <v>120</v>
      </c>
      <c r="E939" s="19">
        <v>0</v>
      </c>
      <c r="F939" s="20">
        <v>10</v>
      </c>
    </row>
    <row r="940" spans="1:6" x14ac:dyDescent="0.25">
      <c r="A940" s="13">
        <v>46105</v>
      </c>
      <c r="B940" s="14" t="s">
        <v>15</v>
      </c>
      <c r="C940" s="15" t="s">
        <v>25</v>
      </c>
      <c r="D940" s="16"/>
      <c r="E940" s="19">
        <v>0</v>
      </c>
      <c r="F940" s="20">
        <v>0</v>
      </c>
    </row>
    <row r="941" spans="1:6" x14ac:dyDescent="0.25">
      <c r="A941" s="13">
        <v>46106</v>
      </c>
      <c r="B941" s="14" t="s">
        <v>16</v>
      </c>
      <c r="C941" s="15" t="s">
        <v>23</v>
      </c>
      <c r="D941" s="16">
        <v>120</v>
      </c>
      <c r="E941" s="19">
        <v>0</v>
      </c>
      <c r="F941" s="20">
        <v>10</v>
      </c>
    </row>
    <row r="942" spans="1:6" x14ac:dyDescent="0.25">
      <c r="A942" s="13">
        <v>46107</v>
      </c>
      <c r="B942" s="14" t="s">
        <v>8</v>
      </c>
      <c r="C942" s="15" t="s">
        <v>23</v>
      </c>
      <c r="D942" s="16">
        <v>120</v>
      </c>
      <c r="E942" s="19">
        <v>0</v>
      </c>
      <c r="F942" s="20">
        <v>10</v>
      </c>
    </row>
    <row r="943" spans="1:6" x14ac:dyDescent="0.25">
      <c r="A943" s="13">
        <v>46108</v>
      </c>
      <c r="B943" s="14" t="s">
        <v>10</v>
      </c>
      <c r="C943" s="15" t="s">
        <v>23</v>
      </c>
      <c r="D943" s="16">
        <v>120</v>
      </c>
      <c r="E943" s="19">
        <v>0</v>
      </c>
      <c r="F943" s="20">
        <v>10</v>
      </c>
    </row>
    <row r="944" spans="1:6" x14ac:dyDescent="0.25">
      <c r="A944" s="13">
        <v>46109</v>
      </c>
      <c r="B944" s="14" t="s">
        <v>12</v>
      </c>
      <c r="C944" s="15"/>
      <c r="D944" s="16"/>
      <c r="E944" s="16"/>
      <c r="F944" s="17"/>
    </row>
    <row r="945" spans="1:6" x14ac:dyDescent="0.25">
      <c r="A945" s="13">
        <v>46110</v>
      </c>
      <c r="B945" s="14" t="s">
        <v>13</v>
      </c>
      <c r="C945" s="15"/>
      <c r="D945" s="16"/>
      <c r="E945" s="16"/>
      <c r="F945" s="17"/>
    </row>
    <row r="946" spans="1:6" x14ac:dyDescent="0.25">
      <c r="A946" s="13">
        <v>46111</v>
      </c>
      <c r="B946" s="14" t="s">
        <v>14</v>
      </c>
      <c r="C946" s="15" t="s">
        <v>34</v>
      </c>
      <c r="D946" s="16">
        <v>150</v>
      </c>
      <c r="E946" s="16"/>
      <c r="F946" s="17">
        <v>0</v>
      </c>
    </row>
    <row r="947" spans="1:6" x14ac:dyDescent="0.25">
      <c r="A947" s="13">
        <v>46112</v>
      </c>
      <c r="B947" s="14" t="s">
        <v>15</v>
      </c>
      <c r="C947" s="15" t="s">
        <v>34</v>
      </c>
      <c r="D947" s="16">
        <v>150</v>
      </c>
      <c r="E947" s="16"/>
      <c r="F947" s="17">
        <v>40</v>
      </c>
    </row>
    <row r="948" spans="1:6" x14ac:dyDescent="0.25">
      <c r="A948" s="13">
        <v>46113</v>
      </c>
      <c r="B948" s="14" t="s">
        <v>16</v>
      </c>
      <c r="C948" s="15" t="s">
        <v>34</v>
      </c>
      <c r="D948" s="16">
        <v>150</v>
      </c>
      <c r="E948" s="16"/>
      <c r="F948" s="17">
        <v>40</v>
      </c>
    </row>
    <row r="949" spans="1:6" x14ac:dyDescent="0.25">
      <c r="A949" s="13">
        <v>46114</v>
      </c>
      <c r="B949" s="14" t="s">
        <v>8</v>
      </c>
      <c r="C949" s="15" t="s">
        <v>34</v>
      </c>
      <c r="D949" s="16">
        <v>150</v>
      </c>
      <c r="E949" s="16"/>
      <c r="F949" s="17">
        <v>40</v>
      </c>
    </row>
    <row r="950" spans="1:6" x14ac:dyDescent="0.25">
      <c r="A950" s="13">
        <v>46115</v>
      </c>
      <c r="B950" s="14" t="s">
        <v>10</v>
      </c>
      <c r="C950" s="15" t="s">
        <v>9</v>
      </c>
      <c r="D950" s="16"/>
      <c r="E950" s="16"/>
      <c r="F950" s="17">
        <v>40</v>
      </c>
    </row>
    <row r="951" spans="1:6" x14ac:dyDescent="0.25">
      <c r="A951" s="13">
        <v>46116</v>
      </c>
      <c r="B951" s="14" t="s">
        <v>12</v>
      </c>
      <c r="C951" s="15"/>
      <c r="D951" s="16"/>
      <c r="E951" s="16"/>
      <c r="F951" s="17">
        <f>40+30</f>
        <v>70</v>
      </c>
    </row>
    <row r="952" spans="1:6" x14ac:dyDescent="0.25">
      <c r="A952" s="13">
        <v>46117</v>
      </c>
      <c r="B952" s="14" t="s">
        <v>13</v>
      </c>
      <c r="C952" s="15" t="s">
        <v>9</v>
      </c>
      <c r="D952" s="16"/>
      <c r="E952" s="16"/>
      <c r="F952" s="17">
        <f>40+30</f>
        <v>70</v>
      </c>
    </row>
    <row r="953" spans="1:6" x14ac:dyDescent="0.25">
      <c r="A953" s="13">
        <v>46118</v>
      </c>
      <c r="B953" s="14" t="s">
        <v>14</v>
      </c>
      <c r="C953" s="15" t="s">
        <v>34</v>
      </c>
      <c r="D953" s="16">
        <v>150</v>
      </c>
      <c r="E953" s="16"/>
      <c r="F953" s="17">
        <v>40</v>
      </c>
    </row>
    <row r="954" spans="1:6" ht="15.75" thickBot="1" x14ac:dyDescent="0.3"/>
    <row r="955" spans="1:6" ht="15.75" thickBot="1" x14ac:dyDescent="0.3">
      <c r="A955" s="1" t="s">
        <v>0</v>
      </c>
      <c r="B955" s="2"/>
      <c r="C955" s="33" t="s">
        <v>43</v>
      </c>
      <c r="D955" s="34"/>
      <c r="E955" s="34"/>
      <c r="F955" s="35"/>
    </row>
    <row r="956" spans="1:6" x14ac:dyDescent="0.25">
      <c r="A956" s="6"/>
      <c r="B956" s="6"/>
      <c r="C956" s="7"/>
      <c r="D956" s="8"/>
      <c r="E956" s="8"/>
      <c r="F956" s="8"/>
    </row>
    <row r="957" spans="1:6" ht="25.5" x14ac:dyDescent="0.25">
      <c r="A957" s="9" t="s">
        <v>2</v>
      </c>
      <c r="B957" s="10" t="s">
        <v>3</v>
      </c>
      <c r="C957" s="10" t="s">
        <v>4</v>
      </c>
      <c r="D957" s="11" t="s">
        <v>5</v>
      </c>
      <c r="E957" s="11" t="s">
        <v>6</v>
      </c>
      <c r="F957" s="12" t="s">
        <v>7</v>
      </c>
    </row>
    <row r="958" spans="1:6" x14ac:dyDescent="0.25">
      <c r="A958" s="13">
        <v>46063</v>
      </c>
      <c r="B958" s="14" t="s">
        <v>15</v>
      </c>
      <c r="C958" s="18" t="s">
        <v>11</v>
      </c>
      <c r="D958" s="19">
        <v>200</v>
      </c>
      <c r="E958" s="19">
        <v>13</v>
      </c>
      <c r="F958" s="20">
        <v>0</v>
      </c>
    </row>
    <row r="959" spans="1:6" x14ac:dyDescent="0.25">
      <c r="A959" s="13">
        <v>46064</v>
      </c>
      <c r="B959" s="14" t="s">
        <v>16</v>
      </c>
      <c r="C959" s="18" t="s">
        <v>23</v>
      </c>
      <c r="D959" s="19">
        <v>200</v>
      </c>
      <c r="E959" s="19">
        <v>13</v>
      </c>
      <c r="F959" s="20">
        <v>10</v>
      </c>
    </row>
    <row r="960" spans="1:6" x14ac:dyDescent="0.25">
      <c r="A960" s="13">
        <v>46065</v>
      </c>
      <c r="B960" s="14" t="s">
        <v>8</v>
      </c>
      <c r="C960" s="18" t="s">
        <v>23</v>
      </c>
      <c r="D960" s="19">
        <v>200</v>
      </c>
      <c r="E960" s="19">
        <v>13</v>
      </c>
      <c r="F960" s="20">
        <v>10</v>
      </c>
    </row>
    <row r="961" spans="1:6" x14ac:dyDescent="0.25">
      <c r="A961" s="13">
        <v>46066</v>
      </c>
      <c r="B961" s="14" t="s">
        <v>10</v>
      </c>
      <c r="C961" s="18" t="s">
        <v>23</v>
      </c>
      <c r="D961" s="19">
        <v>200</v>
      </c>
      <c r="E961" s="19">
        <v>13</v>
      </c>
      <c r="F961" s="20">
        <v>10</v>
      </c>
    </row>
    <row r="962" spans="1:6" x14ac:dyDescent="0.25">
      <c r="A962" s="13">
        <v>46067</v>
      </c>
      <c r="B962" s="14" t="s">
        <v>12</v>
      </c>
      <c r="C962" s="18"/>
      <c r="D962" s="19"/>
      <c r="E962" s="19"/>
      <c r="F962" s="20"/>
    </row>
    <row r="963" spans="1:6" x14ac:dyDescent="0.25">
      <c r="A963" s="13">
        <v>46068</v>
      </c>
      <c r="B963" s="14" t="s">
        <v>13</v>
      </c>
      <c r="C963" s="18"/>
      <c r="D963" s="19"/>
      <c r="E963" s="19"/>
      <c r="F963" s="20"/>
    </row>
    <row r="964" spans="1:6" x14ac:dyDescent="0.25">
      <c r="A964" s="13">
        <v>46069</v>
      </c>
      <c r="B964" s="14" t="s">
        <v>14</v>
      </c>
      <c r="C964" s="18" t="s">
        <v>11</v>
      </c>
      <c r="D964" s="19">
        <v>200</v>
      </c>
      <c r="E964" s="19">
        <v>13</v>
      </c>
      <c r="F964" s="20">
        <v>0</v>
      </c>
    </row>
    <row r="965" spans="1:6" x14ac:dyDescent="0.25">
      <c r="A965" s="13">
        <v>46070</v>
      </c>
      <c r="B965" s="14" t="s">
        <v>15</v>
      </c>
      <c r="C965" s="18" t="s">
        <v>11</v>
      </c>
      <c r="D965" s="19">
        <v>200</v>
      </c>
      <c r="E965" s="19">
        <v>13</v>
      </c>
      <c r="F965" s="20">
        <v>0</v>
      </c>
    </row>
    <row r="966" spans="1:6" x14ac:dyDescent="0.25">
      <c r="A966" s="13">
        <v>46071</v>
      </c>
      <c r="B966" s="14" t="s">
        <v>16</v>
      </c>
      <c r="C966" s="18" t="s">
        <v>23</v>
      </c>
      <c r="D966" s="19">
        <v>200</v>
      </c>
      <c r="E966" s="19">
        <v>13</v>
      </c>
      <c r="F966" s="20">
        <v>10</v>
      </c>
    </row>
    <row r="967" spans="1:6" x14ac:dyDescent="0.25">
      <c r="A967" s="13">
        <v>46072</v>
      </c>
      <c r="B967" s="14" t="s">
        <v>8</v>
      </c>
      <c r="C967" s="18" t="s">
        <v>23</v>
      </c>
      <c r="D967" s="19">
        <v>200</v>
      </c>
      <c r="E967" s="19">
        <v>13</v>
      </c>
      <c r="F967" s="20">
        <v>10</v>
      </c>
    </row>
    <row r="968" spans="1:6" x14ac:dyDescent="0.25">
      <c r="A968" s="13">
        <v>46073</v>
      </c>
      <c r="B968" s="14" t="s">
        <v>10</v>
      </c>
      <c r="C968" s="18" t="s">
        <v>23</v>
      </c>
      <c r="D968" s="19">
        <v>200</v>
      </c>
      <c r="E968" s="19">
        <v>13</v>
      </c>
      <c r="F968" s="20">
        <v>10</v>
      </c>
    </row>
    <row r="969" spans="1:6" x14ac:dyDescent="0.25">
      <c r="A969" s="13">
        <v>46074</v>
      </c>
      <c r="B969" s="14" t="s">
        <v>12</v>
      </c>
      <c r="C969" s="15"/>
      <c r="D969" s="16"/>
      <c r="E969" s="16"/>
      <c r="F969" s="17"/>
    </row>
    <row r="970" spans="1:6" x14ac:dyDescent="0.25">
      <c r="A970" s="13">
        <v>46075</v>
      </c>
      <c r="B970" s="14" t="s">
        <v>13</v>
      </c>
      <c r="C970" s="18" t="s">
        <v>11</v>
      </c>
      <c r="D970" s="19">
        <v>200</v>
      </c>
      <c r="E970" s="19">
        <v>13</v>
      </c>
      <c r="F970" s="17">
        <v>0</v>
      </c>
    </row>
    <row r="971" spans="1:6" x14ac:dyDescent="0.25">
      <c r="A971" s="13">
        <v>46076</v>
      </c>
      <c r="B971" s="14" t="s">
        <v>14</v>
      </c>
      <c r="C971" s="18" t="s">
        <v>23</v>
      </c>
      <c r="D971" s="19">
        <v>200</v>
      </c>
      <c r="E971" s="19">
        <v>13</v>
      </c>
      <c r="F971" s="20">
        <v>10</v>
      </c>
    </row>
    <row r="972" spans="1:6" x14ac:dyDescent="0.25">
      <c r="A972" s="13">
        <v>46077</v>
      </c>
      <c r="B972" s="14" t="s">
        <v>15</v>
      </c>
      <c r="C972" s="18" t="s">
        <v>23</v>
      </c>
      <c r="D972" s="19">
        <v>200</v>
      </c>
      <c r="E972" s="19">
        <v>13</v>
      </c>
      <c r="F972" s="20">
        <v>10</v>
      </c>
    </row>
    <row r="973" spans="1:6" x14ac:dyDescent="0.25">
      <c r="A973" s="13">
        <v>46078</v>
      </c>
      <c r="B973" s="14" t="s">
        <v>16</v>
      </c>
      <c r="C973" s="18" t="s">
        <v>23</v>
      </c>
      <c r="D973" s="19">
        <v>200</v>
      </c>
      <c r="E973" s="19">
        <v>13</v>
      </c>
      <c r="F973" s="20">
        <v>10</v>
      </c>
    </row>
    <row r="974" spans="1:6" x14ac:dyDescent="0.25">
      <c r="A974" s="13">
        <v>46079</v>
      </c>
      <c r="B974" s="14" t="s">
        <v>8</v>
      </c>
      <c r="C974" s="18" t="s">
        <v>23</v>
      </c>
      <c r="D974" s="19">
        <v>200</v>
      </c>
      <c r="E974" s="19">
        <v>13</v>
      </c>
      <c r="F974" s="20">
        <v>10</v>
      </c>
    </row>
    <row r="975" spans="1:6" x14ac:dyDescent="0.25">
      <c r="A975" s="13">
        <v>46080</v>
      </c>
      <c r="B975" s="14" t="s">
        <v>10</v>
      </c>
      <c r="C975" s="18" t="s">
        <v>23</v>
      </c>
      <c r="D975" s="19">
        <v>200</v>
      </c>
      <c r="E975" s="19">
        <v>13</v>
      </c>
      <c r="F975" s="20">
        <v>10</v>
      </c>
    </row>
    <row r="976" spans="1:6" x14ac:dyDescent="0.25">
      <c r="A976" s="13">
        <v>46081</v>
      </c>
      <c r="B976" s="14" t="s">
        <v>12</v>
      </c>
      <c r="C976" s="18" t="s">
        <v>11</v>
      </c>
      <c r="D976" s="19">
        <v>200</v>
      </c>
      <c r="E976" s="19">
        <v>13</v>
      </c>
      <c r="F976" s="17"/>
    </row>
    <row r="977" spans="1:6" x14ac:dyDescent="0.25">
      <c r="A977" s="13">
        <v>46082</v>
      </c>
      <c r="B977" s="14" t="s">
        <v>13</v>
      </c>
      <c r="C977" s="18" t="s">
        <v>11</v>
      </c>
      <c r="D977" s="19">
        <v>200</v>
      </c>
      <c r="E977" s="19">
        <v>13</v>
      </c>
      <c r="F977" s="17"/>
    </row>
    <row r="978" spans="1:6" x14ac:dyDescent="0.25">
      <c r="A978" s="13">
        <v>46083</v>
      </c>
      <c r="B978" s="14" t="s">
        <v>14</v>
      </c>
      <c r="C978" s="18" t="s">
        <v>23</v>
      </c>
      <c r="D978" s="19">
        <v>200</v>
      </c>
      <c r="E978" s="19">
        <v>13</v>
      </c>
      <c r="F978" s="17"/>
    </row>
    <row r="979" spans="1:6" x14ac:dyDescent="0.25">
      <c r="A979" s="13">
        <v>46084</v>
      </c>
      <c r="B979" s="14" t="s">
        <v>15</v>
      </c>
      <c r="C979" s="18" t="s">
        <v>23</v>
      </c>
      <c r="D979" s="19">
        <v>200</v>
      </c>
      <c r="E979" s="19">
        <v>13</v>
      </c>
      <c r="F979" s="20">
        <v>10</v>
      </c>
    </row>
    <row r="980" spans="1:6" x14ac:dyDescent="0.25">
      <c r="A980" s="13">
        <v>46085</v>
      </c>
      <c r="B980" s="14" t="s">
        <v>16</v>
      </c>
      <c r="C980" s="18" t="s">
        <v>23</v>
      </c>
      <c r="D980" s="19">
        <v>200</v>
      </c>
      <c r="E980" s="19">
        <v>13</v>
      </c>
      <c r="F980" s="20">
        <v>10</v>
      </c>
    </row>
    <row r="981" spans="1:6" x14ac:dyDescent="0.25">
      <c r="A981" s="13">
        <v>46086</v>
      </c>
      <c r="B981" s="14" t="s">
        <v>8</v>
      </c>
      <c r="C981" s="18" t="s">
        <v>23</v>
      </c>
      <c r="D981" s="19">
        <v>200</v>
      </c>
      <c r="E981" s="19">
        <v>13</v>
      </c>
      <c r="F981" s="20">
        <v>10</v>
      </c>
    </row>
    <row r="982" spans="1:6" x14ac:dyDescent="0.25">
      <c r="A982" s="13">
        <v>46087</v>
      </c>
      <c r="B982" s="14" t="s">
        <v>10</v>
      </c>
      <c r="C982" s="18" t="s">
        <v>23</v>
      </c>
      <c r="D982" s="19">
        <v>200</v>
      </c>
      <c r="E982" s="19">
        <v>13</v>
      </c>
      <c r="F982" s="20">
        <v>10</v>
      </c>
    </row>
    <row r="983" spans="1:6" x14ac:dyDescent="0.25">
      <c r="A983" s="13">
        <v>46087</v>
      </c>
      <c r="B983" s="14" t="s">
        <v>10</v>
      </c>
      <c r="C983" s="18" t="s">
        <v>32</v>
      </c>
      <c r="D983" s="19">
        <v>200</v>
      </c>
      <c r="E983" s="19"/>
      <c r="F983" s="20"/>
    </row>
    <row r="984" spans="1:6" x14ac:dyDescent="0.25">
      <c r="A984" s="13">
        <v>46088</v>
      </c>
      <c r="B984" s="14" t="s">
        <v>12</v>
      </c>
      <c r="C984" s="18"/>
      <c r="D984" s="19"/>
      <c r="E984" s="16"/>
      <c r="F984" s="17"/>
    </row>
    <row r="985" spans="1:6" x14ac:dyDescent="0.25">
      <c r="A985" s="13">
        <v>46089</v>
      </c>
      <c r="B985" s="14" t="s">
        <v>13</v>
      </c>
      <c r="C985" s="18"/>
      <c r="D985" s="19"/>
      <c r="E985" s="16"/>
      <c r="F985" s="17"/>
    </row>
    <row r="986" spans="1:6" x14ac:dyDescent="0.25">
      <c r="A986" s="13">
        <v>46090</v>
      </c>
      <c r="B986" s="14" t="s">
        <v>14</v>
      </c>
      <c r="C986" s="18" t="s">
        <v>23</v>
      </c>
      <c r="D986" s="19">
        <v>200</v>
      </c>
      <c r="E986" s="19">
        <v>13</v>
      </c>
      <c r="F986" s="20">
        <v>10</v>
      </c>
    </row>
    <row r="987" spans="1:6" x14ac:dyDescent="0.25">
      <c r="A987" s="13">
        <v>46091</v>
      </c>
      <c r="B987" s="14" t="s">
        <v>15</v>
      </c>
      <c r="C987" s="18" t="s">
        <v>23</v>
      </c>
      <c r="D987" s="19">
        <v>200</v>
      </c>
      <c r="E987" s="19"/>
      <c r="F987" s="20"/>
    </row>
    <row r="988" spans="1:6" x14ac:dyDescent="0.25">
      <c r="A988" s="13">
        <v>46091</v>
      </c>
      <c r="B988" s="14" t="s">
        <v>15</v>
      </c>
      <c r="C988" s="18" t="s">
        <v>32</v>
      </c>
      <c r="D988" s="19">
        <v>200</v>
      </c>
      <c r="E988" s="19">
        <v>13</v>
      </c>
      <c r="F988" s="20">
        <v>10</v>
      </c>
    </row>
    <row r="989" spans="1:6" x14ac:dyDescent="0.25">
      <c r="A989" s="13">
        <v>46092</v>
      </c>
      <c r="B989" s="14" t="s">
        <v>16</v>
      </c>
      <c r="C989" s="18" t="s">
        <v>23</v>
      </c>
      <c r="D989" s="19">
        <v>200</v>
      </c>
      <c r="E989" s="19"/>
      <c r="F989" s="20"/>
    </row>
    <row r="990" spans="1:6" x14ac:dyDescent="0.25">
      <c r="A990" s="13">
        <v>46092</v>
      </c>
      <c r="B990" s="14" t="s">
        <v>16</v>
      </c>
      <c r="C990" s="18" t="s">
        <v>32</v>
      </c>
      <c r="D990" s="19">
        <v>200</v>
      </c>
      <c r="E990" s="19">
        <v>13</v>
      </c>
      <c r="F990" s="20">
        <v>10</v>
      </c>
    </row>
    <row r="991" spans="1:6" x14ac:dyDescent="0.25">
      <c r="A991" s="13">
        <v>46093</v>
      </c>
      <c r="B991" s="14" t="s">
        <v>8</v>
      </c>
      <c r="C991" s="18" t="s">
        <v>32</v>
      </c>
      <c r="D991" s="19">
        <v>200</v>
      </c>
      <c r="E991" s="19">
        <v>13</v>
      </c>
      <c r="F991" s="20">
        <v>10</v>
      </c>
    </row>
    <row r="992" spans="1:6" x14ac:dyDescent="0.25">
      <c r="A992" s="13">
        <v>46094</v>
      </c>
      <c r="B992" s="14" t="s">
        <v>10</v>
      </c>
      <c r="C992" s="18" t="s">
        <v>11</v>
      </c>
      <c r="D992" s="19">
        <v>200</v>
      </c>
      <c r="E992" s="19">
        <v>13</v>
      </c>
      <c r="F992" s="20">
        <v>10</v>
      </c>
    </row>
    <row r="993" spans="1:6" x14ac:dyDescent="0.25">
      <c r="A993" s="13">
        <v>46095</v>
      </c>
      <c r="B993" s="14" t="s">
        <v>12</v>
      </c>
      <c r="C993" s="18"/>
      <c r="D993" s="19"/>
      <c r="E993" s="16"/>
      <c r="F993" s="17"/>
    </row>
    <row r="994" spans="1:6" x14ac:dyDescent="0.25">
      <c r="A994" s="13">
        <v>46096</v>
      </c>
      <c r="B994" s="14" t="s">
        <v>13</v>
      </c>
      <c r="C994" s="18"/>
      <c r="D994" s="19"/>
      <c r="E994" s="16"/>
      <c r="F994" s="17"/>
    </row>
    <row r="995" spans="1:6" x14ac:dyDescent="0.25">
      <c r="A995" s="13">
        <v>46097</v>
      </c>
      <c r="B995" s="14" t="s">
        <v>14</v>
      </c>
      <c r="C995" s="18" t="s">
        <v>23</v>
      </c>
      <c r="D995" s="19">
        <v>200</v>
      </c>
      <c r="E995" s="19">
        <v>13</v>
      </c>
      <c r="F995" s="20">
        <v>10</v>
      </c>
    </row>
    <row r="996" spans="1:6" x14ac:dyDescent="0.25">
      <c r="A996" s="13">
        <v>46098</v>
      </c>
      <c r="B996" s="14" t="s">
        <v>15</v>
      </c>
      <c r="C996" s="18" t="s">
        <v>23</v>
      </c>
      <c r="D996" s="19">
        <v>200</v>
      </c>
      <c r="E996" s="19">
        <v>13</v>
      </c>
      <c r="F996" s="20">
        <v>10</v>
      </c>
    </row>
    <row r="997" spans="1:6" x14ac:dyDescent="0.25">
      <c r="A997" s="13">
        <v>46099</v>
      </c>
      <c r="B997" s="14" t="s">
        <v>16</v>
      </c>
      <c r="C997" s="18" t="s">
        <v>23</v>
      </c>
      <c r="D997" s="19">
        <v>200</v>
      </c>
      <c r="E997" s="19">
        <v>13</v>
      </c>
      <c r="F997" s="20">
        <v>10</v>
      </c>
    </row>
    <row r="998" spans="1:6" x14ac:dyDescent="0.25">
      <c r="A998" s="13">
        <v>46100</v>
      </c>
      <c r="B998" s="14" t="s">
        <v>8</v>
      </c>
      <c r="C998" s="18" t="s">
        <v>23</v>
      </c>
      <c r="D998" s="19">
        <v>200</v>
      </c>
      <c r="E998" s="19">
        <v>13</v>
      </c>
      <c r="F998" s="20">
        <v>10</v>
      </c>
    </row>
    <row r="999" spans="1:6" x14ac:dyDescent="0.25">
      <c r="A999" s="13">
        <v>46101</v>
      </c>
      <c r="B999" s="14" t="s">
        <v>10</v>
      </c>
      <c r="C999" s="18" t="s">
        <v>23</v>
      </c>
      <c r="D999" s="19">
        <v>200</v>
      </c>
      <c r="E999" s="19">
        <v>13</v>
      </c>
      <c r="F999" s="20">
        <v>10</v>
      </c>
    </row>
    <row r="1000" spans="1:6" x14ac:dyDescent="0.25">
      <c r="A1000" s="13">
        <v>46102</v>
      </c>
      <c r="B1000" s="14" t="s">
        <v>12</v>
      </c>
      <c r="C1000" s="15"/>
      <c r="D1000" s="16"/>
      <c r="E1000" s="16"/>
      <c r="F1000" s="17"/>
    </row>
    <row r="1001" spans="1:6" x14ac:dyDescent="0.25">
      <c r="A1001" s="13">
        <v>46103</v>
      </c>
      <c r="B1001" s="14" t="s">
        <v>13</v>
      </c>
      <c r="C1001" s="15"/>
      <c r="D1001" s="16"/>
      <c r="E1001" s="16"/>
      <c r="F1001" s="17"/>
    </row>
    <row r="1002" spans="1:6" x14ac:dyDescent="0.25">
      <c r="A1002" s="13">
        <v>46104</v>
      </c>
      <c r="B1002" s="14" t="s">
        <v>14</v>
      </c>
      <c r="C1002" s="15" t="s">
        <v>23</v>
      </c>
      <c r="D1002" s="16">
        <v>200</v>
      </c>
      <c r="E1002" s="19">
        <v>13</v>
      </c>
      <c r="F1002" s="20">
        <v>10</v>
      </c>
    </row>
    <row r="1003" spans="1:6" x14ac:dyDescent="0.25">
      <c r="A1003" s="13">
        <v>46105</v>
      </c>
      <c r="B1003" s="14" t="s">
        <v>15</v>
      </c>
      <c r="C1003" s="15" t="s">
        <v>25</v>
      </c>
      <c r="D1003" s="16"/>
      <c r="E1003" s="19">
        <v>0</v>
      </c>
      <c r="F1003" s="20"/>
    </row>
    <row r="1004" spans="1:6" x14ac:dyDescent="0.25">
      <c r="A1004" s="13">
        <v>46106</v>
      </c>
      <c r="B1004" s="14" t="s">
        <v>16</v>
      </c>
      <c r="C1004" s="15" t="s">
        <v>24</v>
      </c>
      <c r="D1004" s="16">
        <v>200</v>
      </c>
      <c r="E1004" s="19">
        <v>13</v>
      </c>
      <c r="F1004" s="20"/>
    </row>
    <row r="1005" spans="1:6" x14ac:dyDescent="0.25">
      <c r="A1005" s="13">
        <v>46107</v>
      </c>
      <c r="B1005" s="14" t="s">
        <v>8</v>
      </c>
      <c r="C1005" s="15" t="s">
        <v>24</v>
      </c>
      <c r="D1005" s="16">
        <v>200</v>
      </c>
      <c r="E1005" s="19">
        <v>13</v>
      </c>
      <c r="F1005" s="20"/>
    </row>
    <row r="1006" spans="1:6" x14ac:dyDescent="0.25">
      <c r="A1006" s="13">
        <v>46108</v>
      </c>
      <c r="B1006" s="14" t="s">
        <v>10</v>
      </c>
      <c r="C1006" s="15" t="s">
        <v>24</v>
      </c>
      <c r="D1006" s="16">
        <v>200</v>
      </c>
      <c r="E1006" s="19">
        <v>13</v>
      </c>
      <c r="F1006" s="20"/>
    </row>
    <row r="1007" spans="1:6" x14ac:dyDescent="0.25">
      <c r="A1007" s="13">
        <v>46109</v>
      </c>
      <c r="B1007" s="14" t="s">
        <v>12</v>
      </c>
      <c r="C1007" s="15"/>
      <c r="D1007" s="16"/>
      <c r="E1007" s="16"/>
      <c r="F1007" s="17"/>
    </row>
    <row r="1008" spans="1:6" x14ac:dyDescent="0.25">
      <c r="A1008" s="13">
        <v>46110</v>
      </c>
      <c r="B1008" s="14" t="s">
        <v>13</v>
      </c>
      <c r="C1008" s="15"/>
      <c r="D1008" s="16"/>
      <c r="E1008" s="16"/>
      <c r="F1008" s="17"/>
    </row>
    <row r="1009" spans="1:6" x14ac:dyDescent="0.25">
      <c r="A1009" s="13">
        <v>46111</v>
      </c>
      <c r="B1009" s="14" t="s">
        <v>14</v>
      </c>
      <c r="C1009" s="15" t="s">
        <v>34</v>
      </c>
      <c r="D1009" s="16">
        <v>250</v>
      </c>
      <c r="E1009" s="16"/>
      <c r="F1009" s="17">
        <v>0</v>
      </c>
    </row>
    <row r="1010" spans="1:6" x14ac:dyDescent="0.25">
      <c r="A1010" s="13">
        <v>46112</v>
      </c>
      <c r="B1010" s="14" t="s">
        <v>15</v>
      </c>
      <c r="C1010" s="15" t="s">
        <v>34</v>
      </c>
      <c r="D1010" s="16">
        <v>250</v>
      </c>
      <c r="E1010" s="16"/>
      <c r="F1010" s="17">
        <v>40</v>
      </c>
    </row>
    <row r="1011" spans="1:6" x14ac:dyDescent="0.25">
      <c r="A1011" s="13">
        <v>46113</v>
      </c>
      <c r="B1011" s="14" t="s">
        <v>16</v>
      </c>
      <c r="C1011" s="15" t="s">
        <v>34</v>
      </c>
      <c r="D1011" s="16">
        <v>250</v>
      </c>
      <c r="E1011" s="16"/>
      <c r="F1011" s="17">
        <v>40</v>
      </c>
    </row>
    <row r="1012" spans="1:6" x14ac:dyDescent="0.25">
      <c r="A1012" s="13">
        <v>46114</v>
      </c>
      <c r="B1012" s="14" t="s">
        <v>8</v>
      </c>
      <c r="C1012" s="15" t="s">
        <v>34</v>
      </c>
      <c r="D1012" s="16">
        <v>250</v>
      </c>
      <c r="E1012" s="16"/>
      <c r="F1012" s="17">
        <v>40</v>
      </c>
    </row>
    <row r="1013" spans="1:6" x14ac:dyDescent="0.25">
      <c r="A1013" s="13">
        <v>46115</v>
      </c>
      <c r="B1013" s="14" t="s">
        <v>10</v>
      </c>
      <c r="C1013" s="15" t="s">
        <v>9</v>
      </c>
      <c r="D1013" s="16"/>
      <c r="E1013" s="16"/>
      <c r="F1013" s="17">
        <v>40</v>
      </c>
    </row>
    <row r="1014" spans="1:6" x14ac:dyDescent="0.25">
      <c r="A1014" s="13">
        <v>46116</v>
      </c>
      <c r="B1014" s="14" t="s">
        <v>12</v>
      </c>
      <c r="C1014" s="15"/>
      <c r="D1014" s="16"/>
      <c r="E1014" s="16"/>
      <c r="F1014" s="17">
        <f>40+30</f>
        <v>70</v>
      </c>
    </row>
    <row r="1015" spans="1:6" x14ac:dyDescent="0.25">
      <c r="A1015" s="13">
        <v>46117</v>
      </c>
      <c r="B1015" s="14" t="s">
        <v>13</v>
      </c>
      <c r="C1015" s="15" t="s">
        <v>9</v>
      </c>
      <c r="D1015" s="16"/>
      <c r="E1015" s="16"/>
      <c r="F1015" s="17">
        <f>40+30</f>
        <v>70</v>
      </c>
    </row>
    <row r="1016" spans="1:6" x14ac:dyDescent="0.25">
      <c r="A1016" s="13">
        <v>46118</v>
      </c>
      <c r="B1016" s="14" t="s">
        <v>14</v>
      </c>
      <c r="C1016" s="15" t="s">
        <v>34</v>
      </c>
      <c r="D1016" s="16">
        <v>250</v>
      </c>
      <c r="E1016" s="16"/>
      <c r="F1016" s="17">
        <v>40</v>
      </c>
    </row>
    <row r="1017" spans="1:6" ht="15.75" thickBot="1" x14ac:dyDescent="0.3"/>
    <row r="1018" spans="1:6" ht="15.75" thickBot="1" x14ac:dyDescent="0.3">
      <c r="A1018" s="1" t="s">
        <v>0</v>
      </c>
      <c r="B1018" s="2"/>
      <c r="C1018" s="3" t="s">
        <v>44</v>
      </c>
      <c r="D1018" s="4"/>
      <c r="E1018" s="4"/>
      <c r="F1018" s="5"/>
    </row>
    <row r="1019" spans="1:6" x14ac:dyDescent="0.25">
      <c r="A1019" s="6"/>
      <c r="B1019" s="6"/>
      <c r="C1019" s="7"/>
      <c r="D1019" s="8"/>
      <c r="E1019" s="8"/>
      <c r="F1019" s="8"/>
    </row>
    <row r="1020" spans="1:6" ht="25.5" x14ac:dyDescent="0.25">
      <c r="A1020" s="9" t="s">
        <v>2</v>
      </c>
      <c r="B1020" s="10" t="s">
        <v>3</v>
      </c>
      <c r="C1020" s="10" t="s">
        <v>4</v>
      </c>
      <c r="D1020" s="11" t="s">
        <v>5</v>
      </c>
      <c r="E1020" s="11" t="s">
        <v>6</v>
      </c>
      <c r="F1020" s="12" t="s">
        <v>7</v>
      </c>
    </row>
    <row r="1021" spans="1:6" x14ac:dyDescent="0.25">
      <c r="A1021" s="13">
        <v>46064</v>
      </c>
      <c r="B1021" s="14" t="s">
        <v>16</v>
      </c>
      <c r="C1021" s="15" t="s">
        <v>23</v>
      </c>
      <c r="D1021" s="16">
        <v>120</v>
      </c>
      <c r="E1021" s="19">
        <v>0</v>
      </c>
      <c r="F1021" s="20">
        <v>10</v>
      </c>
    </row>
    <row r="1022" spans="1:6" x14ac:dyDescent="0.25">
      <c r="A1022" s="13">
        <v>46065</v>
      </c>
      <c r="B1022" s="14" t="s">
        <v>8</v>
      </c>
      <c r="C1022" s="15" t="s">
        <v>23</v>
      </c>
      <c r="D1022" s="16">
        <v>120</v>
      </c>
      <c r="E1022" s="19">
        <v>0</v>
      </c>
      <c r="F1022" s="20">
        <v>10</v>
      </c>
    </row>
    <row r="1023" spans="1:6" x14ac:dyDescent="0.25">
      <c r="A1023" s="13">
        <v>46066</v>
      </c>
      <c r="B1023" s="14" t="s">
        <v>10</v>
      </c>
      <c r="C1023" s="15" t="s">
        <v>23</v>
      </c>
      <c r="D1023" s="16">
        <v>120</v>
      </c>
      <c r="E1023" s="19">
        <v>0</v>
      </c>
      <c r="F1023" s="20">
        <v>10</v>
      </c>
    </row>
    <row r="1024" spans="1:6" x14ac:dyDescent="0.25">
      <c r="A1024" s="13">
        <v>46067</v>
      </c>
      <c r="B1024" s="14" t="s">
        <v>12</v>
      </c>
      <c r="C1024" s="15"/>
      <c r="D1024" s="16"/>
      <c r="E1024" s="19"/>
      <c r="F1024" s="20"/>
    </row>
    <row r="1025" spans="1:6" x14ac:dyDescent="0.25">
      <c r="A1025" s="13">
        <v>46068</v>
      </c>
      <c r="B1025" s="14" t="s">
        <v>13</v>
      </c>
      <c r="C1025" s="15"/>
      <c r="D1025" s="16"/>
      <c r="E1025" s="19"/>
      <c r="F1025" s="20"/>
    </row>
    <row r="1026" spans="1:6" x14ac:dyDescent="0.25">
      <c r="A1026" s="13">
        <v>46069</v>
      </c>
      <c r="B1026" s="14" t="s">
        <v>14</v>
      </c>
      <c r="C1026" s="15" t="s">
        <v>9</v>
      </c>
      <c r="D1026" s="16"/>
      <c r="E1026" s="19"/>
      <c r="F1026" s="20"/>
    </row>
    <row r="1027" spans="1:6" x14ac:dyDescent="0.25">
      <c r="A1027" s="13">
        <v>46070</v>
      </c>
      <c r="B1027" s="14" t="s">
        <v>15</v>
      </c>
      <c r="C1027" s="15" t="s">
        <v>9</v>
      </c>
      <c r="D1027" s="16"/>
      <c r="E1027" s="19"/>
      <c r="F1027" s="20"/>
    </row>
    <row r="1028" spans="1:6" x14ac:dyDescent="0.25">
      <c r="A1028" s="13">
        <v>46071</v>
      </c>
      <c r="B1028" s="14" t="s">
        <v>16</v>
      </c>
      <c r="C1028" s="15" t="s">
        <v>23</v>
      </c>
      <c r="D1028" s="16">
        <v>120</v>
      </c>
      <c r="E1028" s="19">
        <v>13</v>
      </c>
      <c r="F1028" s="20">
        <v>10</v>
      </c>
    </row>
    <row r="1029" spans="1:6" x14ac:dyDescent="0.25">
      <c r="A1029" s="13">
        <v>46072</v>
      </c>
      <c r="B1029" s="14" t="s">
        <v>8</v>
      </c>
      <c r="C1029" s="15" t="s">
        <v>19</v>
      </c>
      <c r="D1029" s="16">
        <v>0</v>
      </c>
      <c r="E1029" s="16">
        <v>0</v>
      </c>
      <c r="F1029" s="20">
        <v>10</v>
      </c>
    </row>
    <row r="1030" spans="1:6" x14ac:dyDescent="0.25">
      <c r="A1030" s="13">
        <v>46073</v>
      </c>
      <c r="B1030" s="14" t="s">
        <v>10</v>
      </c>
      <c r="C1030" s="15" t="s">
        <v>23</v>
      </c>
      <c r="D1030" s="16">
        <v>120</v>
      </c>
      <c r="E1030" s="16">
        <v>0</v>
      </c>
      <c r="F1030" s="17">
        <v>10</v>
      </c>
    </row>
    <row r="1031" spans="1:6" ht="15.75" thickBot="1" x14ac:dyDescent="0.3"/>
    <row r="1032" spans="1:6" ht="15.75" thickBot="1" x14ac:dyDescent="0.3">
      <c r="A1032" s="1" t="s">
        <v>0</v>
      </c>
      <c r="B1032" s="2"/>
      <c r="C1032" s="33" t="s">
        <v>45</v>
      </c>
      <c r="D1032" s="34"/>
      <c r="E1032" s="34"/>
      <c r="F1032" s="35"/>
    </row>
    <row r="1033" spans="1:6" x14ac:dyDescent="0.25">
      <c r="A1033" s="6"/>
      <c r="B1033" s="6"/>
      <c r="C1033" s="7"/>
      <c r="D1033" s="8"/>
      <c r="E1033" s="8"/>
      <c r="F1033" s="8"/>
    </row>
    <row r="1034" spans="1:6" ht="25.5" x14ac:dyDescent="0.25">
      <c r="A1034" s="9" t="s">
        <v>2</v>
      </c>
      <c r="B1034" s="10" t="s">
        <v>3</v>
      </c>
      <c r="C1034" s="10" t="s">
        <v>4</v>
      </c>
      <c r="D1034" s="11" t="s">
        <v>5</v>
      </c>
      <c r="E1034" s="11" t="s">
        <v>6</v>
      </c>
      <c r="F1034" s="12" t="s">
        <v>7</v>
      </c>
    </row>
    <row r="1035" spans="1:6" x14ac:dyDescent="0.25">
      <c r="A1035" s="13">
        <v>46077</v>
      </c>
      <c r="B1035" s="14" t="s">
        <v>15</v>
      </c>
      <c r="C1035" s="18" t="s">
        <v>23</v>
      </c>
      <c r="D1035" s="19">
        <v>120</v>
      </c>
      <c r="E1035" s="19">
        <v>13</v>
      </c>
      <c r="F1035" s="20">
        <v>10</v>
      </c>
    </row>
    <row r="1036" spans="1:6" x14ac:dyDescent="0.25">
      <c r="A1036" s="13">
        <v>46078</v>
      </c>
      <c r="B1036" s="14" t="s">
        <v>16</v>
      </c>
      <c r="C1036" s="18" t="s">
        <v>23</v>
      </c>
      <c r="D1036" s="19">
        <v>120</v>
      </c>
      <c r="E1036" s="19">
        <v>13</v>
      </c>
      <c r="F1036" s="20">
        <v>10</v>
      </c>
    </row>
    <row r="1037" spans="1:6" x14ac:dyDescent="0.25">
      <c r="A1037" s="13">
        <v>46079</v>
      </c>
      <c r="B1037" s="14" t="s">
        <v>8</v>
      </c>
      <c r="C1037" s="18" t="s">
        <v>23</v>
      </c>
      <c r="D1037" s="19">
        <v>120</v>
      </c>
      <c r="E1037" s="19">
        <v>13</v>
      </c>
      <c r="F1037" s="20">
        <v>10</v>
      </c>
    </row>
    <row r="1038" spans="1:6" x14ac:dyDescent="0.25">
      <c r="A1038" s="13">
        <v>46080</v>
      </c>
      <c r="B1038" s="14" t="s">
        <v>10</v>
      </c>
      <c r="C1038" s="18" t="s">
        <v>23</v>
      </c>
      <c r="D1038" s="19">
        <v>120</v>
      </c>
      <c r="E1038" s="19">
        <v>13</v>
      </c>
      <c r="F1038" s="20">
        <v>10</v>
      </c>
    </row>
    <row r="1039" spans="1:6" x14ac:dyDescent="0.25">
      <c r="A1039" s="13">
        <v>46081</v>
      </c>
      <c r="B1039" s="14" t="s">
        <v>12</v>
      </c>
      <c r="C1039" s="18" t="s">
        <v>11</v>
      </c>
      <c r="D1039" s="19">
        <v>120</v>
      </c>
      <c r="E1039" s="19">
        <v>13</v>
      </c>
      <c r="F1039" s="20"/>
    </row>
    <row r="1040" spans="1:6" x14ac:dyDescent="0.25">
      <c r="A1040" s="13">
        <v>46082</v>
      </c>
      <c r="B1040" s="14" t="s">
        <v>13</v>
      </c>
      <c r="C1040" s="18" t="s">
        <v>11</v>
      </c>
      <c r="D1040" s="19">
        <v>120</v>
      </c>
      <c r="E1040" s="19">
        <v>13</v>
      </c>
      <c r="F1040" s="20"/>
    </row>
    <row r="1041" spans="1:6" x14ac:dyDescent="0.25">
      <c r="A1041" s="13">
        <v>46083</v>
      </c>
      <c r="B1041" s="14" t="s">
        <v>14</v>
      </c>
      <c r="C1041" s="18" t="s">
        <v>23</v>
      </c>
      <c r="D1041" s="19">
        <v>120</v>
      </c>
      <c r="E1041" s="19">
        <v>13</v>
      </c>
      <c r="F1041" s="20">
        <v>0</v>
      </c>
    </row>
    <row r="1042" spans="1:6" x14ac:dyDescent="0.25">
      <c r="A1042" s="13">
        <v>46084</v>
      </c>
      <c r="B1042" s="14" t="s">
        <v>15</v>
      </c>
      <c r="C1042" s="18" t="s">
        <v>23</v>
      </c>
      <c r="D1042" s="19">
        <v>120</v>
      </c>
      <c r="E1042" s="19">
        <v>13</v>
      </c>
      <c r="F1042" s="20">
        <v>10</v>
      </c>
    </row>
    <row r="1043" spans="1:6" x14ac:dyDescent="0.25">
      <c r="A1043" s="13">
        <v>46085</v>
      </c>
      <c r="B1043" s="14" t="s">
        <v>16</v>
      </c>
      <c r="C1043" s="18" t="s">
        <v>23</v>
      </c>
      <c r="D1043" s="19">
        <v>120</v>
      </c>
      <c r="E1043" s="19">
        <v>13</v>
      </c>
      <c r="F1043" s="20">
        <v>10</v>
      </c>
    </row>
    <row r="1044" spans="1:6" x14ac:dyDescent="0.25">
      <c r="A1044" s="13">
        <v>46086</v>
      </c>
      <c r="B1044" s="14" t="s">
        <v>8</v>
      </c>
      <c r="C1044" s="18" t="s">
        <v>23</v>
      </c>
      <c r="D1044" s="19">
        <v>120</v>
      </c>
      <c r="E1044" s="19">
        <v>13</v>
      </c>
      <c r="F1044" s="20">
        <v>10</v>
      </c>
    </row>
    <row r="1045" spans="1:6" x14ac:dyDescent="0.25">
      <c r="A1045" s="13">
        <v>46087</v>
      </c>
      <c r="B1045" s="14" t="s">
        <v>10</v>
      </c>
      <c r="C1045" s="18" t="s">
        <v>23</v>
      </c>
      <c r="D1045" s="19">
        <v>120</v>
      </c>
      <c r="E1045" s="19">
        <v>13</v>
      </c>
      <c r="F1045" s="20">
        <v>10</v>
      </c>
    </row>
    <row r="1046" spans="1:6" x14ac:dyDescent="0.25">
      <c r="A1046" s="13">
        <v>46088</v>
      </c>
      <c r="B1046" s="14" t="s">
        <v>12</v>
      </c>
      <c r="C1046" s="18"/>
      <c r="D1046" s="19"/>
      <c r="E1046" s="19"/>
      <c r="F1046" s="20"/>
    </row>
    <row r="1047" spans="1:6" x14ac:dyDescent="0.25">
      <c r="A1047" s="13">
        <v>46089</v>
      </c>
      <c r="B1047" s="14" t="s">
        <v>13</v>
      </c>
      <c r="C1047" s="18"/>
      <c r="D1047" s="19"/>
      <c r="E1047" s="19"/>
      <c r="F1047" s="20"/>
    </row>
    <row r="1048" spans="1:6" x14ac:dyDescent="0.25">
      <c r="A1048" s="13">
        <v>46090</v>
      </c>
      <c r="B1048" s="14" t="s">
        <v>14</v>
      </c>
      <c r="C1048" s="18" t="s">
        <v>23</v>
      </c>
      <c r="D1048" s="19">
        <v>120</v>
      </c>
      <c r="E1048" s="19">
        <v>13</v>
      </c>
      <c r="F1048" s="20">
        <v>10</v>
      </c>
    </row>
    <row r="1049" spans="1:6" x14ac:dyDescent="0.25">
      <c r="A1049" s="13">
        <v>46091</v>
      </c>
      <c r="B1049" s="14" t="s">
        <v>15</v>
      </c>
      <c r="C1049" s="18" t="s">
        <v>23</v>
      </c>
      <c r="D1049" s="19">
        <v>120</v>
      </c>
      <c r="E1049" s="19">
        <v>13</v>
      </c>
      <c r="F1049" s="20">
        <v>10</v>
      </c>
    </row>
    <row r="1050" spans="1:6" x14ac:dyDescent="0.25">
      <c r="A1050" s="13">
        <v>46091</v>
      </c>
      <c r="B1050" s="14" t="s">
        <v>15</v>
      </c>
      <c r="C1050" s="18" t="s">
        <v>32</v>
      </c>
      <c r="D1050" s="19">
        <v>120</v>
      </c>
      <c r="E1050" s="19"/>
      <c r="F1050" s="20"/>
    </row>
    <row r="1051" spans="1:6" x14ac:dyDescent="0.25">
      <c r="A1051" s="13">
        <v>46092</v>
      </c>
      <c r="B1051" s="14" t="s">
        <v>16</v>
      </c>
      <c r="C1051" s="18" t="s">
        <v>23</v>
      </c>
      <c r="D1051" s="19">
        <v>120</v>
      </c>
      <c r="E1051" s="19">
        <v>13</v>
      </c>
      <c r="F1051" s="20">
        <v>10</v>
      </c>
    </row>
    <row r="1052" spans="1:6" x14ac:dyDescent="0.25">
      <c r="A1052" s="13">
        <v>46092</v>
      </c>
      <c r="B1052" s="14" t="s">
        <v>16</v>
      </c>
      <c r="C1052" s="18" t="s">
        <v>32</v>
      </c>
      <c r="D1052" s="19">
        <v>120</v>
      </c>
      <c r="E1052" s="19"/>
      <c r="F1052" s="20"/>
    </row>
    <row r="1053" spans="1:6" x14ac:dyDescent="0.25">
      <c r="A1053" s="13">
        <v>46093</v>
      </c>
      <c r="B1053" s="14" t="s">
        <v>8</v>
      </c>
      <c r="C1053" s="18" t="s">
        <v>11</v>
      </c>
      <c r="D1053" s="19">
        <v>120</v>
      </c>
      <c r="E1053" s="19">
        <v>13</v>
      </c>
      <c r="F1053" s="20">
        <v>10</v>
      </c>
    </row>
    <row r="1054" spans="1:6" x14ac:dyDescent="0.25">
      <c r="A1054" s="13">
        <v>46094</v>
      </c>
      <c r="B1054" s="14" t="s">
        <v>10</v>
      </c>
      <c r="C1054" s="18" t="s">
        <v>11</v>
      </c>
      <c r="D1054" s="19">
        <v>120</v>
      </c>
      <c r="E1054" s="19">
        <v>13</v>
      </c>
      <c r="F1054" s="20">
        <v>10</v>
      </c>
    </row>
    <row r="1055" spans="1:6" x14ac:dyDescent="0.25">
      <c r="A1055" s="13">
        <v>46095</v>
      </c>
      <c r="B1055" s="14" t="s">
        <v>12</v>
      </c>
      <c r="C1055" s="18" t="s">
        <v>11</v>
      </c>
      <c r="D1055" s="19">
        <v>120</v>
      </c>
      <c r="E1055" s="19">
        <v>13</v>
      </c>
      <c r="F1055" s="20">
        <v>10</v>
      </c>
    </row>
    <row r="1056" spans="1:6" x14ac:dyDescent="0.25">
      <c r="A1056" s="13">
        <v>46096</v>
      </c>
      <c r="B1056" s="14" t="s">
        <v>13</v>
      </c>
      <c r="C1056" s="18"/>
      <c r="D1056" s="19"/>
      <c r="E1056" s="19"/>
      <c r="F1056" s="20"/>
    </row>
    <row r="1057" spans="1:6" x14ac:dyDescent="0.25">
      <c r="A1057" s="13">
        <v>46097</v>
      </c>
      <c r="B1057" s="14" t="s">
        <v>14</v>
      </c>
      <c r="C1057" s="18" t="s">
        <v>23</v>
      </c>
      <c r="D1057" s="19">
        <v>120</v>
      </c>
      <c r="E1057" s="19">
        <v>13</v>
      </c>
      <c r="F1057" s="20">
        <v>10</v>
      </c>
    </row>
    <row r="1058" spans="1:6" x14ac:dyDescent="0.25">
      <c r="A1058" s="13">
        <v>46098</v>
      </c>
      <c r="B1058" s="14" t="s">
        <v>15</v>
      </c>
      <c r="C1058" s="18" t="s">
        <v>23</v>
      </c>
      <c r="D1058" s="19">
        <v>120</v>
      </c>
      <c r="E1058" s="19">
        <v>13</v>
      </c>
      <c r="F1058" s="20">
        <v>10</v>
      </c>
    </row>
    <row r="1059" spans="1:6" x14ac:dyDescent="0.25">
      <c r="A1059" s="13">
        <v>46099</v>
      </c>
      <c r="B1059" s="14" t="s">
        <v>16</v>
      </c>
      <c r="C1059" s="18" t="s">
        <v>23</v>
      </c>
      <c r="D1059" s="19">
        <v>120</v>
      </c>
      <c r="E1059" s="19">
        <v>13</v>
      </c>
      <c r="F1059" s="20">
        <v>10</v>
      </c>
    </row>
    <row r="1060" spans="1:6" x14ac:dyDescent="0.25">
      <c r="A1060" s="13">
        <v>46100</v>
      </c>
      <c r="B1060" s="14" t="s">
        <v>8</v>
      </c>
      <c r="C1060" s="18" t="s">
        <v>23</v>
      </c>
      <c r="D1060" s="19">
        <v>120</v>
      </c>
      <c r="E1060" s="19">
        <v>13</v>
      </c>
      <c r="F1060" s="20">
        <v>10</v>
      </c>
    </row>
    <row r="1061" spans="1:6" x14ac:dyDescent="0.25">
      <c r="A1061" s="13">
        <v>46101</v>
      </c>
      <c r="B1061" s="14" t="s">
        <v>10</v>
      </c>
      <c r="C1061" s="18" t="s">
        <v>23</v>
      </c>
      <c r="D1061" s="19">
        <v>120</v>
      </c>
      <c r="E1061" s="19">
        <v>13</v>
      </c>
      <c r="F1061" s="20">
        <v>10</v>
      </c>
    </row>
    <row r="1062" spans="1:6" x14ac:dyDescent="0.25">
      <c r="A1062" s="13">
        <v>46102</v>
      </c>
      <c r="B1062" s="14" t="s">
        <v>12</v>
      </c>
      <c r="C1062" s="15"/>
      <c r="D1062" s="16"/>
      <c r="E1062" s="16"/>
      <c r="F1062" s="17"/>
    </row>
    <row r="1063" spans="1:6" x14ac:dyDescent="0.25">
      <c r="A1063" s="13">
        <v>46103</v>
      </c>
      <c r="B1063" s="14" t="s">
        <v>13</v>
      </c>
      <c r="C1063" s="15"/>
      <c r="D1063" s="16"/>
      <c r="E1063" s="16"/>
      <c r="F1063" s="17"/>
    </row>
    <row r="1064" spans="1:6" x14ac:dyDescent="0.25">
      <c r="A1064" s="13">
        <v>46104</v>
      </c>
      <c r="B1064" s="14" t="s">
        <v>14</v>
      </c>
      <c r="C1064" s="15" t="s">
        <v>23</v>
      </c>
      <c r="D1064" s="16">
        <v>120</v>
      </c>
      <c r="E1064" s="19">
        <v>13</v>
      </c>
      <c r="F1064" s="20">
        <v>10</v>
      </c>
    </row>
    <row r="1065" spans="1:6" x14ac:dyDescent="0.25">
      <c r="A1065" s="13">
        <v>46105</v>
      </c>
      <c r="B1065" s="14" t="s">
        <v>15</v>
      </c>
      <c r="C1065" s="15" t="s">
        <v>25</v>
      </c>
      <c r="D1065" s="16"/>
      <c r="E1065" s="19">
        <v>13</v>
      </c>
      <c r="F1065" s="20">
        <v>10</v>
      </c>
    </row>
    <row r="1066" spans="1:6" x14ac:dyDescent="0.25">
      <c r="A1066" s="13">
        <v>46106</v>
      </c>
      <c r="B1066" s="14" t="s">
        <v>16</v>
      </c>
      <c r="C1066" s="15" t="s">
        <v>23</v>
      </c>
      <c r="D1066" s="16">
        <v>120</v>
      </c>
      <c r="E1066" s="19">
        <v>13</v>
      </c>
      <c r="F1066" s="20">
        <v>10</v>
      </c>
    </row>
    <row r="1067" spans="1:6" x14ac:dyDescent="0.25">
      <c r="A1067" s="13">
        <v>46107</v>
      </c>
      <c r="B1067" s="14" t="s">
        <v>8</v>
      </c>
      <c r="C1067" s="15" t="s">
        <v>23</v>
      </c>
      <c r="D1067" s="16">
        <v>120</v>
      </c>
      <c r="E1067" s="19">
        <v>13</v>
      </c>
      <c r="F1067" s="20">
        <v>10</v>
      </c>
    </row>
    <row r="1068" spans="1:6" x14ac:dyDescent="0.25">
      <c r="A1068" s="13">
        <v>46108</v>
      </c>
      <c r="B1068" s="14" t="s">
        <v>10</v>
      </c>
      <c r="C1068" s="15" t="s">
        <v>23</v>
      </c>
      <c r="D1068" s="16">
        <v>120</v>
      </c>
      <c r="E1068" s="19">
        <v>13</v>
      </c>
      <c r="F1068" s="20">
        <v>10</v>
      </c>
    </row>
    <row r="1069" spans="1:6" x14ac:dyDescent="0.25">
      <c r="A1069" s="13">
        <v>46109</v>
      </c>
      <c r="B1069" s="14" t="s">
        <v>12</v>
      </c>
      <c r="C1069" s="15"/>
      <c r="D1069" s="16"/>
      <c r="E1069" s="16"/>
      <c r="F1069" s="17"/>
    </row>
    <row r="1070" spans="1:6" x14ac:dyDescent="0.25">
      <c r="A1070" s="13">
        <v>46110</v>
      </c>
      <c r="B1070" s="14" t="s">
        <v>13</v>
      </c>
      <c r="C1070" s="15"/>
      <c r="D1070" s="16"/>
      <c r="E1070" s="16"/>
      <c r="F1070" s="17"/>
    </row>
    <row r="1071" spans="1:6" x14ac:dyDescent="0.25">
      <c r="A1071" s="13">
        <v>46111</v>
      </c>
      <c r="B1071" s="14" t="s">
        <v>14</v>
      </c>
      <c r="C1071" s="15" t="s">
        <v>19</v>
      </c>
      <c r="D1071" s="16"/>
      <c r="E1071" s="16"/>
      <c r="F1071" s="17"/>
    </row>
    <row r="1072" spans="1:6" x14ac:dyDescent="0.25">
      <c r="A1072" s="13">
        <v>46112</v>
      </c>
      <c r="B1072" s="14" t="s">
        <v>15</v>
      </c>
      <c r="C1072" s="15" t="s">
        <v>23</v>
      </c>
      <c r="D1072" s="16">
        <v>120</v>
      </c>
      <c r="E1072" s="16">
        <v>13</v>
      </c>
      <c r="F1072" s="17">
        <v>10</v>
      </c>
    </row>
    <row r="1073" spans="1:6" x14ac:dyDescent="0.25">
      <c r="A1073" s="13">
        <v>46113</v>
      </c>
      <c r="B1073" s="14" t="s">
        <v>16</v>
      </c>
      <c r="C1073" s="15" t="s">
        <v>26</v>
      </c>
      <c r="D1073" s="16">
        <v>120</v>
      </c>
      <c r="E1073" s="16">
        <v>13</v>
      </c>
      <c r="F1073" s="17">
        <v>0</v>
      </c>
    </row>
    <row r="1074" spans="1:6" x14ac:dyDescent="0.25">
      <c r="A1074" s="13">
        <v>46114</v>
      </c>
      <c r="B1074" s="14" t="s">
        <v>8</v>
      </c>
      <c r="C1074" s="15" t="s">
        <v>23</v>
      </c>
      <c r="D1074" s="16">
        <v>120</v>
      </c>
      <c r="E1074" s="16">
        <v>13</v>
      </c>
      <c r="F1074" s="17">
        <v>10</v>
      </c>
    </row>
    <row r="1075" spans="1:6" x14ac:dyDescent="0.25">
      <c r="A1075" s="13">
        <v>46115</v>
      </c>
      <c r="B1075" s="14" t="s">
        <v>10</v>
      </c>
      <c r="C1075" s="15" t="s">
        <v>9</v>
      </c>
      <c r="D1075" s="16"/>
      <c r="E1075" s="16"/>
      <c r="F1075" s="17"/>
    </row>
    <row r="1076" spans="1:6" x14ac:dyDescent="0.25">
      <c r="A1076" s="13">
        <v>46116</v>
      </c>
      <c r="B1076" s="14" t="s">
        <v>12</v>
      </c>
      <c r="C1076" s="15"/>
      <c r="D1076" s="16"/>
      <c r="E1076" s="16"/>
      <c r="F1076" s="17"/>
    </row>
    <row r="1077" spans="1:6" x14ac:dyDescent="0.25">
      <c r="A1077" s="13">
        <v>46117</v>
      </c>
      <c r="B1077" s="14" t="s">
        <v>13</v>
      </c>
      <c r="C1077" s="15" t="s">
        <v>9</v>
      </c>
      <c r="D1077" s="16"/>
      <c r="E1077" s="16"/>
      <c r="F1077" s="17"/>
    </row>
    <row r="1078" spans="1:6" x14ac:dyDescent="0.25">
      <c r="A1078" s="13">
        <v>46118</v>
      </c>
      <c r="B1078" s="14" t="s">
        <v>14</v>
      </c>
      <c r="C1078" s="15" t="s">
        <v>23</v>
      </c>
      <c r="D1078" s="16">
        <v>120</v>
      </c>
      <c r="E1078" s="16">
        <v>13</v>
      </c>
      <c r="F1078" s="17">
        <v>0</v>
      </c>
    </row>
    <row r="1079" spans="1:6" ht="15.75" thickBot="1" x14ac:dyDescent="0.3"/>
    <row r="1080" spans="1:6" ht="15.75" thickBot="1" x14ac:dyDescent="0.3">
      <c r="A1080" s="1" t="s">
        <v>0</v>
      </c>
      <c r="B1080" s="2"/>
      <c r="C1080" s="33" t="s">
        <v>46</v>
      </c>
      <c r="D1080" s="34"/>
      <c r="E1080" s="34"/>
      <c r="F1080" s="35"/>
    </row>
    <row r="1081" spans="1:6" x14ac:dyDescent="0.25">
      <c r="A1081" s="6"/>
      <c r="B1081" s="6"/>
      <c r="C1081" s="7"/>
      <c r="D1081" s="8"/>
      <c r="E1081" s="8"/>
      <c r="F1081" s="8"/>
    </row>
    <row r="1082" spans="1:6" ht="25.5" x14ac:dyDescent="0.25">
      <c r="A1082" s="9" t="s">
        <v>2</v>
      </c>
      <c r="B1082" s="10" t="s">
        <v>3</v>
      </c>
      <c r="C1082" s="10" t="s">
        <v>4</v>
      </c>
      <c r="D1082" s="11" t="s">
        <v>5</v>
      </c>
      <c r="E1082" s="11" t="s">
        <v>6</v>
      </c>
      <c r="F1082" s="12" t="s">
        <v>7</v>
      </c>
    </row>
    <row r="1083" spans="1:6" x14ac:dyDescent="0.25">
      <c r="A1083" s="13">
        <v>46082</v>
      </c>
      <c r="B1083" s="14" t="s">
        <v>13</v>
      </c>
      <c r="C1083" s="18" t="s">
        <v>11</v>
      </c>
      <c r="D1083" s="19">
        <v>120</v>
      </c>
      <c r="E1083" s="19">
        <v>13</v>
      </c>
      <c r="F1083" s="20">
        <v>0</v>
      </c>
    </row>
    <row r="1084" spans="1:6" x14ac:dyDescent="0.25">
      <c r="A1084" s="13">
        <v>46083</v>
      </c>
      <c r="B1084" s="14" t="s">
        <v>14</v>
      </c>
      <c r="C1084" s="18" t="s">
        <v>11</v>
      </c>
      <c r="D1084" s="19">
        <v>120</v>
      </c>
      <c r="E1084" s="19">
        <v>13</v>
      </c>
      <c r="F1084" s="20">
        <v>0</v>
      </c>
    </row>
    <row r="1085" spans="1:6" x14ac:dyDescent="0.25">
      <c r="A1085" s="13">
        <v>46084</v>
      </c>
      <c r="B1085" s="14" t="s">
        <v>15</v>
      </c>
      <c r="C1085" s="18" t="s">
        <v>11</v>
      </c>
      <c r="D1085" s="19">
        <v>120</v>
      </c>
      <c r="E1085" s="19">
        <v>13</v>
      </c>
      <c r="F1085" s="20">
        <v>0</v>
      </c>
    </row>
    <row r="1086" spans="1:6" x14ac:dyDescent="0.25">
      <c r="A1086" s="13">
        <v>46085</v>
      </c>
      <c r="B1086" s="14" t="s">
        <v>16</v>
      </c>
      <c r="C1086" s="18" t="s">
        <v>11</v>
      </c>
      <c r="D1086" s="19">
        <v>120</v>
      </c>
      <c r="E1086" s="19">
        <v>13</v>
      </c>
      <c r="F1086" s="20">
        <v>0</v>
      </c>
    </row>
    <row r="1087" spans="1:6" x14ac:dyDescent="0.25">
      <c r="A1087" s="13">
        <v>46086</v>
      </c>
      <c r="B1087" s="14" t="s">
        <v>8</v>
      </c>
      <c r="C1087" s="18" t="s">
        <v>11</v>
      </c>
      <c r="D1087" s="19">
        <v>120</v>
      </c>
      <c r="E1087" s="19">
        <v>13</v>
      </c>
      <c r="F1087" s="20">
        <v>0</v>
      </c>
    </row>
    <row r="1088" spans="1:6" x14ac:dyDescent="0.25">
      <c r="A1088" s="13">
        <v>46087</v>
      </c>
      <c r="B1088" s="14" t="s">
        <v>10</v>
      </c>
      <c r="C1088" s="18" t="s">
        <v>11</v>
      </c>
      <c r="D1088" s="19">
        <v>120</v>
      </c>
      <c r="E1088" s="19">
        <v>13</v>
      </c>
      <c r="F1088" s="20">
        <v>0</v>
      </c>
    </row>
    <row r="1089" spans="1:6" x14ac:dyDescent="0.25">
      <c r="A1089" s="13">
        <v>46088</v>
      </c>
      <c r="B1089" s="14" t="s">
        <v>12</v>
      </c>
      <c r="C1089" s="18" t="s">
        <v>11</v>
      </c>
      <c r="D1089" s="19">
        <v>120</v>
      </c>
      <c r="E1089" s="19">
        <v>13</v>
      </c>
      <c r="F1089" s="20">
        <v>0</v>
      </c>
    </row>
    <row r="1090" spans="1:6" x14ac:dyDescent="0.25">
      <c r="A1090" s="13">
        <v>46089</v>
      </c>
      <c r="B1090" s="14" t="s">
        <v>13</v>
      </c>
      <c r="C1090" s="18"/>
      <c r="D1090" s="19"/>
      <c r="E1090" s="19"/>
      <c r="F1090" s="20"/>
    </row>
    <row r="1091" spans="1:6" x14ac:dyDescent="0.25">
      <c r="A1091" s="13">
        <v>46090</v>
      </c>
      <c r="B1091" s="14" t="s">
        <v>14</v>
      </c>
      <c r="C1091" s="18" t="s">
        <v>11</v>
      </c>
      <c r="D1091" s="19">
        <v>120</v>
      </c>
      <c r="E1091" s="19">
        <v>13</v>
      </c>
      <c r="F1091" s="20">
        <v>0</v>
      </c>
    </row>
    <row r="1092" spans="1:6" x14ac:dyDescent="0.25">
      <c r="A1092" s="13">
        <v>46091</v>
      </c>
      <c r="B1092" s="14" t="s">
        <v>15</v>
      </c>
      <c r="C1092" s="18" t="s">
        <v>11</v>
      </c>
      <c r="D1092" s="19">
        <v>120</v>
      </c>
      <c r="E1092" s="19">
        <v>13</v>
      </c>
      <c r="F1092" s="20">
        <v>0</v>
      </c>
    </row>
    <row r="1093" spans="1:6" x14ac:dyDescent="0.25">
      <c r="A1093" s="13">
        <v>46092</v>
      </c>
      <c r="B1093" s="14" t="s">
        <v>16</v>
      </c>
      <c r="C1093" s="18" t="s">
        <v>11</v>
      </c>
      <c r="D1093" s="19">
        <v>120</v>
      </c>
      <c r="E1093" s="19">
        <v>13</v>
      </c>
      <c r="F1093" s="20">
        <v>0</v>
      </c>
    </row>
    <row r="1094" spans="1:6" x14ac:dyDescent="0.25">
      <c r="A1094" s="13">
        <v>46093</v>
      </c>
      <c r="B1094" s="14" t="s">
        <v>8</v>
      </c>
      <c r="C1094" s="18" t="s">
        <v>11</v>
      </c>
      <c r="D1094" s="19">
        <v>120</v>
      </c>
      <c r="E1094" s="19">
        <v>13</v>
      </c>
      <c r="F1094" s="20">
        <v>0</v>
      </c>
    </row>
    <row r="1095" spans="1:6" x14ac:dyDescent="0.25">
      <c r="A1095" s="13">
        <v>46094</v>
      </c>
      <c r="B1095" s="14" t="s">
        <v>10</v>
      </c>
      <c r="C1095" s="18" t="s">
        <v>11</v>
      </c>
      <c r="D1095" s="19">
        <v>120</v>
      </c>
      <c r="E1095" s="19">
        <v>13</v>
      </c>
      <c r="F1095" s="20">
        <v>0</v>
      </c>
    </row>
    <row r="1096" spans="1:6" x14ac:dyDescent="0.25">
      <c r="A1096" s="13">
        <v>46095</v>
      </c>
      <c r="B1096" s="14" t="s">
        <v>12</v>
      </c>
      <c r="C1096" s="18"/>
      <c r="D1096" s="19"/>
      <c r="E1096" s="19"/>
      <c r="F1096" s="20"/>
    </row>
    <row r="1097" spans="1:6" x14ac:dyDescent="0.25">
      <c r="A1097" s="13">
        <v>46096</v>
      </c>
      <c r="B1097" s="14" t="s">
        <v>13</v>
      </c>
      <c r="C1097" s="18"/>
      <c r="D1097" s="19"/>
      <c r="E1097" s="19"/>
      <c r="F1097" s="20"/>
    </row>
    <row r="1098" spans="1:6" x14ac:dyDescent="0.25">
      <c r="A1098" s="13">
        <v>46097</v>
      </c>
      <c r="B1098" s="14" t="s">
        <v>14</v>
      </c>
      <c r="C1098" s="18" t="s">
        <v>11</v>
      </c>
      <c r="D1098" s="19">
        <v>120</v>
      </c>
      <c r="E1098" s="19">
        <v>13</v>
      </c>
      <c r="F1098" s="20">
        <v>0</v>
      </c>
    </row>
    <row r="1099" spans="1:6" x14ac:dyDescent="0.25">
      <c r="A1099" s="13">
        <v>46098</v>
      </c>
      <c r="B1099" s="14" t="s">
        <v>15</v>
      </c>
      <c r="C1099" s="18" t="s">
        <v>11</v>
      </c>
      <c r="D1099" s="19">
        <v>120</v>
      </c>
      <c r="E1099" s="19">
        <v>13</v>
      </c>
      <c r="F1099" s="20">
        <v>0</v>
      </c>
    </row>
    <row r="1100" spans="1:6" x14ac:dyDescent="0.25">
      <c r="A1100" s="13">
        <v>46099</v>
      </c>
      <c r="B1100" s="14" t="s">
        <v>16</v>
      </c>
      <c r="C1100" s="18" t="s">
        <v>11</v>
      </c>
      <c r="D1100" s="19">
        <v>120</v>
      </c>
      <c r="E1100" s="19">
        <v>13</v>
      </c>
      <c r="F1100" s="20">
        <v>0</v>
      </c>
    </row>
    <row r="1101" spans="1:6" x14ac:dyDescent="0.25">
      <c r="A1101" s="13">
        <v>46100</v>
      </c>
      <c r="B1101" s="14" t="s">
        <v>8</v>
      </c>
      <c r="C1101" s="18" t="s">
        <v>23</v>
      </c>
      <c r="D1101" s="19">
        <v>120</v>
      </c>
      <c r="E1101" s="19">
        <v>13</v>
      </c>
      <c r="F1101" s="20">
        <v>0</v>
      </c>
    </row>
    <row r="1102" spans="1:6" x14ac:dyDescent="0.25">
      <c r="A1102" s="13">
        <v>46101</v>
      </c>
      <c r="B1102" s="14" t="s">
        <v>10</v>
      </c>
      <c r="C1102" s="18" t="s">
        <v>11</v>
      </c>
      <c r="D1102" s="19">
        <v>120</v>
      </c>
      <c r="E1102" s="19">
        <v>13</v>
      </c>
      <c r="F1102" s="20">
        <v>0</v>
      </c>
    </row>
    <row r="1103" spans="1:6" x14ac:dyDescent="0.25">
      <c r="A1103" s="13">
        <v>46102</v>
      </c>
      <c r="B1103" s="14" t="s">
        <v>12</v>
      </c>
      <c r="C1103" s="15"/>
      <c r="D1103" s="16"/>
      <c r="E1103" s="16"/>
      <c r="F1103" s="17"/>
    </row>
    <row r="1104" spans="1:6" x14ac:dyDescent="0.25">
      <c r="A1104" s="13">
        <v>46103</v>
      </c>
      <c r="B1104" s="14" t="s">
        <v>13</v>
      </c>
      <c r="C1104" s="15"/>
      <c r="D1104" s="16"/>
      <c r="E1104" s="16"/>
      <c r="F1104" s="17"/>
    </row>
    <row r="1105" spans="1:6" x14ac:dyDescent="0.25">
      <c r="A1105" s="13">
        <v>46104</v>
      </c>
      <c r="B1105" s="14" t="s">
        <v>14</v>
      </c>
      <c r="C1105" s="15" t="s">
        <v>11</v>
      </c>
      <c r="D1105" s="16">
        <v>120</v>
      </c>
      <c r="E1105" s="19">
        <v>13</v>
      </c>
      <c r="F1105" s="20">
        <v>0</v>
      </c>
    </row>
    <row r="1106" spans="1:6" x14ac:dyDescent="0.25">
      <c r="A1106" s="13">
        <v>46105</v>
      </c>
      <c r="B1106" s="14" t="s">
        <v>15</v>
      </c>
      <c r="C1106" s="15" t="s">
        <v>25</v>
      </c>
      <c r="D1106" s="16"/>
      <c r="E1106" s="19">
        <v>13</v>
      </c>
      <c r="F1106" s="20">
        <v>0</v>
      </c>
    </row>
    <row r="1107" spans="1:6" x14ac:dyDescent="0.25">
      <c r="A1107" s="13">
        <v>46106</v>
      </c>
      <c r="B1107" s="14" t="s">
        <v>16</v>
      </c>
      <c r="C1107" s="15" t="s">
        <v>24</v>
      </c>
      <c r="D1107" s="16">
        <v>120</v>
      </c>
      <c r="E1107" s="19">
        <v>13</v>
      </c>
      <c r="F1107" s="20">
        <v>0</v>
      </c>
    </row>
    <row r="1108" spans="1:6" x14ac:dyDescent="0.25">
      <c r="A1108" s="13">
        <v>46107</v>
      </c>
      <c r="B1108" s="14" t="s">
        <v>8</v>
      </c>
      <c r="C1108" s="15" t="s">
        <v>24</v>
      </c>
      <c r="D1108" s="16">
        <v>120</v>
      </c>
      <c r="E1108" s="19">
        <v>13</v>
      </c>
      <c r="F1108" s="20">
        <v>0</v>
      </c>
    </row>
    <row r="1109" spans="1:6" x14ac:dyDescent="0.25">
      <c r="A1109" s="13">
        <v>46108</v>
      </c>
      <c r="B1109" s="14" t="s">
        <v>10</v>
      </c>
      <c r="C1109" s="15" t="s">
        <v>24</v>
      </c>
      <c r="D1109" s="16">
        <v>120</v>
      </c>
      <c r="E1109" s="19">
        <v>13</v>
      </c>
      <c r="F1109" s="20">
        <v>0</v>
      </c>
    </row>
    <row r="1110" spans="1:6" x14ac:dyDescent="0.25">
      <c r="A1110" s="13">
        <v>46109</v>
      </c>
      <c r="B1110" s="14" t="s">
        <v>12</v>
      </c>
      <c r="C1110" s="15"/>
      <c r="D1110" s="16"/>
      <c r="E1110" s="16"/>
      <c r="F1110" s="17"/>
    </row>
    <row r="1111" spans="1:6" x14ac:dyDescent="0.25">
      <c r="A1111" s="13">
        <v>46110</v>
      </c>
      <c r="B1111" s="14" t="s">
        <v>13</v>
      </c>
      <c r="C1111" s="15"/>
      <c r="D1111" s="16"/>
      <c r="E1111" s="16"/>
      <c r="F1111" s="17"/>
    </row>
    <row r="1112" spans="1:6" x14ac:dyDescent="0.25">
      <c r="A1112" s="13">
        <v>46111</v>
      </c>
      <c r="B1112" s="14" t="s">
        <v>14</v>
      </c>
      <c r="C1112" s="15" t="s">
        <v>23</v>
      </c>
      <c r="D1112" s="16">
        <v>120</v>
      </c>
      <c r="E1112" s="16">
        <v>13</v>
      </c>
      <c r="F1112" s="17">
        <v>10</v>
      </c>
    </row>
    <row r="1113" spans="1:6" x14ac:dyDescent="0.25">
      <c r="A1113" s="13">
        <v>46112</v>
      </c>
      <c r="B1113" s="14" t="s">
        <v>15</v>
      </c>
      <c r="C1113" s="15" t="s">
        <v>23</v>
      </c>
      <c r="D1113" s="16">
        <v>120</v>
      </c>
      <c r="E1113" s="16">
        <v>13</v>
      </c>
      <c r="F1113" s="17">
        <v>10</v>
      </c>
    </row>
    <row r="1114" spans="1:6" x14ac:dyDescent="0.25">
      <c r="A1114" s="13">
        <v>46113</v>
      </c>
      <c r="B1114" s="14" t="s">
        <v>16</v>
      </c>
      <c r="C1114" s="15" t="s">
        <v>23</v>
      </c>
      <c r="D1114" s="16">
        <v>120</v>
      </c>
      <c r="E1114" s="16">
        <v>13</v>
      </c>
      <c r="F1114" s="17">
        <v>10</v>
      </c>
    </row>
    <row r="1115" spans="1:6" x14ac:dyDescent="0.25">
      <c r="A1115" s="13">
        <v>46114</v>
      </c>
      <c r="B1115" s="14" t="s">
        <v>8</v>
      </c>
      <c r="C1115" s="15" t="s">
        <v>23</v>
      </c>
      <c r="D1115" s="16">
        <v>120</v>
      </c>
      <c r="E1115" s="16">
        <v>13</v>
      </c>
      <c r="F1115" s="17">
        <v>10</v>
      </c>
    </row>
    <row r="1116" spans="1:6" x14ac:dyDescent="0.25">
      <c r="A1116" s="13">
        <v>46115</v>
      </c>
      <c r="B1116" s="14" t="s">
        <v>10</v>
      </c>
      <c r="C1116" s="15" t="s">
        <v>9</v>
      </c>
      <c r="D1116" s="16"/>
      <c r="E1116" s="16"/>
      <c r="F1116" s="17"/>
    </row>
    <row r="1117" spans="1:6" x14ac:dyDescent="0.25">
      <c r="A1117" s="13">
        <v>46116</v>
      </c>
      <c r="B1117" s="14" t="s">
        <v>12</v>
      </c>
      <c r="C1117" s="15"/>
      <c r="D1117" s="16"/>
      <c r="E1117" s="16"/>
      <c r="F1117" s="17"/>
    </row>
    <row r="1118" spans="1:6" x14ac:dyDescent="0.25">
      <c r="A1118" s="13">
        <v>46117</v>
      </c>
      <c r="B1118" s="14" t="s">
        <v>13</v>
      </c>
      <c r="C1118" s="15" t="s">
        <v>9</v>
      </c>
      <c r="D1118" s="16"/>
      <c r="E1118" s="16"/>
      <c r="F1118" s="17"/>
    </row>
    <row r="1119" spans="1:6" x14ac:dyDescent="0.25">
      <c r="A1119" s="13">
        <v>46118</v>
      </c>
      <c r="B1119" s="14" t="s">
        <v>14</v>
      </c>
      <c r="C1119" s="15" t="s">
        <v>23</v>
      </c>
      <c r="D1119" s="16">
        <v>120</v>
      </c>
      <c r="E1119" s="16">
        <v>13</v>
      </c>
      <c r="F1119" s="17">
        <v>0</v>
      </c>
    </row>
    <row r="1120" spans="1:6" ht="15.75" thickBot="1" x14ac:dyDescent="0.3"/>
    <row r="1121" spans="1:6" ht="15.75" thickBot="1" x14ac:dyDescent="0.3">
      <c r="A1121" s="1" t="s">
        <v>0</v>
      </c>
      <c r="B1121" s="2"/>
      <c r="C1121" s="33" t="s">
        <v>47</v>
      </c>
      <c r="D1121" s="34"/>
      <c r="E1121" s="34"/>
      <c r="F1121" s="35"/>
    </row>
    <row r="1122" spans="1:6" x14ac:dyDescent="0.25">
      <c r="A1122" s="6"/>
      <c r="B1122" s="6"/>
      <c r="C1122" s="7"/>
      <c r="D1122" s="8"/>
      <c r="E1122" s="8"/>
      <c r="F1122" s="8"/>
    </row>
    <row r="1123" spans="1:6" ht="25.5" x14ac:dyDescent="0.25">
      <c r="A1123" s="9" t="s">
        <v>2</v>
      </c>
      <c r="B1123" s="10" t="s">
        <v>3</v>
      </c>
      <c r="C1123" s="10" t="s">
        <v>4</v>
      </c>
      <c r="D1123" s="11" t="s">
        <v>5</v>
      </c>
      <c r="E1123" s="11" t="s">
        <v>6</v>
      </c>
      <c r="F1123" s="12" t="s">
        <v>7</v>
      </c>
    </row>
    <row r="1124" spans="1:6" x14ac:dyDescent="0.25">
      <c r="A1124" s="13">
        <v>46111</v>
      </c>
      <c r="B1124" s="14" t="s">
        <v>14</v>
      </c>
      <c r="C1124" s="15" t="s">
        <v>23</v>
      </c>
      <c r="D1124" s="16">
        <v>135</v>
      </c>
      <c r="E1124" s="16">
        <v>13</v>
      </c>
      <c r="F1124" s="17">
        <v>10</v>
      </c>
    </row>
    <row r="1125" spans="1:6" x14ac:dyDescent="0.25">
      <c r="A1125" s="13">
        <v>46112</v>
      </c>
      <c r="B1125" s="14" t="s">
        <v>15</v>
      </c>
      <c r="C1125" s="15" t="s">
        <v>23</v>
      </c>
      <c r="D1125" s="16">
        <v>135</v>
      </c>
      <c r="E1125" s="16">
        <v>13</v>
      </c>
      <c r="F1125" s="17">
        <v>10</v>
      </c>
    </row>
    <row r="1126" spans="1:6" x14ac:dyDescent="0.25">
      <c r="A1126" s="13">
        <v>46113</v>
      </c>
      <c r="B1126" s="14" t="s">
        <v>16</v>
      </c>
      <c r="C1126" s="15" t="s">
        <v>23</v>
      </c>
      <c r="D1126" s="16">
        <v>135</v>
      </c>
      <c r="E1126" s="16">
        <v>13</v>
      </c>
      <c r="F1126" s="17">
        <v>10</v>
      </c>
    </row>
    <row r="1127" spans="1:6" x14ac:dyDescent="0.25">
      <c r="A1127" s="13">
        <v>46114</v>
      </c>
      <c r="B1127" s="14" t="s">
        <v>8</v>
      </c>
      <c r="C1127" s="15" t="s">
        <v>23</v>
      </c>
      <c r="D1127" s="16">
        <v>135</v>
      </c>
      <c r="E1127" s="16">
        <v>13</v>
      </c>
      <c r="F1127" s="17">
        <v>10</v>
      </c>
    </row>
    <row r="1128" spans="1:6" x14ac:dyDescent="0.25">
      <c r="A1128" s="51">
        <v>46115</v>
      </c>
      <c r="B1128" s="52" t="s">
        <v>10</v>
      </c>
      <c r="C1128" s="53" t="s">
        <v>9</v>
      </c>
      <c r="D1128" s="54"/>
      <c r="E1128" s="54"/>
      <c r="F1128" s="55"/>
    </row>
    <row r="1129" spans="1:6" x14ac:dyDescent="0.25">
      <c r="A1129" s="56">
        <v>46116</v>
      </c>
      <c r="B1129" s="14" t="s">
        <v>12</v>
      </c>
      <c r="C1129" s="15"/>
      <c r="D1129" s="57"/>
      <c r="E1129" s="57"/>
      <c r="F1129" s="58"/>
    </row>
    <row r="1130" spans="1:6" x14ac:dyDescent="0.25">
      <c r="A1130" s="51">
        <v>46117</v>
      </c>
      <c r="B1130" s="52" t="s">
        <v>13</v>
      </c>
      <c r="C1130" s="53" t="s">
        <v>9</v>
      </c>
      <c r="D1130" s="54"/>
      <c r="E1130" s="54"/>
      <c r="F1130" s="55"/>
    </row>
    <row r="1131" spans="1:6" x14ac:dyDescent="0.25">
      <c r="A1131" s="56">
        <v>46118</v>
      </c>
      <c r="B1131" s="14" t="s">
        <v>14</v>
      </c>
      <c r="C1131" s="15" t="s">
        <v>23</v>
      </c>
      <c r="D1131" s="57">
        <v>135</v>
      </c>
      <c r="E1131" s="57">
        <v>13</v>
      </c>
      <c r="F1131" s="58">
        <v>0</v>
      </c>
    </row>
  </sheetData>
  <mergeCells count="31">
    <mergeCell ref="A1032:B1032"/>
    <mergeCell ref="C1032:F1032"/>
    <mergeCell ref="A1080:B1080"/>
    <mergeCell ref="C1080:F1080"/>
    <mergeCell ref="A1121:B1121"/>
    <mergeCell ref="C1121:F1121"/>
    <mergeCell ref="A829:B829"/>
    <mergeCell ref="A896:B896"/>
    <mergeCell ref="C896:F896"/>
    <mergeCell ref="A955:B955"/>
    <mergeCell ref="C955:F955"/>
    <mergeCell ref="A1018:B1018"/>
    <mergeCell ref="C1018:F1018"/>
    <mergeCell ref="A546:B546"/>
    <mergeCell ref="C546:F546"/>
    <mergeCell ref="A647:B647"/>
    <mergeCell ref="C647:F647"/>
    <mergeCell ref="A747:B747"/>
    <mergeCell ref="C747:F747"/>
    <mergeCell ref="A246:B246"/>
    <mergeCell ref="C246:F246"/>
    <mergeCell ref="A346:B346"/>
    <mergeCell ref="C346:F346"/>
    <mergeCell ref="A446:B446"/>
    <mergeCell ref="C446:F446"/>
    <mergeCell ref="A1:B1"/>
    <mergeCell ref="C1:F1"/>
    <mergeCell ref="A101:B101"/>
    <mergeCell ref="C101:F101"/>
    <mergeCell ref="A156:B156"/>
    <mergeCell ref="C156:F156"/>
  </mergeCells>
  <conditionalFormatting sqref="A1:F33 A40:D40 A41:F99 B958:F958 A750:B755">
    <cfRule type="containsText" dxfId="989" priority="2332" operator="containsText" text="DOMINGO">
      <formula>NOT(ISERROR(SEARCH("DOMINGO",A1)))</formula>
    </cfRule>
  </conditionalFormatting>
  <conditionalFormatting sqref="A1:F33 A40:D40 A41:F99 A1124:F1127 A1083:F1105 A1035:E1038 B1021:F1022 B958:F958 A750:B755">
    <cfRule type="containsText" dxfId="988" priority="2333" operator="containsText" text="SÁBADO">
      <formula>NOT(ISERROR(SEARCH("SÁBADO",A1)))</formula>
    </cfRule>
  </conditionalFormatting>
  <conditionalFormatting sqref="A1:F33 A40:D40 A41:F99 A37:B39 A750:B755">
    <cfRule type="containsText" dxfId="987" priority="2334" operator="containsText" text="FERIADO">
      <formula>NOT(ISERROR(SEARCH("FERIADO",A1)))</formula>
    </cfRule>
  </conditionalFormatting>
  <conditionalFormatting sqref="C80">
    <cfRule type="containsText" dxfId="986" priority="2304" operator="containsText" text="DESCANSO">
      <formula>NOT(ISERROR(SEARCH("DESCANSO",C80)))</formula>
    </cfRule>
    <cfRule type="containsText" dxfId="985" priority="2305" operator="containsText" text="FALTOU">
      <formula>NOT(ISERROR(SEARCH("FALTOU",C80)))</formula>
    </cfRule>
  </conditionalFormatting>
  <conditionalFormatting sqref="C34:F35 F832:F833">
    <cfRule type="containsText" dxfId="984" priority="2322" operator="containsText" text="FERIADO">
      <formula>NOT(ISERROR(SEARCH("FERIADO",C34)))</formula>
    </cfRule>
    <cfRule type="containsText" dxfId="983" priority="2323" operator="containsText" text="ATESTADO">
      <formula>NOT(ISERROR(SEARCH("ATESTADO",C34)))</formula>
    </cfRule>
    <cfRule type="containsText" dxfId="982" priority="2324" operator="containsText" text="DESCANSO">
      <formula>NOT(ISERROR(SEARCH("DESCANSO",C34)))</formula>
    </cfRule>
    <cfRule type="containsText" dxfId="981" priority="2325" operator="containsText" text="FALTOU">
      <formula>NOT(ISERROR(SEARCH("FALTOU",C34)))</formula>
    </cfRule>
  </conditionalFormatting>
  <conditionalFormatting sqref="C34:F39 B899:F900 B832 E832:F835">
    <cfRule type="containsText" dxfId="980" priority="2312" operator="containsText" text="DOMINGO">
      <formula>NOT(ISERROR(SEARCH("DOMINGO",B34)))</formula>
    </cfRule>
    <cfRule type="containsText" dxfId="979" priority="2313" operator="containsText" text="SÁBADO">
      <formula>NOT(ISERROR(SEARCH("SÁBADO",B34)))</formula>
    </cfRule>
  </conditionalFormatting>
  <conditionalFormatting sqref="C36:F37">
    <cfRule type="containsText" dxfId="978" priority="2318" operator="containsText" text="FERIADO">
      <formula>NOT(ISERROR(SEARCH("FERIADO",C36)))</formula>
    </cfRule>
    <cfRule type="containsText" dxfId="977" priority="2319" operator="containsText" text="ATESTADO">
      <formula>NOT(ISERROR(SEARCH("ATESTADO",C36)))</formula>
    </cfRule>
    <cfRule type="containsText" dxfId="976" priority="2320" operator="containsText" text="DESCANSO">
      <formula>NOT(ISERROR(SEARCH("DESCANSO",C36)))</formula>
    </cfRule>
    <cfRule type="containsText" dxfId="975" priority="2321" operator="containsText" text="FALTOU">
      <formula>NOT(ISERROR(SEARCH("FALTOU",C36)))</formula>
    </cfRule>
  </conditionalFormatting>
  <conditionalFormatting sqref="C38:F39">
    <cfRule type="containsText" dxfId="974" priority="2314" operator="containsText" text="FERIADO">
      <formula>NOT(ISERROR(SEARCH("FERIADO",C38)))</formula>
    </cfRule>
    <cfRule type="containsText" dxfId="973" priority="2315" operator="containsText" text="ATESTADO">
      <formula>NOT(ISERROR(SEARCH("ATESTADO",C38)))</formula>
    </cfRule>
    <cfRule type="containsText" dxfId="972" priority="2316" operator="containsText" text="DESCANSO">
      <formula>NOT(ISERROR(SEARCH("DESCANSO",C38)))</formula>
    </cfRule>
    <cfRule type="containsText" dxfId="971" priority="2317" operator="containsText" text="FALTOU">
      <formula>NOT(ISERROR(SEARCH("FALTOU",C38)))</formula>
    </cfRule>
  </conditionalFormatting>
  <conditionalFormatting sqref="E40:F40">
    <cfRule type="containsText" dxfId="970" priority="2306" operator="containsText" text="DOMINGO">
      <formula>NOT(ISERROR(SEARCH("DOMINGO",E40)))</formula>
    </cfRule>
    <cfRule type="containsText" dxfId="969" priority="2307" operator="containsText" text="SÁBADO">
      <formula>NOT(ISERROR(SEARCH("SÁBADO",E40)))</formula>
    </cfRule>
    <cfRule type="containsText" dxfId="968" priority="2308" operator="containsText" text="FERIADO">
      <formula>NOT(ISERROR(SEARCH("FERIADO",E40)))</formula>
    </cfRule>
    <cfRule type="containsText" dxfId="967" priority="2309" operator="containsText" text="ATESTADO">
      <formula>NOT(ISERROR(SEARCH("ATESTADO",E40)))</formula>
    </cfRule>
    <cfRule type="containsText" dxfId="966" priority="2310" operator="containsText" text="DESCANSO">
      <formula>NOT(ISERROR(SEARCH("DESCANSO",E40)))</formula>
    </cfRule>
    <cfRule type="containsText" dxfId="965" priority="2311" operator="containsText" text="FALTOU">
      <formula>NOT(ISERROR(SEARCH("FALTOU",E40)))</formula>
    </cfRule>
  </conditionalFormatting>
  <conditionalFormatting sqref="A34:B36">
    <cfRule type="containsText" dxfId="964" priority="2330" operator="containsText" text="DESCANSO">
      <formula>NOT(ISERROR(SEARCH("DESCANSO",A34)))</formula>
    </cfRule>
    <cfRule type="containsText" dxfId="963" priority="2331" operator="containsText" text="FALTOU">
      <formula>NOT(ISERROR(SEARCH("FALTOU",A34)))</formula>
    </cfRule>
  </conditionalFormatting>
  <conditionalFormatting sqref="A37:B99 C41:F99 A750:B755">
    <cfRule type="containsText" dxfId="962" priority="2335" operator="containsText" text="DESCANSO">
      <formula>NOT(ISERROR(SEARCH("DESCANSO",A37)))</formula>
    </cfRule>
  </conditionalFormatting>
  <conditionalFormatting sqref="A1:F33 C40:D40">
    <cfRule type="containsText" dxfId="961" priority="2338" operator="containsText" text="DESCANSO">
      <formula>NOT(ISERROR(SEARCH("DESCANSO",A1)))</formula>
    </cfRule>
    <cfRule type="containsText" dxfId="960" priority="2339" operator="containsText" text="FALTOU">
      <formula>NOT(ISERROR(SEARCH("FALTOU",A1)))</formula>
    </cfRule>
  </conditionalFormatting>
  <conditionalFormatting sqref="A37:B39 A40:D40 A41:F99 A1:F33 A750:B755">
    <cfRule type="containsText" dxfId="959" priority="2337" operator="containsText" text="ATESTADO">
      <formula>NOT(ISERROR(SEARCH("ATESTADO",A1)))</formula>
    </cfRule>
  </conditionalFormatting>
  <conditionalFormatting sqref="A37:B99 C41:F99 A750:B755">
    <cfRule type="containsText" dxfId="958" priority="2336" operator="containsText" text="FALTOU">
      <formula>NOT(ISERROR(SEARCH("FALTOU",A37)))</formula>
    </cfRule>
  </conditionalFormatting>
  <conditionalFormatting sqref="A34:B39">
    <cfRule type="containsText" dxfId="957" priority="2326" operator="containsText" text="DOMINGO">
      <formula>NOT(ISERROR(SEARCH("DOMINGO",A34)))</formula>
    </cfRule>
    <cfRule type="containsText" dxfId="956" priority="2327" operator="containsText" text="SÁBADO">
      <formula>NOT(ISERROR(SEARCH("SÁBADO",A34)))</formula>
    </cfRule>
  </conditionalFormatting>
  <conditionalFormatting sqref="A34:B36">
    <cfRule type="containsText" dxfId="955" priority="2328" operator="containsText" text="FERIADO">
      <formula>NOT(ISERROR(SEARCH("FERIADO",A34)))</formula>
    </cfRule>
    <cfRule type="containsText" dxfId="954" priority="2329" operator="containsText" text="ATESTADO">
      <formula>NOT(ISERROR(SEARCH("ATESTADO",A34)))</formula>
    </cfRule>
  </conditionalFormatting>
  <conditionalFormatting sqref="A101:F133 A141:B141 A142:F142 A143:B148 A149:F149 A150:B154">
    <cfRule type="containsText" dxfId="953" priority="2296" operator="containsText" text="DOMINGO">
      <formula>NOT(ISERROR(SEARCH("DOMINGO",A101)))</formula>
    </cfRule>
  </conditionalFormatting>
  <conditionalFormatting sqref="A101:F133 A141:B141 A142:F142 A143:B148 A149:F149 A150:B154">
    <cfRule type="containsText" dxfId="952" priority="2297" operator="containsText" text="SÁBADO">
      <formula>NOT(ISERROR(SEARCH("SÁBADO",A101)))</formula>
    </cfRule>
  </conditionalFormatting>
  <conditionalFormatting sqref="A101:F133 A142:F142 A143:B148 A149:F149 A150:B154 A137:B141">
    <cfRule type="containsText" dxfId="951" priority="2298" operator="containsText" text="FERIADO">
      <formula>NOT(ISERROR(SEARCH("FERIADO",A101)))</formula>
    </cfRule>
  </conditionalFormatting>
  <conditionalFormatting sqref="C134:F134">
    <cfRule type="containsText" dxfId="950" priority="2286" operator="containsText" text="FERIADO">
      <formula>NOT(ISERROR(SEARCH("FERIADO",C134)))</formula>
    </cfRule>
    <cfRule type="containsText" dxfId="949" priority="2287" operator="containsText" text="ATESTADO">
      <formula>NOT(ISERROR(SEARCH("ATESTADO",C134)))</formula>
    </cfRule>
    <cfRule type="containsText" dxfId="948" priority="2288" operator="containsText" text="DESCANSO">
      <formula>NOT(ISERROR(SEARCH("DESCANSO",C134)))</formula>
    </cfRule>
    <cfRule type="containsText" dxfId="947" priority="2289" operator="containsText" text="FALTOU">
      <formula>NOT(ISERROR(SEARCH("FALTOU",C134)))</formula>
    </cfRule>
  </conditionalFormatting>
  <conditionalFormatting sqref="C134:F141">
    <cfRule type="containsText" dxfId="946" priority="2268" operator="containsText" text="DOMINGO">
      <formula>NOT(ISERROR(SEARCH("DOMINGO",C134)))</formula>
    </cfRule>
    <cfRule type="containsText" dxfId="945" priority="2269" operator="containsText" text="SÁBADO">
      <formula>NOT(ISERROR(SEARCH("SÁBADO",C134)))</formula>
    </cfRule>
  </conditionalFormatting>
  <conditionalFormatting sqref="C135:F135">
    <cfRule type="containsText" dxfId="944" priority="2282" operator="containsText" text="FERIADO">
      <formula>NOT(ISERROR(SEARCH("FERIADO",C135)))</formula>
    </cfRule>
    <cfRule type="containsText" dxfId="943" priority="2283" operator="containsText" text="ATESTADO">
      <formula>NOT(ISERROR(SEARCH("ATESTADO",C135)))</formula>
    </cfRule>
    <cfRule type="containsText" dxfId="942" priority="2284" operator="containsText" text="DESCANSO">
      <formula>NOT(ISERROR(SEARCH("DESCANSO",C135)))</formula>
    </cfRule>
    <cfRule type="containsText" dxfId="941" priority="2285" operator="containsText" text="FALTOU">
      <formula>NOT(ISERROR(SEARCH("FALTOU",C135)))</formula>
    </cfRule>
  </conditionalFormatting>
  <conditionalFormatting sqref="C136:F137">
    <cfRule type="containsText" dxfId="940" priority="2278" operator="containsText" text="FERIADO">
      <formula>NOT(ISERROR(SEARCH("FERIADO",C136)))</formula>
    </cfRule>
    <cfRule type="containsText" dxfId="939" priority="2279" operator="containsText" text="ATESTADO">
      <formula>NOT(ISERROR(SEARCH("ATESTADO",C136)))</formula>
    </cfRule>
    <cfRule type="containsText" dxfId="938" priority="2280" operator="containsText" text="DESCANSO">
      <formula>NOT(ISERROR(SEARCH("DESCANSO",C136)))</formula>
    </cfRule>
    <cfRule type="containsText" dxfId="937" priority="2281" operator="containsText" text="FALTOU">
      <formula>NOT(ISERROR(SEARCH("FALTOU",C136)))</formula>
    </cfRule>
  </conditionalFormatting>
  <conditionalFormatting sqref="C138:F138">
    <cfRule type="containsText" dxfId="936" priority="2274" operator="containsText" text="FERIADO">
      <formula>NOT(ISERROR(SEARCH("FERIADO",C138)))</formula>
    </cfRule>
    <cfRule type="containsText" dxfId="935" priority="2275" operator="containsText" text="ATESTADO">
      <formula>NOT(ISERROR(SEARCH("ATESTADO",C138)))</formula>
    </cfRule>
    <cfRule type="containsText" dxfId="934" priority="2276" operator="containsText" text="DESCANSO">
      <formula>NOT(ISERROR(SEARCH("DESCANSO",C138)))</formula>
    </cfRule>
    <cfRule type="containsText" dxfId="933" priority="2277" operator="containsText" text="FALTOU">
      <formula>NOT(ISERROR(SEARCH("FALTOU",C138)))</formula>
    </cfRule>
  </conditionalFormatting>
  <conditionalFormatting sqref="C139:F141">
    <cfRule type="containsText" dxfId="932" priority="2270" operator="containsText" text="FERIADO">
      <formula>NOT(ISERROR(SEARCH("FERIADO",C139)))</formula>
    </cfRule>
    <cfRule type="containsText" dxfId="931" priority="2271" operator="containsText" text="ATESTADO">
      <formula>NOT(ISERROR(SEARCH("ATESTADO",C139)))</formula>
    </cfRule>
    <cfRule type="containsText" dxfId="930" priority="2272" operator="containsText" text="DESCANSO">
      <formula>NOT(ISERROR(SEARCH("DESCANSO",C139)))</formula>
    </cfRule>
    <cfRule type="containsText" dxfId="929" priority="2273" operator="containsText" text="FALTOU">
      <formula>NOT(ISERROR(SEARCH("FALTOU",C139)))</formula>
    </cfRule>
  </conditionalFormatting>
  <conditionalFormatting sqref="C143:F148">
    <cfRule type="containsText" dxfId="928" priority="2262" operator="containsText" text="DOMINGO">
      <formula>NOT(ISERROR(SEARCH("DOMINGO",C143)))</formula>
    </cfRule>
    <cfRule type="containsText" dxfId="927" priority="2263" operator="containsText" text="SÁBADO">
      <formula>NOT(ISERROR(SEARCH("SÁBADO",C143)))</formula>
    </cfRule>
    <cfRule type="containsText" dxfId="926" priority="2264" operator="containsText" text="FERIADO">
      <formula>NOT(ISERROR(SEARCH("FERIADO",C143)))</formula>
    </cfRule>
    <cfRule type="containsText" dxfId="925" priority="2265" operator="containsText" text="ATESTADO">
      <formula>NOT(ISERROR(SEARCH("ATESTADO",C143)))</formula>
    </cfRule>
    <cfRule type="containsText" dxfId="924" priority="2266" operator="containsText" text="DESCANSO">
      <formula>NOT(ISERROR(SEARCH("DESCANSO",C143)))</formula>
    </cfRule>
    <cfRule type="containsText" dxfId="923" priority="2267" operator="containsText" text="FALTOU">
      <formula>NOT(ISERROR(SEARCH("FALTOU",C143)))</formula>
    </cfRule>
  </conditionalFormatting>
  <conditionalFormatting sqref="C150:F152">
    <cfRule type="containsText" dxfId="922" priority="2257" operator="containsText" text="DOMINGO">
      <formula>NOT(ISERROR(SEARCH("DOMINGO",C150)))</formula>
    </cfRule>
    <cfRule type="containsText" dxfId="921" priority="2258" operator="containsText" text="FERIADO">
      <formula>NOT(ISERROR(SEARCH("FERIADO",C150)))</formula>
    </cfRule>
    <cfRule type="containsText" dxfId="920" priority="2259" operator="containsText" text="ATESTADO">
      <formula>NOT(ISERROR(SEARCH("ATESTADO",C150)))</formula>
    </cfRule>
    <cfRule type="containsText" dxfId="919" priority="2260" operator="containsText" text="DESCANSO">
      <formula>NOT(ISERROR(SEARCH("DESCANSO",C150)))</formula>
    </cfRule>
    <cfRule type="containsText" dxfId="918" priority="2261" operator="containsText" text="FALTOU">
      <formula>NOT(ISERROR(SEARCH("FALTOU",C150)))</formula>
    </cfRule>
  </conditionalFormatting>
  <conditionalFormatting sqref="C150:F154">
    <cfRule type="containsText" dxfId="917" priority="2247" operator="containsText" text="SÁBADO">
      <formula>NOT(ISERROR(SEARCH("SÁBADO",C150)))</formula>
    </cfRule>
  </conditionalFormatting>
  <conditionalFormatting sqref="C153:F153">
    <cfRule type="containsText" dxfId="916" priority="2252" operator="containsText" text="DOMINGO">
      <formula>NOT(ISERROR(SEARCH("DOMINGO",C153)))</formula>
    </cfRule>
    <cfRule type="containsText" dxfId="915" priority="2253" operator="containsText" text="FERIADO">
      <formula>NOT(ISERROR(SEARCH("FERIADO",C153)))</formula>
    </cfRule>
    <cfRule type="containsText" dxfId="914" priority="2254" operator="containsText" text="ATESTADO">
      <formula>NOT(ISERROR(SEARCH("ATESTADO",C153)))</formula>
    </cfRule>
    <cfRule type="containsText" dxfId="913" priority="2255" operator="containsText" text="DESCANSO">
      <formula>NOT(ISERROR(SEARCH("DESCANSO",C153)))</formula>
    </cfRule>
    <cfRule type="containsText" dxfId="912" priority="2256" operator="containsText" text="FALTOU">
      <formula>NOT(ISERROR(SEARCH("FALTOU",C153)))</formula>
    </cfRule>
  </conditionalFormatting>
  <conditionalFormatting sqref="C154:F154">
    <cfRule type="containsText" dxfId="911" priority="2246" operator="containsText" text="DOMINGO">
      <formula>NOT(ISERROR(SEARCH("DOMINGO",C154)))</formula>
    </cfRule>
    <cfRule type="containsText" dxfId="910" priority="2248" operator="containsText" text="FERIADO">
      <formula>NOT(ISERROR(SEARCH("FERIADO",C154)))</formula>
    </cfRule>
    <cfRule type="containsText" dxfId="909" priority="2249" operator="containsText" text="ATESTADO">
      <formula>NOT(ISERROR(SEARCH("ATESTADO",C154)))</formula>
    </cfRule>
    <cfRule type="containsText" dxfId="908" priority="2250" operator="containsText" text="DESCANSO">
      <formula>NOT(ISERROR(SEARCH("DESCANSO",C154)))</formula>
    </cfRule>
    <cfRule type="containsText" dxfId="907" priority="2251" operator="containsText" text="FALTOU">
      <formula>NOT(ISERROR(SEARCH("FALTOU",C154)))</formula>
    </cfRule>
  </conditionalFormatting>
  <conditionalFormatting sqref="A134:B136">
    <cfRule type="containsText" dxfId="906" priority="2294" operator="containsText" text="DESCANSO">
      <formula>NOT(ISERROR(SEARCH("DESCANSO",A134)))</formula>
    </cfRule>
    <cfRule type="containsText" dxfId="905" priority="2295" operator="containsText" text="FALTOU">
      <formula>NOT(ISERROR(SEARCH("FALTOU",A134)))</formula>
    </cfRule>
  </conditionalFormatting>
  <conditionalFormatting sqref="A141:B141 A142:F142 A143:B148 A149:F149 A150:B154">
    <cfRule type="containsText" dxfId="904" priority="2299" operator="containsText" text="DESCANSO">
      <formula>NOT(ISERROR(SEARCH("DESCANSO",A141)))</formula>
    </cfRule>
  </conditionalFormatting>
  <conditionalFormatting sqref="A101:F133 A137:B154">
    <cfRule type="containsText" dxfId="903" priority="2302" operator="containsText" text="DESCANSO">
      <formula>NOT(ISERROR(SEARCH("DESCANSO",A101)))</formula>
    </cfRule>
    <cfRule type="containsText" dxfId="902" priority="2303" operator="containsText" text="FALTOU">
      <formula>NOT(ISERROR(SEARCH("FALTOU",A101)))</formula>
    </cfRule>
  </conditionalFormatting>
  <conditionalFormatting sqref="A142:F142 A143:B148 A149:F149 A150:B154 A101:F133 A137:B141">
    <cfRule type="containsText" dxfId="901" priority="2301" operator="containsText" text="ATESTADO">
      <formula>NOT(ISERROR(SEARCH("ATESTADO",A101)))</formula>
    </cfRule>
  </conditionalFormatting>
  <conditionalFormatting sqref="A141:B141 A142:F142 A143:B148 A149:F149 A150:B154">
    <cfRule type="containsText" dxfId="900" priority="2300" operator="containsText" text="FALTOU">
      <formula>NOT(ISERROR(SEARCH("FALTOU",A141)))</formula>
    </cfRule>
  </conditionalFormatting>
  <conditionalFormatting sqref="A134:B140">
    <cfRule type="containsText" dxfId="899" priority="2290" operator="containsText" text="DOMINGO">
      <formula>NOT(ISERROR(SEARCH("DOMINGO",A134)))</formula>
    </cfRule>
    <cfRule type="containsText" dxfId="898" priority="2291" operator="containsText" text="SÁBADO">
      <formula>NOT(ISERROR(SEARCH("SÁBADO",A134)))</formula>
    </cfRule>
  </conditionalFormatting>
  <conditionalFormatting sqref="A134:B136">
    <cfRule type="containsText" dxfId="897" priority="2292" operator="containsText" text="FERIADO">
      <formula>NOT(ISERROR(SEARCH("FERIADO",A134)))</formula>
    </cfRule>
    <cfRule type="containsText" dxfId="896" priority="2293" operator="containsText" text="ATESTADO">
      <formula>NOT(ISERROR(SEARCH("ATESTADO",A134)))</formula>
    </cfRule>
  </conditionalFormatting>
  <conditionalFormatting sqref="A156:F188 A195:D195 A196:F244">
    <cfRule type="containsText" dxfId="895" priority="2238" operator="containsText" text="DOMINGO">
      <formula>NOT(ISERROR(SEARCH("DOMINGO",A156)))</formula>
    </cfRule>
  </conditionalFormatting>
  <conditionalFormatting sqref="A156:F188 A195:D195 A196:F244">
    <cfRule type="containsText" dxfId="894" priority="2239" operator="containsText" text="SÁBADO">
      <formula>NOT(ISERROR(SEARCH("SÁBADO",A156)))</formula>
    </cfRule>
  </conditionalFormatting>
  <conditionalFormatting sqref="A156:F188 A195:D195 A196:F244 A192:B194">
    <cfRule type="containsText" dxfId="893" priority="2240" operator="containsText" text="FERIADO">
      <formula>NOT(ISERROR(SEARCH("FERIADO",A156)))</formula>
    </cfRule>
  </conditionalFormatting>
  <conditionalFormatting sqref="A189:F190 F191 A191:B191">
    <cfRule type="containsText" dxfId="892" priority="2236" operator="containsText" text="DESCANSO">
      <formula>NOT(ISERROR(SEARCH("DESCANSO",A189)))</formula>
    </cfRule>
    <cfRule type="containsText" dxfId="891" priority="2237" operator="containsText" text="FALTOU">
      <formula>NOT(ISERROR(SEARCH("FALTOU",A189)))</formula>
    </cfRule>
  </conditionalFormatting>
  <conditionalFormatting sqref="C191:C192">
    <cfRule type="containsText" dxfId="890" priority="2216" operator="containsText" text="FERIADO">
      <formula>NOT(ISERROR(SEARCH("FERIADO",C191)))</formula>
    </cfRule>
    <cfRule type="containsText" dxfId="889" priority="2217" operator="containsText" text="ATESTADO">
      <formula>NOT(ISERROR(SEARCH("ATESTADO",C191)))</formula>
    </cfRule>
    <cfRule type="containsText" dxfId="888" priority="2218" operator="containsText" text="DESCANSO">
      <formula>NOT(ISERROR(SEARCH("DESCANSO",C191)))</formula>
    </cfRule>
    <cfRule type="containsText" dxfId="887" priority="2219" operator="containsText" text="FALTOU">
      <formula>NOT(ISERROR(SEARCH("FALTOU",C191)))</formula>
    </cfRule>
  </conditionalFormatting>
  <conditionalFormatting sqref="C191:C194">
    <cfRule type="containsText" dxfId="886" priority="2198" operator="containsText" text="DOMINGO">
      <formula>NOT(ISERROR(SEARCH("DOMINGO",C191)))</formula>
    </cfRule>
    <cfRule type="containsText" dxfId="885" priority="2199" operator="containsText" text="SÁBADO">
      <formula>NOT(ISERROR(SEARCH("SÁBADO",C191)))</formula>
    </cfRule>
  </conditionalFormatting>
  <conditionalFormatting sqref="C193">
    <cfRule type="containsText" dxfId="884" priority="2208" operator="containsText" text="FERIADO">
      <formula>NOT(ISERROR(SEARCH("FERIADO",C193)))</formula>
    </cfRule>
    <cfRule type="containsText" dxfId="883" priority="2209" operator="containsText" text="ATESTADO">
      <formula>NOT(ISERROR(SEARCH("ATESTADO",C193)))</formula>
    </cfRule>
    <cfRule type="containsText" dxfId="882" priority="2210" operator="containsText" text="DESCANSO">
      <formula>NOT(ISERROR(SEARCH("DESCANSO",C193)))</formula>
    </cfRule>
    <cfRule type="containsText" dxfId="881" priority="2211" operator="containsText" text="FALTOU">
      <formula>NOT(ISERROR(SEARCH("FALTOU",C193)))</formula>
    </cfRule>
  </conditionalFormatting>
  <conditionalFormatting sqref="C194">
    <cfRule type="containsText" dxfId="880" priority="2200" operator="containsText" text="FERIADO">
      <formula>NOT(ISERROR(SEARCH("FERIADO",C194)))</formula>
    </cfRule>
    <cfRule type="containsText" dxfId="879" priority="2201" operator="containsText" text="ATESTADO">
      <formula>NOT(ISERROR(SEARCH("ATESTADO",C194)))</formula>
    </cfRule>
    <cfRule type="containsText" dxfId="878" priority="2202" operator="containsText" text="DESCANSO">
      <formula>NOT(ISERROR(SEARCH("DESCANSO",C194)))</formula>
    </cfRule>
    <cfRule type="containsText" dxfId="877" priority="2203" operator="containsText" text="FALTOU">
      <formula>NOT(ISERROR(SEARCH("FALTOU",C194)))</formula>
    </cfRule>
  </conditionalFormatting>
  <conditionalFormatting sqref="D191:D192">
    <cfRule type="containsText" dxfId="876" priority="2212" operator="containsText" text="FERIADO">
      <formula>NOT(ISERROR(SEARCH("FERIADO",D191)))</formula>
    </cfRule>
    <cfRule type="containsText" dxfId="875" priority="2213" operator="containsText" text="ATESTADO">
      <formula>NOT(ISERROR(SEARCH("ATESTADO",D191)))</formula>
    </cfRule>
    <cfRule type="containsText" dxfId="874" priority="2214" operator="containsText" text="DESCANSO">
      <formula>NOT(ISERROR(SEARCH("DESCANSO",D191)))</formula>
    </cfRule>
    <cfRule type="containsText" dxfId="873" priority="2215" operator="containsText" text="FALTOU">
      <formula>NOT(ISERROR(SEARCH("FALTOU",D191)))</formula>
    </cfRule>
  </conditionalFormatting>
  <conditionalFormatting sqref="D191:D194">
    <cfRule type="containsText" dxfId="872" priority="2192" operator="containsText" text="DOMINGO">
      <formula>NOT(ISERROR(SEARCH("DOMINGO",D191)))</formula>
    </cfRule>
    <cfRule type="containsText" dxfId="871" priority="2193" operator="containsText" text="SÁBADO">
      <formula>NOT(ISERROR(SEARCH("SÁBADO",D191)))</formula>
    </cfRule>
  </conditionalFormatting>
  <conditionalFormatting sqref="D193">
    <cfRule type="containsText" dxfId="870" priority="2204" operator="containsText" text="FERIADO">
      <formula>NOT(ISERROR(SEARCH("FERIADO",D193)))</formula>
    </cfRule>
    <cfRule type="containsText" dxfId="869" priority="2205" operator="containsText" text="ATESTADO">
      <formula>NOT(ISERROR(SEARCH("ATESTADO",D193)))</formula>
    </cfRule>
    <cfRule type="containsText" dxfId="868" priority="2206" operator="containsText" text="DESCANSO">
      <formula>NOT(ISERROR(SEARCH("DESCANSO",D193)))</formula>
    </cfRule>
    <cfRule type="containsText" dxfId="867" priority="2207" operator="containsText" text="FALTOU">
      <formula>NOT(ISERROR(SEARCH("FALTOU",D193)))</formula>
    </cfRule>
  </conditionalFormatting>
  <conditionalFormatting sqref="D194">
    <cfRule type="containsText" dxfId="866" priority="2194" operator="containsText" text="FERIADO">
      <formula>NOT(ISERROR(SEARCH("FERIADO",D194)))</formula>
    </cfRule>
    <cfRule type="containsText" dxfId="865" priority="2195" operator="containsText" text="ATESTADO">
      <formula>NOT(ISERROR(SEARCH("ATESTADO",D194)))</formula>
    </cfRule>
    <cfRule type="containsText" dxfId="864" priority="2196" operator="containsText" text="DESCANSO">
      <formula>NOT(ISERROR(SEARCH("DESCANSO",D194)))</formula>
    </cfRule>
    <cfRule type="containsText" dxfId="863" priority="2197" operator="containsText" text="FALTOU">
      <formula>NOT(ISERROR(SEARCH("FALTOU",D194)))</formula>
    </cfRule>
  </conditionalFormatting>
  <conditionalFormatting sqref="E191:E195">
    <cfRule type="containsText" dxfId="862" priority="2226" operator="containsText" text="DOMINGO">
      <formula>NOT(ISERROR(SEARCH("DOMINGO",E191)))</formula>
    </cfRule>
    <cfRule type="containsText" dxfId="861" priority="2227" operator="containsText" text="SÁBADO">
      <formula>NOT(ISERROR(SEARCH("SÁBADO",E191)))</formula>
    </cfRule>
    <cfRule type="containsText" dxfId="860" priority="2228" operator="containsText" text="FERIADO">
      <formula>NOT(ISERROR(SEARCH("FERIADO",E191)))</formula>
    </cfRule>
    <cfRule type="containsText" dxfId="859" priority="2229" operator="containsText" text="ATESTADO">
      <formula>NOT(ISERROR(SEARCH("ATESTADO",E191)))</formula>
    </cfRule>
    <cfRule type="containsText" dxfId="858" priority="2230" operator="containsText" text="DESCANSO">
      <formula>NOT(ISERROR(SEARCH("DESCANSO",E191)))</formula>
    </cfRule>
    <cfRule type="containsText" dxfId="857" priority="2231" operator="containsText" text="FALTOU">
      <formula>NOT(ISERROR(SEARCH("FALTOU",E191)))</formula>
    </cfRule>
  </conditionalFormatting>
  <conditionalFormatting sqref="F192:F195">
    <cfRule type="containsText" dxfId="856" priority="2220" operator="containsText" text="DOMINGO">
      <formula>NOT(ISERROR(SEARCH("DOMINGO",F192)))</formula>
    </cfRule>
    <cfRule type="containsText" dxfId="855" priority="2221" operator="containsText" text="SÁBADO">
      <formula>NOT(ISERROR(SEARCH("SÁBADO",F192)))</formula>
    </cfRule>
    <cfRule type="containsText" dxfId="854" priority="2222" operator="containsText" text="FERIADO">
      <formula>NOT(ISERROR(SEARCH("FERIADO",F192)))</formula>
    </cfRule>
    <cfRule type="containsText" dxfId="853" priority="2223" operator="containsText" text="ATESTADO">
      <formula>NOT(ISERROR(SEARCH("ATESTADO",F192)))</formula>
    </cfRule>
    <cfRule type="containsText" dxfId="852" priority="2224" operator="containsText" text="DESCANSO">
      <formula>NOT(ISERROR(SEARCH("DESCANSO",F192)))</formula>
    </cfRule>
    <cfRule type="containsText" dxfId="851" priority="2225" operator="containsText" text="FALTOU">
      <formula>NOT(ISERROR(SEARCH("FALTOU",F192)))</formula>
    </cfRule>
  </conditionalFormatting>
  <conditionalFormatting sqref="A199:F244 A192:B198 C196:F198">
    <cfRule type="containsText" dxfId="850" priority="2241" operator="containsText" text="DESCANSO">
      <formula>NOT(ISERROR(SEARCH("DESCANSO",A192)))</formula>
    </cfRule>
  </conditionalFormatting>
  <conditionalFormatting sqref="A156:F188 A192:B194 A195:D195">
    <cfRule type="containsText" dxfId="849" priority="2244" operator="containsText" text="DESCANSO">
      <formula>NOT(ISERROR(SEARCH("DESCANSO",A156)))</formula>
    </cfRule>
    <cfRule type="containsText" dxfId="848" priority="2245" operator="containsText" text="FALTOU">
      <formula>NOT(ISERROR(SEARCH("FALTOU",A156)))</formula>
    </cfRule>
  </conditionalFormatting>
  <conditionalFormatting sqref="A192:B194 A195:D195 A196:F244 A156:F188">
    <cfRule type="containsText" dxfId="847" priority="2243" operator="containsText" text="ATESTADO">
      <formula>NOT(ISERROR(SEARCH("ATESTADO",A156)))</formula>
    </cfRule>
  </conditionalFormatting>
  <conditionalFormatting sqref="A192:B198 C196:F198 A199:F244">
    <cfRule type="containsText" dxfId="846" priority="2242" operator="containsText" text="FALTOU">
      <formula>NOT(ISERROR(SEARCH("FALTOU",A192)))</formula>
    </cfRule>
  </conditionalFormatting>
  <conditionalFormatting sqref="A189:F190 F191 A191:B194">
    <cfRule type="containsText" dxfId="845" priority="2232" operator="containsText" text="DOMINGO">
      <formula>NOT(ISERROR(SEARCH("DOMINGO",A189)))</formula>
    </cfRule>
    <cfRule type="containsText" dxfId="844" priority="2233" operator="containsText" text="SÁBADO">
      <formula>NOT(ISERROR(SEARCH("SÁBADO",A189)))</formula>
    </cfRule>
  </conditionalFormatting>
  <conditionalFormatting sqref="A189:F190 F191 A191:B191">
    <cfRule type="containsText" dxfId="843" priority="2234" operator="containsText" text="FERIADO">
      <formula>NOT(ISERROR(SEARCH("FERIADO",A189)))</formula>
    </cfRule>
    <cfRule type="containsText" dxfId="842" priority="2235" operator="containsText" text="ATESTADO">
      <formula>NOT(ISERROR(SEARCH("ATESTADO",A189)))</formula>
    </cfRule>
  </conditionalFormatting>
  <conditionalFormatting sqref="A246:F278 A282:B284 A285:D285 A286:F344">
    <cfRule type="containsText" dxfId="841" priority="2184" operator="containsText" text="DOMINGO">
      <formula>NOT(ISERROR(SEARCH("DOMINGO",A246)))</formula>
    </cfRule>
  </conditionalFormatting>
  <conditionalFormatting sqref="A246:F278 A282:B284 A285:D285 A286:F344">
    <cfRule type="containsText" dxfId="840" priority="2185" operator="containsText" text="SÁBADO">
      <formula>NOT(ISERROR(SEARCH("SÁBADO",A246)))</formula>
    </cfRule>
  </conditionalFormatting>
  <conditionalFormatting sqref="A246:F278 A282:B284 A285:D285 A286:F344 F282:F283">
    <cfRule type="containsText" dxfId="839" priority="2186" operator="containsText" text="FERIADO">
      <formula>NOT(ISERROR(SEARCH("FERIADO",A246)))</formula>
    </cfRule>
  </conditionalFormatting>
  <conditionalFormatting sqref="A279:F280 A281:B281 F281">
    <cfRule type="containsText" dxfId="838" priority="2182" operator="containsText" text="DESCANSO">
      <formula>NOT(ISERROR(SEARCH("DESCANSO",A279)))</formula>
    </cfRule>
    <cfRule type="containsText" dxfId="837" priority="2183" operator="containsText" text="FALTOU">
      <formula>NOT(ISERROR(SEARCH("FALTOU",A279)))</formula>
    </cfRule>
  </conditionalFormatting>
  <conditionalFormatting sqref="A286:F344">
    <cfRule type="containsText" dxfId="836" priority="2187" operator="containsText" text="DESCANSO">
      <formula>NOT(ISERROR(SEARCH("DESCANSO",A286)))</formula>
    </cfRule>
  </conditionalFormatting>
  <conditionalFormatting sqref="C284:D284">
    <cfRule type="containsText" dxfId="835" priority="2156" operator="containsText" text="DOMINGO">
      <formula>NOT(ISERROR(SEARCH("DOMINGO",C284)))</formula>
    </cfRule>
    <cfRule type="containsText" dxfId="834" priority="2157" operator="containsText" text="SÁBADO">
      <formula>NOT(ISERROR(SEARCH("SÁBADO",C284)))</formula>
    </cfRule>
    <cfRule type="containsText" dxfId="833" priority="2158" operator="containsText" text="FERIADO">
      <formula>NOT(ISERROR(SEARCH("FERIADO",C284)))</formula>
    </cfRule>
    <cfRule type="containsText" dxfId="832" priority="2159" operator="containsText" text="ATESTADO">
      <formula>NOT(ISERROR(SEARCH("ATESTADO",C284)))</formula>
    </cfRule>
    <cfRule type="containsText" dxfId="831" priority="2160" operator="containsText" text="DESCANSO">
      <formula>NOT(ISERROR(SEARCH("DESCANSO",C284)))</formula>
    </cfRule>
    <cfRule type="containsText" dxfId="830" priority="2161" operator="containsText" text="FALTOU">
      <formula>NOT(ISERROR(SEARCH("FALTOU",C284)))</formula>
    </cfRule>
  </conditionalFormatting>
  <conditionalFormatting sqref="C281:E282">
    <cfRule type="containsText" dxfId="829" priority="2174" operator="containsText" text="FERIADO">
      <formula>NOT(ISERROR(SEARCH("FERIADO",C281)))</formula>
    </cfRule>
    <cfRule type="containsText" dxfId="828" priority="2175" operator="containsText" text="ATESTADO">
      <formula>NOT(ISERROR(SEARCH("ATESTADO",C281)))</formula>
    </cfRule>
    <cfRule type="containsText" dxfId="827" priority="2176" operator="containsText" text="DESCANSO">
      <formula>NOT(ISERROR(SEARCH("DESCANSO",C281)))</formula>
    </cfRule>
    <cfRule type="containsText" dxfId="826" priority="2177" operator="containsText" text="FALTOU">
      <formula>NOT(ISERROR(SEARCH("FALTOU",C281)))</formula>
    </cfRule>
  </conditionalFormatting>
  <conditionalFormatting sqref="C281:E283">
    <cfRule type="containsText" dxfId="825" priority="2168" operator="containsText" text="DOMINGO">
      <formula>NOT(ISERROR(SEARCH("DOMINGO",C281)))</formula>
    </cfRule>
    <cfRule type="containsText" dxfId="824" priority="2169" operator="containsText" text="SÁBADO">
      <formula>NOT(ISERROR(SEARCH("SÁBADO",C281)))</formula>
    </cfRule>
  </conditionalFormatting>
  <conditionalFormatting sqref="C283:E283">
    <cfRule type="containsText" dxfId="823" priority="2170" operator="containsText" text="FERIADO">
      <formula>NOT(ISERROR(SEARCH("FERIADO",C283)))</formula>
    </cfRule>
    <cfRule type="containsText" dxfId="822" priority="2171" operator="containsText" text="ATESTADO">
      <formula>NOT(ISERROR(SEARCH("ATESTADO",C283)))</formula>
    </cfRule>
    <cfRule type="containsText" dxfId="821" priority="2172" operator="containsText" text="DESCANSO">
      <formula>NOT(ISERROR(SEARCH("DESCANSO",C283)))</formula>
    </cfRule>
    <cfRule type="containsText" dxfId="820" priority="2173" operator="containsText" text="FALTOU">
      <formula>NOT(ISERROR(SEARCH("FALTOU",C283)))</formula>
    </cfRule>
  </conditionalFormatting>
  <conditionalFormatting sqref="E284:E285">
    <cfRule type="containsText" dxfId="819" priority="2162" operator="containsText" text="DOMINGO">
      <formula>NOT(ISERROR(SEARCH("DOMINGO",E284)))</formula>
    </cfRule>
    <cfRule type="containsText" dxfId="818" priority="2163" operator="containsText" text="SÁBADO">
      <formula>NOT(ISERROR(SEARCH("SÁBADO",E284)))</formula>
    </cfRule>
    <cfRule type="containsText" dxfId="817" priority="2164" operator="containsText" text="FERIADO">
      <formula>NOT(ISERROR(SEARCH("FERIADO",E284)))</formula>
    </cfRule>
    <cfRule type="containsText" dxfId="816" priority="2165" operator="containsText" text="ATESTADO">
      <formula>NOT(ISERROR(SEARCH("ATESTADO",E284)))</formula>
    </cfRule>
    <cfRule type="containsText" dxfId="815" priority="2166" operator="containsText" text="DESCANSO">
      <formula>NOT(ISERROR(SEARCH("DESCANSO",E284)))</formula>
    </cfRule>
    <cfRule type="containsText" dxfId="814" priority="2167" operator="containsText" text="FALTOU">
      <formula>NOT(ISERROR(SEARCH("FALTOU",E284)))</formula>
    </cfRule>
  </conditionalFormatting>
  <conditionalFormatting sqref="F284:F285">
    <cfRule type="containsText" dxfId="813" priority="2150" operator="containsText" text="DOMINGO">
      <formula>NOT(ISERROR(SEARCH("DOMINGO",F284)))</formula>
    </cfRule>
    <cfRule type="containsText" dxfId="812" priority="2151" operator="containsText" text="SÁBADO">
      <formula>NOT(ISERROR(SEARCH("SÁBADO",F284)))</formula>
    </cfRule>
    <cfRule type="containsText" dxfId="811" priority="2152" operator="containsText" text="FERIADO">
      <formula>NOT(ISERROR(SEARCH("FERIADO",F284)))</formula>
    </cfRule>
    <cfRule type="containsText" dxfId="810" priority="2153" operator="containsText" text="ATESTADO">
      <formula>NOT(ISERROR(SEARCH("ATESTADO",F284)))</formula>
    </cfRule>
    <cfRule type="containsText" dxfId="809" priority="2154" operator="containsText" text="DESCANSO">
      <formula>NOT(ISERROR(SEARCH("DESCANSO",F284)))</formula>
    </cfRule>
    <cfRule type="containsText" dxfId="808" priority="2155" operator="containsText" text="FALTOU">
      <formula>NOT(ISERROR(SEARCH("FALTOU",F284)))</formula>
    </cfRule>
  </conditionalFormatting>
  <conditionalFormatting sqref="A246:F278 F282:F283 A282:B344 C285:D285">
    <cfRule type="containsText" dxfId="807" priority="2190" operator="containsText" text="DESCANSO">
      <formula>NOT(ISERROR(SEARCH("DESCANSO",A246)))</formula>
    </cfRule>
    <cfRule type="containsText" dxfId="806" priority="2191" operator="containsText" text="FALTOU">
      <formula>NOT(ISERROR(SEARCH("FALTOU",A246)))</formula>
    </cfRule>
  </conditionalFormatting>
  <conditionalFormatting sqref="A286:F344 A246:F278 F282:F283 A282:B284 A285:D285">
    <cfRule type="containsText" dxfId="805" priority="2189" operator="containsText" text="ATESTADO">
      <formula>NOT(ISERROR(SEARCH("ATESTADO",A246)))</formula>
    </cfRule>
  </conditionalFormatting>
  <conditionalFormatting sqref="A286:F344">
    <cfRule type="containsText" dxfId="804" priority="2188" operator="containsText" text="FALTOU">
      <formula>NOT(ISERROR(SEARCH("FALTOU",A286)))</formula>
    </cfRule>
  </conditionalFormatting>
  <conditionalFormatting sqref="A279:F280 A281:B281 F281:F283">
    <cfRule type="containsText" dxfId="803" priority="2178" operator="containsText" text="DOMINGO">
      <formula>NOT(ISERROR(SEARCH("DOMINGO",A279)))</formula>
    </cfRule>
    <cfRule type="containsText" dxfId="802" priority="2179" operator="containsText" text="SÁBADO">
      <formula>NOT(ISERROR(SEARCH("SÁBADO",A279)))</formula>
    </cfRule>
  </conditionalFormatting>
  <conditionalFormatting sqref="A279:F280 A281:B281 F281">
    <cfRule type="containsText" dxfId="801" priority="2180" operator="containsText" text="FERIADO">
      <formula>NOT(ISERROR(SEARCH("FERIADO",A279)))</formula>
    </cfRule>
    <cfRule type="containsText" dxfId="800" priority="2181" operator="containsText" text="ATESTADO">
      <formula>NOT(ISERROR(SEARCH("ATESTADO",A279)))</formula>
    </cfRule>
  </conditionalFormatting>
  <conditionalFormatting sqref="A435:F444 A346:F378 A384:B384 A385:D385 A386:F387 A388:B388 A389:F389 A390:B392 A393:F396 A397:B399 A400:F401 A402:E406 A407:F408 E409:E413 A409:B412 A413:D413 A414:F415 A416:E420 A421:F422 A423:E427 A428:F429 A430:E434">
    <cfRule type="containsText" dxfId="799" priority="2142" operator="containsText" text="DOMINGO">
      <formula>NOT(ISERROR(SEARCH("DOMINGO",A346)))</formula>
    </cfRule>
  </conditionalFormatting>
  <conditionalFormatting sqref="A435:F444 A423:E427 A346:F378 A384:B384 A385:D385 A386:F387 A388:B388 A389:F389 A390:B392 A393:F396 A397:B399 A400:F401 A402:E406 A407:F408 E409:E413 A409:B412 A413:D413 A414:F415 A416:E420 A421:F422 A428:F429 A430:E434">
    <cfRule type="containsText" dxfId="798" priority="2143" operator="containsText" text="SÁBADO">
      <formula>NOT(ISERROR(SEARCH("SÁBADO",A346)))</formula>
    </cfRule>
  </conditionalFormatting>
  <conditionalFormatting sqref="A346:F378 A385:D385 A386:F387 A388:B388 A389:F389 A390:B392 A393:F396 A397:B399 A400:F401 A402:E406 A407:F408 E409:E413 A409:B412 A413:D413 A414:F415 A416:E420 A421:F422 A423:E427 A428:F429 A430:E434 A435:F444 A382:B384">
    <cfRule type="containsText" dxfId="797" priority="2144" operator="containsText" text="FERIADO">
      <formula>NOT(ISERROR(SEARCH("FERIADO",A346)))</formula>
    </cfRule>
  </conditionalFormatting>
  <conditionalFormatting sqref="A379:F380 F381 A381:B381">
    <cfRule type="containsText" dxfId="796" priority="2140" operator="containsText" text="DESCANSO">
      <formula>NOT(ISERROR(SEARCH("DESCANSO",A379)))</formula>
    </cfRule>
    <cfRule type="containsText" dxfId="795" priority="2141" operator="containsText" text="FALTOU">
      <formula>NOT(ISERROR(SEARCH("FALTOU",A379)))</formula>
    </cfRule>
  </conditionalFormatting>
  <conditionalFormatting sqref="A435:F444 A386:F387 A388:B388 A389:F389 A390:B392 A393:F396 A397:B399 A400:F401 A402:E406 A407:F408 E409:E413 A409:B412 A413:D413 A414:F415 A416:E420 A421:F422 A423:E427 A428:F429 A430:E434">
    <cfRule type="containsText" dxfId="794" priority="2145" operator="containsText" text="DESCANSO">
      <formula>NOT(ISERROR(SEARCH("DESCANSO",A386)))</formula>
    </cfRule>
  </conditionalFormatting>
  <conditionalFormatting sqref="C381:C382">
    <cfRule type="containsText" dxfId="793" priority="2116" operator="containsText" text="FERIADO">
      <formula>NOT(ISERROR(SEARCH("FERIADO",C381)))</formula>
    </cfRule>
    <cfRule type="containsText" dxfId="792" priority="2117" operator="containsText" text="ATESTADO">
      <formula>NOT(ISERROR(SEARCH("ATESTADO",C381)))</formula>
    </cfRule>
    <cfRule type="containsText" dxfId="791" priority="2118" operator="containsText" text="DESCANSO">
      <formula>NOT(ISERROR(SEARCH("DESCANSO",C381)))</formula>
    </cfRule>
    <cfRule type="containsText" dxfId="790" priority="2119" operator="containsText" text="FALTOU">
      <formula>NOT(ISERROR(SEARCH("FALTOU",C381)))</formula>
    </cfRule>
  </conditionalFormatting>
  <conditionalFormatting sqref="C381:C384">
    <cfRule type="containsText" dxfId="789" priority="2104" operator="containsText" text="DOMINGO">
      <formula>NOT(ISERROR(SEARCH("DOMINGO",C381)))</formula>
    </cfRule>
    <cfRule type="containsText" dxfId="788" priority="2105" operator="containsText" text="SÁBADO">
      <formula>NOT(ISERROR(SEARCH("SÁBADO",C381)))</formula>
    </cfRule>
  </conditionalFormatting>
  <conditionalFormatting sqref="C383:C384">
    <cfRule type="containsText" dxfId="787" priority="2106" operator="containsText" text="FERIADO">
      <formula>NOT(ISERROR(SEARCH("FERIADO",C383)))</formula>
    </cfRule>
    <cfRule type="containsText" dxfId="786" priority="2107" operator="containsText" text="ATESTADO">
      <formula>NOT(ISERROR(SEARCH("ATESTADO",C383)))</formula>
    </cfRule>
    <cfRule type="containsText" dxfId="785" priority="2108" operator="containsText" text="DESCANSO">
      <formula>NOT(ISERROR(SEARCH("DESCANSO",C383)))</formula>
    </cfRule>
    <cfRule type="containsText" dxfId="784" priority="2109" operator="containsText" text="FALTOU">
      <formula>NOT(ISERROR(SEARCH("FALTOU",C383)))</formula>
    </cfRule>
  </conditionalFormatting>
  <conditionalFormatting sqref="C388:D388">
    <cfRule type="containsText" dxfId="783" priority="2098" operator="containsText" text="DOMINGO">
      <formula>NOT(ISERROR(SEARCH("DOMINGO",C388)))</formula>
    </cfRule>
    <cfRule type="containsText" dxfId="782" priority="2099" operator="containsText" text="SÁBADO">
      <formula>NOT(ISERROR(SEARCH("SÁBADO",C388)))</formula>
    </cfRule>
    <cfRule type="containsText" dxfId="781" priority="2100" operator="containsText" text="FERIADO">
      <formula>NOT(ISERROR(SEARCH("FERIADO",C388)))</formula>
    </cfRule>
    <cfRule type="containsText" dxfId="780" priority="2101" operator="containsText" text="ATESTADO">
      <formula>NOT(ISERROR(SEARCH("ATESTADO",C388)))</formula>
    </cfRule>
    <cfRule type="containsText" dxfId="779" priority="2102" operator="containsText" text="DESCANSO">
      <formula>NOT(ISERROR(SEARCH("DESCANSO",C388)))</formula>
    </cfRule>
    <cfRule type="containsText" dxfId="778" priority="2103" operator="containsText" text="FALTOU">
      <formula>NOT(ISERROR(SEARCH("FALTOU",C388)))</formula>
    </cfRule>
  </conditionalFormatting>
  <conditionalFormatting sqref="C390:D392">
    <cfRule type="containsText" dxfId="777" priority="2080" operator="containsText" text="DOMINGO">
      <formula>NOT(ISERROR(SEARCH("DOMINGO",C390)))</formula>
    </cfRule>
    <cfRule type="containsText" dxfId="776" priority="2081" operator="containsText" text="SÁBADO">
      <formula>NOT(ISERROR(SEARCH("SÁBADO",C390)))</formula>
    </cfRule>
    <cfRule type="containsText" dxfId="775" priority="2082" operator="containsText" text="FERIADO">
      <formula>NOT(ISERROR(SEARCH("FERIADO",C390)))</formula>
    </cfRule>
    <cfRule type="containsText" dxfId="774" priority="2083" operator="containsText" text="ATESTADO">
      <formula>NOT(ISERROR(SEARCH("ATESTADO",C390)))</formula>
    </cfRule>
    <cfRule type="containsText" dxfId="773" priority="2084" operator="containsText" text="DESCANSO">
      <formula>NOT(ISERROR(SEARCH("DESCANSO",C390)))</formula>
    </cfRule>
    <cfRule type="containsText" dxfId="772" priority="2085" operator="containsText" text="FALTOU">
      <formula>NOT(ISERROR(SEARCH("FALTOU",C390)))</formula>
    </cfRule>
  </conditionalFormatting>
  <conditionalFormatting sqref="C397:D397">
    <cfRule type="containsText" dxfId="771" priority="2063" operator="containsText" text="DOMINGO">
      <formula>NOT(ISERROR(SEARCH("DOMINGO",C397)))</formula>
    </cfRule>
    <cfRule type="containsText" dxfId="770" priority="2064" operator="containsText" text="FERIADO">
      <formula>NOT(ISERROR(SEARCH("FERIADO",C397)))</formula>
    </cfRule>
    <cfRule type="containsText" dxfId="769" priority="2065" operator="containsText" text="ATESTADO">
      <formula>NOT(ISERROR(SEARCH("ATESTADO",C397)))</formula>
    </cfRule>
    <cfRule type="containsText" dxfId="768" priority="2066" operator="containsText" text="DESCANSO">
      <formula>NOT(ISERROR(SEARCH("DESCANSO",C397)))</formula>
    </cfRule>
    <cfRule type="containsText" dxfId="767" priority="2067" operator="containsText" text="FALTOU">
      <formula>NOT(ISERROR(SEARCH("FALTOU",C397)))</formula>
    </cfRule>
  </conditionalFormatting>
  <conditionalFormatting sqref="C397:D399">
    <cfRule type="containsText" dxfId="766" priority="2037" operator="containsText" text="SÁBADO">
      <formula>NOT(ISERROR(SEARCH("SÁBADO",C397)))</formula>
    </cfRule>
  </conditionalFormatting>
  <conditionalFormatting sqref="C398:D398">
    <cfRule type="containsText" dxfId="765" priority="2047" operator="containsText" text="DOMINGO">
      <formula>NOT(ISERROR(SEARCH("DOMINGO",C398)))</formula>
    </cfRule>
    <cfRule type="containsText" dxfId="764" priority="2048" operator="containsText" text="FERIADO">
      <formula>NOT(ISERROR(SEARCH("FERIADO",C398)))</formula>
    </cfRule>
    <cfRule type="containsText" dxfId="763" priority="2049" operator="containsText" text="ATESTADO">
      <formula>NOT(ISERROR(SEARCH("ATESTADO",C398)))</formula>
    </cfRule>
    <cfRule type="containsText" dxfId="762" priority="2050" operator="containsText" text="DESCANSO">
      <formula>NOT(ISERROR(SEARCH("DESCANSO",C398)))</formula>
    </cfRule>
    <cfRule type="containsText" dxfId="761" priority="2051" operator="containsText" text="FALTOU">
      <formula>NOT(ISERROR(SEARCH("FALTOU",C398)))</formula>
    </cfRule>
  </conditionalFormatting>
  <conditionalFormatting sqref="C399:D399">
    <cfRule type="containsText" dxfId="760" priority="2036" operator="containsText" text="DOMINGO">
      <formula>NOT(ISERROR(SEARCH("DOMINGO",C399)))</formula>
    </cfRule>
    <cfRule type="containsText" dxfId="759" priority="2038" operator="containsText" text="FERIADO">
      <formula>NOT(ISERROR(SEARCH("FERIADO",C399)))</formula>
    </cfRule>
    <cfRule type="containsText" dxfId="758" priority="2039" operator="containsText" text="ATESTADO">
      <formula>NOT(ISERROR(SEARCH("ATESTADO",C399)))</formula>
    </cfRule>
    <cfRule type="containsText" dxfId="757" priority="2040" operator="containsText" text="DESCANSO">
      <formula>NOT(ISERROR(SEARCH("DESCANSO",C399)))</formula>
    </cfRule>
    <cfRule type="containsText" dxfId="756" priority="2041" operator="containsText" text="FALTOU">
      <formula>NOT(ISERROR(SEARCH("FALTOU",C399)))</formula>
    </cfRule>
  </conditionalFormatting>
  <conditionalFormatting sqref="C409:D412 F1035:F1038 A1021:A1022 A958:A960 A899:A900 A832:A841 C750:E755">
    <cfRule type="containsText" dxfId="755" priority="2012" operator="containsText" text="DOMINGO">
      <formula>NOT(ISERROR(SEARCH("DOMINGO",A409)))</formula>
    </cfRule>
    <cfRule type="containsText" dxfId="754" priority="2013" operator="containsText" text="SÁBADO">
      <formula>NOT(ISERROR(SEARCH("SÁBADO",A409)))</formula>
    </cfRule>
    <cfRule type="containsText" dxfId="753" priority="2014" operator="containsText" text="FERIADO">
      <formula>NOT(ISERROR(SEARCH("FERIADO",A409)))</formula>
    </cfRule>
    <cfRule type="containsText" dxfId="752" priority="2015" operator="containsText" text="DESCANSO">
      <formula>NOT(ISERROR(SEARCH("DESCANSO",A409)))</formula>
    </cfRule>
    <cfRule type="containsText" dxfId="751" priority="2016" operator="containsText" text="FALTOU">
      <formula>NOT(ISERROR(SEARCH("FALTOU",A409)))</formula>
    </cfRule>
    <cfRule type="containsText" dxfId="750" priority="2017" operator="containsText" text="ATESTADO">
      <formula>NOT(ISERROR(SEARCH("ATESTADO",A409)))</formula>
    </cfRule>
  </conditionalFormatting>
  <conditionalFormatting sqref="D381:D382">
    <cfRule type="containsText" dxfId="749" priority="2120" operator="containsText" text="FERIADO">
      <formula>NOT(ISERROR(SEARCH("FERIADO",D381)))</formula>
    </cfRule>
    <cfRule type="containsText" dxfId="748" priority="2121" operator="containsText" text="ATESTADO">
      <formula>NOT(ISERROR(SEARCH("ATESTADO",D381)))</formula>
    </cfRule>
    <cfRule type="containsText" dxfId="747" priority="2122" operator="containsText" text="DESCANSO">
      <formula>NOT(ISERROR(SEARCH("DESCANSO",D381)))</formula>
    </cfRule>
    <cfRule type="containsText" dxfId="746" priority="2123" operator="containsText" text="FALTOU">
      <formula>NOT(ISERROR(SEARCH("FALTOU",D381)))</formula>
    </cfRule>
  </conditionalFormatting>
  <conditionalFormatting sqref="D381:D384">
    <cfRule type="containsText" dxfId="745" priority="2110" operator="containsText" text="DOMINGO">
      <formula>NOT(ISERROR(SEARCH("DOMINGO",D381)))</formula>
    </cfRule>
    <cfRule type="containsText" dxfId="744" priority="2111" operator="containsText" text="SÁBADO">
      <formula>NOT(ISERROR(SEARCH("SÁBADO",D381)))</formula>
    </cfRule>
  </conditionalFormatting>
  <conditionalFormatting sqref="D383:D384">
    <cfRule type="containsText" dxfId="743" priority="2112" operator="containsText" text="FERIADO">
      <formula>NOT(ISERROR(SEARCH("FERIADO",D383)))</formula>
    </cfRule>
    <cfRule type="containsText" dxfId="742" priority="2113" operator="containsText" text="ATESTADO">
      <formula>NOT(ISERROR(SEARCH("ATESTADO",D383)))</formula>
    </cfRule>
    <cfRule type="containsText" dxfId="741" priority="2114" operator="containsText" text="DESCANSO">
      <formula>NOT(ISERROR(SEARCH("DESCANSO",D383)))</formula>
    </cfRule>
    <cfRule type="containsText" dxfId="740" priority="2115" operator="containsText" text="FALTOU">
      <formula>NOT(ISERROR(SEARCH("FALTOU",D383)))</formula>
    </cfRule>
  </conditionalFormatting>
  <conditionalFormatting sqref="E381:E385">
    <cfRule type="containsText" dxfId="739" priority="2130" operator="containsText" text="DOMINGO">
      <formula>NOT(ISERROR(SEARCH("DOMINGO",E381)))</formula>
    </cfRule>
    <cfRule type="containsText" dxfId="738" priority="2131" operator="containsText" text="SÁBADO">
      <formula>NOT(ISERROR(SEARCH("SÁBADO",E381)))</formula>
    </cfRule>
    <cfRule type="containsText" dxfId="737" priority="2132" operator="containsText" text="FERIADO">
      <formula>NOT(ISERROR(SEARCH("FERIADO",E381)))</formula>
    </cfRule>
    <cfRule type="containsText" dxfId="736" priority="2133" operator="containsText" text="ATESTADO">
      <formula>NOT(ISERROR(SEARCH("ATESTADO",E381)))</formula>
    </cfRule>
    <cfRule type="containsText" dxfId="735" priority="2134" operator="containsText" text="DESCANSO">
      <formula>NOT(ISERROR(SEARCH("DESCANSO",E381)))</formula>
    </cfRule>
    <cfRule type="containsText" dxfId="734" priority="2135" operator="containsText" text="FALTOU">
      <formula>NOT(ISERROR(SEARCH("FALTOU",E381)))</formula>
    </cfRule>
  </conditionalFormatting>
  <conditionalFormatting sqref="E388">
    <cfRule type="containsText" dxfId="733" priority="2092" operator="containsText" text="DOMINGO">
      <formula>NOT(ISERROR(SEARCH("DOMINGO",E388)))</formula>
    </cfRule>
    <cfRule type="containsText" dxfId="732" priority="2093" operator="containsText" text="SÁBADO">
      <formula>NOT(ISERROR(SEARCH("SÁBADO",E388)))</formula>
    </cfRule>
    <cfRule type="containsText" dxfId="731" priority="2094" operator="containsText" text="FERIADO">
      <formula>NOT(ISERROR(SEARCH("FERIADO",E388)))</formula>
    </cfRule>
    <cfRule type="containsText" dxfId="730" priority="2095" operator="containsText" text="ATESTADO">
      <formula>NOT(ISERROR(SEARCH("ATESTADO",E388)))</formula>
    </cfRule>
    <cfRule type="containsText" dxfId="729" priority="2096" operator="containsText" text="DESCANSO">
      <formula>NOT(ISERROR(SEARCH("DESCANSO",E388)))</formula>
    </cfRule>
    <cfRule type="containsText" dxfId="728" priority="2097" operator="containsText" text="FALTOU">
      <formula>NOT(ISERROR(SEARCH("FALTOU",E388)))</formula>
    </cfRule>
  </conditionalFormatting>
  <conditionalFormatting sqref="E390:E392">
    <cfRule type="containsText" dxfId="727" priority="2074" operator="containsText" text="DOMINGO">
      <formula>NOT(ISERROR(SEARCH("DOMINGO",E390)))</formula>
    </cfRule>
    <cfRule type="containsText" dxfId="726" priority="2075" operator="containsText" text="SÁBADO">
      <formula>NOT(ISERROR(SEARCH("SÁBADO",E390)))</formula>
    </cfRule>
    <cfRule type="containsText" dxfId="725" priority="2076" operator="containsText" text="FERIADO">
      <formula>NOT(ISERROR(SEARCH("FERIADO",E390)))</formula>
    </cfRule>
    <cfRule type="containsText" dxfId="724" priority="2077" operator="containsText" text="ATESTADO">
      <formula>NOT(ISERROR(SEARCH("ATESTADO",E390)))</formula>
    </cfRule>
    <cfRule type="containsText" dxfId="723" priority="2078" operator="containsText" text="DESCANSO">
      <formula>NOT(ISERROR(SEARCH("DESCANSO",E390)))</formula>
    </cfRule>
    <cfRule type="containsText" dxfId="722" priority="2079" operator="containsText" text="FALTOU">
      <formula>NOT(ISERROR(SEARCH("FALTOU",E390)))</formula>
    </cfRule>
  </conditionalFormatting>
  <conditionalFormatting sqref="E397">
    <cfRule type="containsText" dxfId="721" priority="2058" operator="containsText" text="DOMINGO">
      <formula>NOT(ISERROR(SEARCH("DOMINGO",E397)))</formula>
    </cfRule>
    <cfRule type="containsText" dxfId="720" priority="2059" operator="containsText" text="FERIADO">
      <formula>NOT(ISERROR(SEARCH("FERIADO",E397)))</formula>
    </cfRule>
    <cfRule type="containsText" dxfId="719" priority="2060" operator="containsText" text="ATESTADO">
      <formula>NOT(ISERROR(SEARCH("ATESTADO",E397)))</formula>
    </cfRule>
    <cfRule type="containsText" dxfId="718" priority="2061" operator="containsText" text="DESCANSO">
      <formula>NOT(ISERROR(SEARCH("DESCANSO",E397)))</formula>
    </cfRule>
    <cfRule type="containsText" dxfId="717" priority="2062" operator="containsText" text="FALTOU">
      <formula>NOT(ISERROR(SEARCH("FALTOU",E397)))</formula>
    </cfRule>
  </conditionalFormatting>
  <conditionalFormatting sqref="E397:E399">
    <cfRule type="containsText" dxfId="716" priority="2031" operator="containsText" text="SÁBADO">
      <formula>NOT(ISERROR(SEARCH("SÁBADO",E397)))</formula>
    </cfRule>
  </conditionalFormatting>
  <conditionalFormatting sqref="E398">
    <cfRule type="containsText" dxfId="715" priority="2042" operator="containsText" text="DOMINGO">
      <formula>NOT(ISERROR(SEARCH("DOMINGO",E398)))</formula>
    </cfRule>
    <cfRule type="containsText" dxfId="714" priority="2043" operator="containsText" text="FERIADO">
      <formula>NOT(ISERROR(SEARCH("FERIADO",E398)))</formula>
    </cfRule>
    <cfRule type="containsText" dxfId="713" priority="2044" operator="containsText" text="ATESTADO">
      <formula>NOT(ISERROR(SEARCH("ATESTADO",E398)))</formula>
    </cfRule>
    <cfRule type="containsText" dxfId="712" priority="2045" operator="containsText" text="DESCANSO">
      <formula>NOT(ISERROR(SEARCH("DESCANSO",E398)))</formula>
    </cfRule>
    <cfRule type="containsText" dxfId="711" priority="2046" operator="containsText" text="FALTOU">
      <formula>NOT(ISERROR(SEARCH("FALTOU",E398)))</formula>
    </cfRule>
  </conditionalFormatting>
  <conditionalFormatting sqref="E399">
    <cfRule type="containsText" dxfId="710" priority="2030" operator="containsText" text="DOMINGO">
      <formula>NOT(ISERROR(SEARCH("DOMINGO",E399)))</formula>
    </cfRule>
    <cfRule type="containsText" dxfId="709" priority="2032" operator="containsText" text="FERIADO">
      <formula>NOT(ISERROR(SEARCH("FERIADO",E399)))</formula>
    </cfRule>
    <cfRule type="containsText" dxfId="708" priority="2033" operator="containsText" text="ATESTADO">
      <formula>NOT(ISERROR(SEARCH("ATESTADO",E399)))</formula>
    </cfRule>
    <cfRule type="containsText" dxfId="707" priority="2034" operator="containsText" text="DESCANSO">
      <formula>NOT(ISERROR(SEARCH("DESCANSO",E399)))</formula>
    </cfRule>
    <cfRule type="containsText" dxfId="706" priority="2035" operator="containsText" text="FALTOU">
      <formula>NOT(ISERROR(SEARCH("FALTOU",E399)))</formula>
    </cfRule>
  </conditionalFormatting>
  <conditionalFormatting sqref="F382:F385">
    <cfRule type="containsText" dxfId="705" priority="2124" operator="containsText" text="DOMINGO">
      <formula>NOT(ISERROR(SEARCH("DOMINGO",F382)))</formula>
    </cfRule>
    <cfRule type="containsText" dxfId="704" priority="2125" operator="containsText" text="SÁBADO">
      <formula>NOT(ISERROR(SEARCH("SÁBADO",F382)))</formula>
    </cfRule>
    <cfRule type="containsText" dxfId="703" priority="2126" operator="containsText" text="FERIADO">
      <formula>NOT(ISERROR(SEARCH("FERIADO",F382)))</formula>
    </cfRule>
    <cfRule type="containsText" dxfId="702" priority="2127" operator="containsText" text="ATESTADO">
      <formula>NOT(ISERROR(SEARCH("ATESTADO",F382)))</formula>
    </cfRule>
    <cfRule type="containsText" dxfId="701" priority="2128" operator="containsText" text="DESCANSO">
      <formula>NOT(ISERROR(SEARCH("DESCANSO",F382)))</formula>
    </cfRule>
    <cfRule type="containsText" dxfId="700" priority="2129" operator="containsText" text="FALTOU">
      <formula>NOT(ISERROR(SEARCH("FALTOU",F382)))</formula>
    </cfRule>
  </conditionalFormatting>
  <conditionalFormatting sqref="F388">
    <cfRule type="containsText" dxfId="699" priority="2086" operator="containsText" text="DOMINGO">
      <formula>NOT(ISERROR(SEARCH("DOMINGO",F388)))</formula>
    </cfRule>
    <cfRule type="containsText" dxfId="698" priority="2087" operator="containsText" text="SÁBADO">
      <formula>NOT(ISERROR(SEARCH("SÁBADO",F388)))</formula>
    </cfRule>
    <cfRule type="containsText" dxfId="697" priority="2088" operator="containsText" text="FERIADO">
      <formula>NOT(ISERROR(SEARCH("FERIADO",F388)))</formula>
    </cfRule>
    <cfRule type="containsText" dxfId="696" priority="2089" operator="containsText" text="ATESTADO">
      <formula>NOT(ISERROR(SEARCH("ATESTADO",F388)))</formula>
    </cfRule>
    <cfRule type="containsText" dxfId="695" priority="2090" operator="containsText" text="DESCANSO">
      <formula>NOT(ISERROR(SEARCH("DESCANSO",F388)))</formula>
    </cfRule>
    <cfRule type="containsText" dxfId="694" priority="2091" operator="containsText" text="FALTOU">
      <formula>NOT(ISERROR(SEARCH("FALTOU",F388)))</formula>
    </cfRule>
  </conditionalFormatting>
  <conditionalFormatting sqref="F390:F392">
    <cfRule type="containsText" dxfId="693" priority="2068" operator="containsText" text="DOMINGO">
      <formula>NOT(ISERROR(SEARCH("DOMINGO",F390)))</formula>
    </cfRule>
    <cfRule type="containsText" dxfId="692" priority="2069" operator="containsText" text="SÁBADO">
      <formula>NOT(ISERROR(SEARCH("SÁBADO",F390)))</formula>
    </cfRule>
    <cfRule type="containsText" dxfId="691" priority="2070" operator="containsText" text="FERIADO">
      <formula>NOT(ISERROR(SEARCH("FERIADO",F390)))</formula>
    </cfRule>
    <cfRule type="containsText" dxfId="690" priority="2071" operator="containsText" text="ATESTADO">
      <formula>NOT(ISERROR(SEARCH("ATESTADO",F390)))</formula>
    </cfRule>
    <cfRule type="containsText" dxfId="689" priority="2072" operator="containsText" text="DESCANSO">
      <formula>NOT(ISERROR(SEARCH("DESCANSO",F390)))</formula>
    </cfRule>
    <cfRule type="containsText" dxfId="688" priority="2073" operator="containsText" text="FALTOU">
      <formula>NOT(ISERROR(SEARCH("FALTOU",F390)))</formula>
    </cfRule>
  </conditionalFormatting>
  <conditionalFormatting sqref="F397:F399">
    <cfRule type="containsText" dxfId="687" priority="2052" operator="containsText" text="DOMINGO">
      <formula>NOT(ISERROR(SEARCH("DOMINGO",F397)))</formula>
    </cfRule>
    <cfRule type="containsText" dxfId="686" priority="2053" operator="containsText" text="SÁBADO">
      <formula>NOT(ISERROR(SEARCH("SÁBADO",F397)))</formula>
    </cfRule>
    <cfRule type="containsText" dxfId="685" priority="2054" operator="containsText" text="FERIADO">
      <formula>NOT(ISERROR(SEARCH("FERIADO",F397)))</formula>
    </cfRule>
    <cfRule type="containsText" dxfId="684" priority="2055" operator="containsText" text="ATESTADO">
      <formula>NOT(ISERROR(SEARCH("ATESTADO",F397)))</formula>
    </cfRule>
    <cfRule type="containsText" dxfId="683" priority="2056" operator="containsText" text="DESCANSO">
      <formula>NOT(ISERROR(SEARCH("DESCANSO",F397)))</formula>
    </cfRule>
    <cfRule type="containsText" dxfId="682" priority="2057" operator="containsText" text="FALTOU">
      <formula>NOT(ISERROR(SEARCH("FALTOU",F397)))</formula>
    </cfRule>
  </conditionalFormatting>
  <conditionalFormatting sqref="F402:F406">
    <cfRule type="containsText" dxfId="681" priority="2024" operator="containsText" text="DOMINGO">
      <formula>NOT(ISERROR(SEARCH("DOMINGO",F402)))</formula>
    </cfRule>
    <cfRule type="containsText" dxfId="680" priority="2025" operator="containsText" text="SÁBADO">
      <formula>NOT(ISERROR(SEARCH("SÁBADO",F402)))</formula>
    </cfRule>
    <cfRule type="containsText" dxfId="679" priority="2026" operator="containsText" text="FERIADO">
      <formula>NOT(ISERROR(SEARCH("FERIADO",F402)))</formula>
    </cfRule>
    <cfRule type="containsText" dxfId="678" priority="2027" operator="containsText" text="ATESTADO">
      <formula>NOT(ISERROR(SEARCH("ATESTADO",F402)))</formula>
    </cfRule>
    <cfRule type="containsText" dxfId="677" priority="2028" operator="containsText" text="DESCANSO">
      <formula>NOT(ISERROR(SEARCH("DESCANSO",F402)))</formula>
    </cfRule>
    <cfRule type="containsText" dxfId="676" priority="2029" operator="containsText" text="FALTOU">
      <formula>NOT(ISERROR(SEARCH("FALTOU",F402)))</formula>
    </cfRule>
  </conditionalFormatting>
  <conditionalFormatting sqref="F409:F413">
    <cfRule type="containsText" dxfId="675" priority="2018" operator="containsText" text="DOMINGO">
      <formula>NOT(ISERROR(SEARCH("DOMINGO",F409)))</formula>
    </cfRule>
    <cfRule type="containsText" dxfId="674" priority="2019" operator="containsText" text="SÁBADO">
      <formula>NOT(ISERROR(SEARCH("SÁBADO",F409)))</formula>
    </cfRule>
    <cfRule type="containsText" dxfId="673" priority="2020" operator="containsText" text="FERIADO">
      <formula>NOT(ISERROR(SEARCH("FERIADO",F409)))</formula>
    </cfRule>
    <cfRule type="containsText" dxfId="672" priority="2021" operator="containsText" text="ATESTADO">
      <formula>NOT(ISERROR(SEARCH("ATESTADO",F409)))</formula>
    </cfRule>
    <cfRule type="containsText" dxfId="671" priority="2022" operator="containsText" text="DESCANSO">
      <formula>NOT(ISERROR(SEARCH("DESCANSO",F409)))</formula>
    </cfRule>
    <cfRule type="containsText" dxfId="670" priority="2023" operator="containsText" text="FALTOU">
      <formula>NOT(ISERROR(SEARCH("FALTOU",F409)))</formula>
    </cfRule>
  </conditionalFormatting>
  <conditionalFormatting sqref="F416:F420">
    <cfRule type="containsText" dxfId="669" priority="2006" operator="containsText" text="DOMINGO">
      <formula>NOT(ISERROR(SEARCH("DOMINGO",F416)))</formula>
    </cfRule>
    <cfRule type="containsText" dxfId="668" priority="2007" operator="containsText" text="SÁBADO">
      <formula>NOT(ISERROR(SEARCH("SÁBADO",F416)))</formula>
    </cfRule>
    <cfRule type="containsText" dxfId="667" priority="2008" operator="containsText" text="FERIADO">
      <formula>NOT(ISERROR(SEARCH("FERIADO",F416)))</formula>
    </cfRule>
    <cfRule type="containsText" dxfId="666" priority="2009" operator="containsText" text="ATESTADO">
      <formula>NOT(ISERROR(SEARCH("ATESTADO",F416)))</formula>
    </cfRule>
    <cfRule type="containsText" dxfId="665" priority="2010" operator="containsText" text="DESCANSO">
      <formula>NOT(ISERROR(SEARCH("DESCANSO",F416)))</formula>
    </cfRule>
    <cfRule type="containsText" dxfId="664" priority="2011" operator="containsText" text="FALTOU">
      <formula>NOT(ISERROR(SEARCH("FALTOU",F416)))</formula>
    </cfRule>
  </conditionalFormatting>
  <conditionalFormatting sqref="F423:F427">
    <cfRule type="containsText" dxfId="663" priority="2000" operator="containsText" text="DOMINGO">
      <formula>NOT(ISERROR(SEARCH("DOMINGO",F423)))</formula>
    </cfRule>
    <cfRule type="containsText" dxfId="662" priority="2001" operator="containsText" text="SÁBADO">
      <formula>NOT(ISERROR(SEARCH("SÁBADO",F423)))</formula>
    </cfRule>
    <cfRule type="containsText" dxfId="661" priority="2002" operator="containsText" text="FERIADO">
      <formula>NOT(ISERROR(SEARCH("FERIADO",F423)))</formula>
    </cfRule>
    <cfRule type="containsText" dxfId="660" priority="2003" operator="containsText" text="ATESTADO">
      <formula>NOT(ISERROR(SEARCH("ATESTADO",F423)))</formula>
    </cfRule>
    <cfRule type="containsText" dxfId="659" priority="2004" operator="containsText" text="DESCANSO">
      <formula>NOT(ISERROR(SEARCH("DESCANSO",F423)))</formula>
    </cfRule>
    <cfRule type="containsText" dxfId="658" priority="2005" operator="containsText" text="FALTOU">
      <formula>NOT(ISERROR(SEARCH("FALTOU",F423)))</formula>
    </cfRule>
  </conditionalFormatting>
  <conditionalFormatting sqref="F430:F434">
    <cfRule type="containsText" dxfId="657" priority="1994" operator="containsText" text="DOMINGO">
      <formula>NOT(ISERROR(SEARCH("DOMINGO",F430)))</formula>
    </cfRule>
    <cfRule type="containsText" dxfId="656" priority="1995" operator="containsText" text="SÁBADO">
      <formula>NOT(ISERROR(SEARCH("SÁBADO",F430)))</formula>
    </cfRule>
    <cfRule type="containsText" dxfId="655" priority="1996" operator="containsText" text="FERIADO">
      <formula>NOT(ISERROR(SEARCH("FERIADO",F430)))</formula>
    </cfRule>
    <cfRule type="containsText" dxfId="654" priority="1997" operator="containsText" text="ATESTADO">
      <formula>NOT(ISERROR(SEARCH("ATESTADO",F430)))</formula>
    </cfRule>
    <cfRule type="containsText" dxfId="653" priority="1998" operator="containsText" text="DESCANSO">
      <formula>NOT(ISERROR(SEARCH("DESCANSO",F430)))</formula>
    </cfRule>
    <cfRule type="containsText" dxfId="652" priority="1999" operator="containsText" text="FALTOU">
      <formula>NOT(ISERROR(SEARCH("FALTOU",F430)))</formula>
    </cfRule>
  </conditionalFormatting>
  <conditionalFormatting sqref="A346:F378 A382:B444 C385:D385">
    <cfRule type="containsText" dxfId="651" priority="2148" operator="containsText" text="DESCANSO">
      <formula>NOT(ISERROR(SEARCH("DESCANSO",A346)))</formula>
    </cfRule>
    <cfRule type="containsText" dxfId="650" priority="2149" operator="containsText" text="FALTOU">
      <formula>NOT(ISERROR(SEARCH("FALTOU",A346)))</formula>
    </cfRule>
  </conditionalFormatting>
  <conditionalFormatting sqref="A386:F387 A388:B388 A389:F389 A390:B392 A393:F396 A397:B399 A400:F401 A402:E406 A407:F408 E409:E413 A409:B412 A413:D413 A414:F415 A416:E420 A421:F422 A423:E427 A428:F429 A430:E434 A435:F444 A346:F378 A382:B384 A385:D385">
    <cfRule type="containsText" dxfId="649" priority="2147" operator="containsText" text="ATESTADO">
      <formula>NOT(ISERROR(SEARCH("ATESTADO",A346)))</formula>
    </cfRule>
  </conditionalFormatting>
  <conditionalFormatting sqref="A386:F387 A388:B388 A389:F389 A390:B392 A393:F396 A397:B399 A400:F401 A402:E406 A407:F408 E409:E413 A409:B412 A413:D413 A414:F415 A416:E420 A421:F422 A423:E427 A428:F429 A430:E434 A435:F444">
    <cfRule type="containsText" dxfId="648" priority="2146" operator="containsText" text="FALTOU">
      <formula>NOT(ISERROR(SEARCH("FALTOU",A386)))</formula>
    </cfRule>
  </conditionalFormatting>
  <conditionalFormatting sqref="A379:F380 F381 A381:B383">
    <cfRule type="containsText" dxfId="647" priority="2136" operator="containsText" text="DOMINGO">
      <formula>NOT(ISERROR(SEARCH("DOMINGO",A379)))</formula>
    </cfRule>
    <cfRule type="containsText" dxfId="646" priority="2137" operator="containsText" text="SÁBADO">
      <formula>NOT(ISERROR(SEARCH("SÁBADO",A379)))</formula>
    </cfRule>
  </conditionalFormatting>
  <conditionalFormatting sqref="A379:F380 F381 A381:B381">
    <cfRule type="containsText" dxfId="645" priority="2138" operator="containsText" text="FERIADO">
      <formula>NOT(ISERROR(SEARCH("FERIADO",A379)))</formula>
    </cfRule>
    <cfRule type="containsText" dxfId="644" priority="2139" operator="containsText" text="ATESTADO">
      <formula>NOT(ISERROR(SEARCH("ATESTADO",A379)))</formula>
    </cfRule>
  </conditionalFormatting>
  <conditionalFormatting sqref="A446:F478 A482:B485 A486:F489 E490:F490 A490:B491 A492:F494 A495:B495 A496:E496 A497:B497 A498:D498 A499:B499 D499 A500:F501 A502:D506 F502:F506 A507:F544">
    <cfRule type="containsText" dxfId="643" priority="1986" operator="containsText" text="DOMINGO">
      <formula>NOT(ISERROR(SEARCH("DOMINGO",A446)))</formula>
    </cfRule>
  </conditionalFormatting>
  <conditionalFormatting sqref="A446:F478 A482:B485 A486:F489 E490:F490 A490:B491 A492:F494 A495:B495 A496:E496 A497:B497 A498:D498 A499:B499 D499 A500:F501 A502:D506 F502:F506 A507:F544">
    <cfRule type="containsText" dxfId="642" priority="1987" operator="containsText" text="SÁBADO">
      <formula>NOT(ISERROR(SEARCH("SÁBADO",A446)))</formula>
    </cfRule>
  </conditionalFormatting>
  <conditionalFormatting sqref="A446:F478 A482:B485 A486:F489 E490:F490 A490:B491 A492:F494 A495:B495 A496:E496 A497:B497 A498:D498 A499:B499 D499 A500:F501 A502:D506 F502:F506 A507:F544">
    <cfRule type="containsText" dxfId="641" priority="1988" operator="containsText" text="FERIADO">
      <formula>NOT(ISERROR(SEARCH("FERIADO",A446)))</formula>
    </cfRule>
  </conditionalFormatting>
  <conditionalFormatting sqref="A479:B479 F479 A480:F480 A481:B481">
    <cfRule type="containsText" dxfId="640" priority="1984" operator="containsText" text="DESCANSO">
      <formula>NOT(ISERROR(SEARCH("DESCANSO",A479)))</formula>
    </cfRule>
    <cfRule type="containsText" dxfId="639" priority="1985" operator="containsText" text="FALTOU">
      <formula>NOT(ISERROR(SEARCH("FALTOU",A479)))</formula>
    </cfRule>
  </conditionalFormatting>
  <conditionalFormatting sqref="A486:F489 E490:F490 A491:B491 A492:F494 A495:B495 A496:E496 A497:B497 A498:D498 A499:B499 D499 A500:F501 A502:D506 F502:F506 A507:F544">
    <cfRule type="containsText" dxfId="638" priority="1989" operator="containsText" text="DESCANSO">
      <formula>NOT(ISERROR(SEARCH("DESCANSO",A486)))</formula>
    </cfRule>
  </conditionalFormatting>
  <conditionalFormatting sqref="A446:F478 A482:B485 A490:B490">
    <cfRule type="containsText" dxfId="637" priority="1992" operator="containsText" text="DESCANSO">
      <formula>NOT(ISERROR(SEARCH("DESCANSO",A446)))</formula>
    </cfRule>
    <cfRule type="containsText" dxfId="636" priority="1993" operator="containsText" text="FALTOU">
      <formula>NOT(ISERROR(SEARCH("FALTOU",A446)))</formula>
    </cfRule>
  </conditionalFormatting>
  <conditionalFormatting sqref="C499">
    <cfRule type="containsText" dxfId="635" priority="1883" operator="containsText" text="DOMINGO">
      <formula>NOT(ISERROR(SEARCH("DOMINGO",C499)))</formula>
    </cfRule>
    <cfRule type="containsText" dxfId="634" priority="1884" operator="containsText" text="SÁBADO">
      <formula>NOT(ISERROR(SEARCH("SÁBADO",C499)))</formula>
    </cfRule>
    <cfRule type="containsText" dxfId="633" priority="1885" operator="containsText" text="FERIADO">
      <formula>NOT(ISERROR(SEARCH("FERIADO",C499)))</formula>
    </cfRule>
    <cfRule type="containsText" dxfId="632" priority="1886" operator="containsText" text="ATESTADO">
      <formula>NOT(ISERROR(SEARCH("ATESTADO",C499)))</formula>
    </cfRule>
    <cfRule type="containsText" dxfId="631" priority="1887" operator="containsText" text="DESCANSO">
      <formula>NOT(ISERROR(SEARCH("DESCANSO",C499)))</formula>
    </cfRule>
    <cfRule type="containsText" dxfId="630" priority="1888" operator="containsText" text="FALTOU">
      <formula>NOT(ISERROR(SEARCH("FALTOU",C499)))</formula>
    </cfRule>
  </conditionalFormatting>
  <conditionalFormatting sqref="C485:D485">
    <cfRule type="containsText" dxfId="629" priority="1930" operator="containsText" text="DOMINGO">
      <formula>NOT(ISERROR(SEARCH("DOMINGO",C485)))</formula>
    </cfRule>
    <cfRule type="containsText" dxfId="628" priority="1931" operator="containsText" text="SÁBADO">
      <formula>NOT(ISERROR(SEARCH("SÁBADO",C485)))</formula>
    </cfRule>
    <cfRule type="containsText" dxfId="627" priority="1932" operator="containsText" text="FERIADO">
      <formula>NOT(ISERROR(SEARCH("FERIADO",C485)))</formula>
    </cfRule>
    <cfRule type="containsText" dxfId="626" priority="1933" operator="containsText" text="ATESTADO">
      <formula>NOT(ISERROR(SEARCH("ATESTADO",C485)))</formula>
    </cfRule>
    <cfRule type="containsText" dxfId="625" priority="1934" operator="containsText" text="DESCANSO">
      <formula>NOT(ISERROR(SEARCH("DESCANSO",C485)))</formula>
    </cfRule>
    <cfRule type="containsText" dxfId="624" priority="1935" operator="containsText" text="FALTOU">
      <formula>NOT(ISERROR(SEARCH("FALTOU",C485)))</formula>
    </cfRule>
  </conditionalFormatting>
  <conditionalFormatting sqref="C490:D490">
    <cfRule type="containsText" dxfId="623" priority="1925" operator="containsText" text="DOMINGO">
      <formula>NOT(ISERROR(SEARCH("DOMINGO",C490)))</formula>
    </cfRule>
    <cfRule type="containsText" dxfId="622" priority="1926" operator="containsText" text="FERIADO">
      <formula>NOT(ISERROR(SEARCH("FERIADO",C490)))</formula>
    </cfRule>
    <cfRule type="containsText" dxfId="621" priority="1927" operator="containsText" text="ATESTADO">
      <formula>NOT(ISERROR(SEARCH("ATESTADO",C490)))</formula>
    </cfRule>
    <cfRule type="containsText" dxfId="620" priority="1928" operator="containsText" text="DESCANSO">
      <formula>NOT(ISERROR(SEARCH("DESCANSO",C490)))</formula>
    </cfRule>
    <cfRule type="containsText" dxfId="619" priority="1929" operator="containsText" text="FALTOU">
      <formula>NOT(ISERROR(SEARCH("FALTOU",C490)))</formula>
    </cfRule>
  </conditionalFormatting>
  <conditionalFormatting sqref="C490:D491">
    <cfRule type="containsText" dxfId="618" priority="1914" operator="containsText" text="SÁBADO">
      <formula>NOT(ISERROR(SEARCH("SÁBADO",C490)))</formula>
    </cfRule>
  </conditionalFormatting>
  <conditionalFormatting sqref="C491:D491">
    <cfRule type="containsText" dxfId="617" priority="1913" operator="containsText" text="DOMINGO">
      <formula>NOT(ISERROR(SEARCH("DOMINGO",C491)))</formula>
    </cfRule>
    <cfRule type="containsText" dxfId="616" priority="1915" operator="containsText" text="FERIADO">
      <formula>NOT(ISERROR(SEARCH("FERIADO",C491)))</formula>
    </cfRule>
    <cfRule type="containsText" dxfId="615" priority="1916" operator="containsText" text="ATESTADO">
      <formula>NOT(ISERROR(SEARCH("ATESTADO",C491)))</formula>
    </cfRule>
    <cfRule type="containsText" dxfId="614" priority="1917" operator="containsText" text="DESCANSO">
      <formula>NOT(ISERROR(SEARCH("DESCANSO",C491)))</formula>
    </cfRule>
    <cfRule type="containsText" dxfId="613" priority="1918" operator="containsText" text="FALTOU">
      <formula>NOT(ISERROR(SEARCH("FALTOU",C491)))</formula>
    </cfRule>
  </conditionalFormatting>
  <conditionalFormatting sqref="C495:D495">
    <cfRule type="containsText" dxfId="612" priority="1901" operator="containsText" text="DOMINGO">
      <formula>NOT(ISERROR(SEARCH("DOMINGO",C495)))</formula>
    </cfRule>
    <cfRule type="containsText" dxfId="611" priority="1902" operator="containsText" text="SÁBADO">
      <formula>NOT(ISERROR(SEARCH("SÁBADO",C495)))</formula>
    </cfRule>
    <cfRule type="containsText" dxfId="610" priority="1903" operator="containsText" text="FERIADO">
      <formula>NOT(ISERROR(SEARCH("FERIADO",C495)))</formula>
    </cfRule>
    <cfRule type="containsText" dxfId="609" priority="1904" operator="containsText" text="ATESTADO">
      <formula>NOT(ISERROR(SEARCH("ATESTADO",C495)))</formula>
    </cfRule>
    <cfRule type="containsText" dxfId="608" priority="1905" operator="containsText" text="DESCANSO">
      <formula>NOT(ISERROR(SEARCH("DESCANSO",C495)))</formula>
    </cfRule>
    <cfRule type="containsText" dxfId="607" priority="1906" operator="containsText" text="FALTOU">
      <formula>NOT(ISERROR(SEARCH("FALTOU",C495)))</formula>
    </cfRule>
  </conditionalFormatting>
  <conditionalFormatting sqref="C497:D497">
    <cfRule type="containsText" dxfId="606" priority="1889" operator="containsText" text="DOMINGO">
      <formula>NOT(ISERROR(SEARCH("DOMINGO",C497)))</formula>
    </cfRule>
    <cfRule type="containsText" dxfId="605" priority="1890" operator="containsText" text="SÁBADO">
      <formula>NOT(ISERROR(SEARCH("SÁBADO",C497)))</formula>
    </cfRule>
    <cfRule type="containsText" dxfId="604" priority="1891" operator="containsText" text="FERIADO">
      <formula>NOT(ISERROR(SEARCH("FERIADO",C497)))</formula>
    </cfRule>
    <cfRule type="containsText" dxfId="603" priority="1892" operator="containsText" text="ATESTADO">
      <formula>NOT(ISERROR(SEARCH("ATESTADO",C497)))</formula>
    </cfRule>
    <cfRule type="containsText" dxfId="602" priority="1893" operator="containsText" text="DESCANSO">
      <formula>NOT(ISERROR(SEARCH("DESCANSO",C497)))</formula>
    </cfRule>
    <cfRule type="containsText" dxfId="601" priority="1894" operator="containsText" text="FALTOU">
      <formula>NOT(ISERROR(SEARCH("FALTOU",C497)))</formula>
    </cfRule>
  </conditionalFormatting>
  <conditionalFormatting sqref="C479:E479">
    <cfRule type="containsText" dxfId="600" priority="1974" operator="containsText" text="DOMINGO">
      <formula>NOT(ISERROR(SEARCH("DOMINGO",C479)))</formula>
    </cfRule>
    <cfRule type="containsText" dxfId="599" priority="1975" operator="containsText" text="SÁBADO">
      <formula>NOT(ISERROR(SEARCH("SÁBADO",C479)))</formula>
    </cfRule>
    <cfRule type="containsText" dxfId="598" priority="1976" operator="containsText" text="FERIADO">
      <formula>NOT(ISERROR(SEARCH("FERIADO",C479)))</formula>
    </cfRule>
    <cfRule type="containsText" dxfId="597" priority="1977" operator="containsText" text="ATESTADO">
      <formula>NOT(ISERROR(SEARCH("ATESTADO",C479)))</formula>
    </cfRule>
    <cfRule type="containsText" dxfId="596" priority="1978" operator="containsText" text="DESCANSO">
      <formula>NOT(ISERROR(SEARCH("DESCANSO",C479)))</formula>
    </cfRule>
    <cfRule type="containsText" dxfId="595" priority="1979" operator="containsText" text="FALTOU">
      <formula>NOT(ISERROR(SEARCH("FALTOU",C479)))</formula>
    </cfRule>
  </conditionalFormatting>
  <conditionalFormatting sqref="C481:E482">
    <cfRule type="containsText" dxfId="594" priority="1966" operator="containsText" text="FERIADO">
      <formula>NOT(ISERROR(SEARCH("FERIADO",C481)))</formula>
    </cfRule>
    <cfRule type="containsText" dxfId="593" priority="1967" operator="containsText" text="ATESTADO">
      <formula>NOT(ISERROR(SEARCH("ATESTADO",C481)))</formula>
    </cfRule>
    <cfRule type="containsText" dxfId="592" priority="1968" operator="containsText" text="DESCANSO">
      <formula>NOT(ISERROR(SEARCH("DESCANSO",C481)))</formula>
    </cfRule>
    <cfRule type="containsText" dxfId="591" priority="1969" operator="containsText" text="FALTOU">
      <formula>NOT(ISERROR(SEARCH("FALTOU",C481)))</formula>
    </cfRule>
  </conditionalFormatting>
  <conditionalFormatting sqref="C481:E484">
    <cfRule type="containsText" dxfId="590" priority="1948" operator="containsText" text="DOMINGO">
      <formula>NOT(ISERROR(SEARCH("DOMINGO",C481)))</formula>
    </cfRule>
    <cfRule type="containsText" dxfId="589" priority="1949" operator="containsText" text="SÁBADO">
      <formula>NOT(ISERROR(SEARCH("SÁBADO",C481)))</formula>
    </cfRule>
  </conditionalFormatting>
  <conditionalFormatting sqref="C483:E483">
    <cfRule type="containsText" dxfId="588" priority="1958" operator="containsText" text="FERIADO">
      <formula>NOT(ISERROR(SEARCH("FERIADO",C483)))</formula>
    </cfRule>
    <cfRule type="containsText" dxfId="587" priority="1959" operator="containsText" text="ATESTADO">
      <formula>NOT(ISERROR(SEARCH("ATESTADO",C483)))</formula>
    </cfRule>
    <cfRule type="containsText" dxfId="586" priority="1960" operator="containsText" text="DESCANSO">
      <formula>NOT(ISERROR(SEARCH("DESCANSO",C483)))</formula>
    </cfRule>
    <cfRule type="containsText" dxfId="585" priority="1961" operator="containsText" text="FALTOU">
      <formula>NOT(ISERROR(SEARCH("FALTOU",C483)))</formula>
    </cfRule>
  </conditionalFormatting>
  <conditionalFormatting sqref="C484:E484">
    <cfRule type="containsText" dxfId="584" priority="1950" operator="containsText" text="FERIADO">
      <formula>NOT(ISERROR(SEARCH("FERIADO",C484)))</formula>
    </cfRule>
    <cfRule type="containsText" dxfId="583" priority="1951" operator="containsText" text="ATESTADO">
      <formula>NOT(ISERROR(SEARCH("ATESTADO",C484)))</formula>
    </cfRule>
    <cfRule type="containsText" dxfId="582" priority="1952" operator="containsText" text="DESCANSO">
      <formula>NOT(ISERROR(SEARCH("DESCANSO",C484)))</formula>
    </cfRule>
    <cfRule type="containsText" dxfId="581" priority="1953" operator="containsText" text="FALTOU">
      <formula>NOT(ISERROR(SEARCH("FALTOU",C484)))</formula>
    </cfRule>
  </conditionalFormatting>
  <conditionalFormatting sqref="E485">
    <cfRule type="containsText" dxfId="580" priority="1942" operator="containsText" text="DOMINGO">
      <formula>NOT(ISERROR(SEARCH("DOMINGO",E485)))</formula>
    </cfRule>
    <cfRule type="containsText" dxfId="579" priority="1943" operator="containsText" text="SÁBADO">
      <formula>NOT(ISERROR(SEARCH("SÁBADO",E485)))</formula>
    </cfRule>
    <cfRule type="containsText" dxfId="578" priority="1944" operator="containsText" text="FERIADO">
      <formula>NOT(ISERROR(SEARCH("FERIADO",E485)))</formula>
    </cfRule>
    <cfRule type="containsText" dxfId="577" priority="1945" operator="containsText" text="ATESTADO">
      <formula>NOT(ISERROR(SEARCH("ATESTADO",E485)))</formula>
    </cfRule>
    <cfRule type="containsText" dxfId="576" priority="1946" operator="containsText" text="DESCANSO">
      <formula>NOT(ISERROR(SEARCH("DESCANSO",E485)))</formula>
    </cfRule>
    <cfRule type="containsText" dxfId="575" priority="1947" operator="containsText" text="FALTOU">
      <formula>NOT(ISERROR(SEARCH("FALTOU",E485)))</formula>
    </cfRule>
  </conditionalFormatting>
  <conditionalFormatting sqref="E495">
    <cfRule type="containsText" dxfId="574" priority="1907" operator="containsText" text="DOMINGO">
      <formula>NOT(ISERROR(SEARCH("DOMINGO",E495)))</formula>
    </cfRule>
    <cfRule type="containsText" dxfId="573" priority="1908" operator="containsText" text="SÁBADO">
      <formula>NOT(ISERROR(SEARCH("SÁBADO",E495)))</formula>
    </cfRule>
    <cfRule type="containsText" dxfId="572" priority="1909" operator="containsText" text="FERIADO">
      <formula>NOT(ISERROR(SEARCH("FERIADO",E495)))</formula>
    </cfRule>
    <cfRule type="containsText" dxfId="571" priority="1910" operator="containsText" text="DESCANSO">
      <formula>NOT(ISERROR(SEARCH("DESCANSO",E495)))</formula>
    </cfRule>
    <cfRule type="containsText" dxfId="570" priority="1911" operator="containsText" text="FALTOU">
      <formula>NOT(ISERROR(SEARCH("FALTOU",E495)))</formula>
    </cfRule>
    <cfRule type="containsText" dxfId="569" priority="1912" operator="containsText" text="ATESTADO">
      <formula>NOT(ISERROR(SEARCH("ATESTADO",E495)))</formula>
    </cfRule>
  </conditionalFormatting>
  <conditionalFormatting sqref="E497:E499">
    <cfRule type="containsText" dxfId="568" priority="1895" operator="containsText" text="DOMINGO">
      <formula>NOT(ISERROR(SEARCH("DOMINGO",E497)))</formula>
    </cfRule>
    <cfRule type="containsText" dxfId="567" priority="1896" operator="containsText" text="SÁBADO">
      <formula>NOT(ISERROR(SEARCH("SÁBADO",E497)))</formula>
    </cfRule>
    <cfRule type="containsText" dxfId="566" priority="1897" operator="containsText" text="FERIADO">
      <formula>NOT(ISERROR(SEARCH("FERIADO",E497)))</formula>
    </cfRule>
    <cfRule type="containsText" dxfId="565" priority="1898" operator="containsText" text="DESCANSO">
      <formula>NOT(ISERROR(SEARCH("DESCANSO",E497)))</formula>
    </cfRule>
    <cfRule type="containsText" dxfId="564" priority="1899" operator="containsText" text="FALTOU">
      <formula>NOT(ISERROR(SEARCH("FALTOU",E497)))</formula>
    </cfRule>
    <cfRule type="containsText" dxfId="563" priority="1900" operator="containsText" text="ATESTADO">
      <formula>NOT(ISERROR(SEARCH("ATESTADO",E497)))</formula>
    </cfRule>
  </conditionalFormatting>
  <conditionalFormatting sqref="E502:E506">
    <cfRule type="containsText" dxfId="562" priority="1877" operator="containsText" text="DOMINGO">
      <formula>NOT(ISERROR(SEARCH("DOMINGO",E502)))</formula>
    </cfRule>
    <cfRule type="containsText" dxfId="561" priority="1878" operator="containsText" text="SÁBADO">
      <formula>NOT(ISERROR(SEARCH("SÁBADO",E502)))</formula>
    </cfRule>
    <cfRule type="containsText" dxfId="560" priority="1879" operator="containsText" text="FERIADO">
      <formula>NOT(ISERROR(SEARCH("FERIADO",E502)))</formula>
    </cfRule>
    <cfRule type="containsText" dxfId="559" priority="1880" operator="containsText" text="DESCANSO">
      <formula>NOT(ISERROR(SEARCH("DESCANSO",E502)))</formula>
    </cfRule>
    <cfRule type="containsText" dxfId="558" priority="1881" operator="containsText" text="FALTOU">
      <formula>NOT(ISERROR(SEARCH("FALTOU",E502)))</formula>
    </cfRule>
    <cfRule type="containsText" dxfId="557" priority="1882" operator="containsText" text="ATESTADO">
      <formula>NOT(ISERROR(SEARCH("ATESTADO",E502)))</formula>
    </cfRule>
  </conditionalFormatting>
  <conditionalFormatting sqref="E491:F491">
    <cfRule type="containsText" dxfId="556" priority="1919" operator="containsText" text="DOMINGO">
      <formula>NOT(ISERROR(SEARCH("DOMINGO",E491)))</formula>
    </cfRule>
    <cfRule type="containsText" dxfId="555" priority="1920" operator="containsText" text="SÁBADO">
      <formula>NOT(ISERROR(SEARCH("SÁBADO",E491)))</formula>
    </cfRule>
    <cfRule type="containsText" dxfId="554" priority="1921" operator="containsText" text="FERIADO">
      <formula>NOT(ISERROR(SEARCH("FERIADO",E491)))</formula>
    </cfRule>
    <cfRule type="containsText" dxfId="553" priority="1922" operator="containsText" text="DESCANSO">
      <formula>NOT(ISERROR(SEARCH("DESCANSO",E491)))</formula>
    </cfRule>
    <cfRule type="containsText" dxfId="552" priority="1923" operator="containsText" text="FALTOU">
      <formula>NOT(ISERROR(SEARCH("FALTOU",E491)))</formula>
    </cfRule>
    <cfRule type="containsText" dxfId="551" priority="1924" operator="containsText" text="ATESTADO">
      <formula>NOT(ISERROR(SEARCH("ATESTADO",E491)))</formula>
    </cfRule>
  </conditionalFormatting>
  <conditionalFormatting sqref="F481:F482">
    <cfRule type="containsText" dxfId="550" priority="1970" operator="containsText" text="FERIADO">
      <formula>NOT(ISERROR(SEARCH("FERIADO",F481)))</formula>
    </cfRule>
    <cfRule type="containsText" dxfId="549" priority="1971" operator="containsText" text="ATESTADO">
      <formula>NOT(ISERROR(SEARCH("ATESTADO",F481)))</formula>
    </cfRule>
    <cfRule type="containsText" dxfId="548" priority="1972" operator="containsText" text="DESCANSO">
      <formula>NOT(ISERROR(SEARCH("DESCANSO",F481)))</formula>
    </cfRule>
    <cfRule type="containsText" dxfId="547" priority="1973" operator="containsText" text="FALTOU">
      <formula>NOT(ISERROR(SEARCH("FALTOU",F481)))</formula>
    </cfRule>
  </conditionalFormatting>
  <conditionalFormatting sqref="F481:F485">
    <cfRule type="containsText" dxfId="546" priority="1936" operator="containsText" text="DOMINGO">
      <formula>NOT(ISERROR(SEARCH("DOMINGO",F481)))</formula>
    </cfRule>
    <cfRule type="containsText" dxfId="545" priority="1937" operator="containsText" text="SÁBADO">
      <formula>NOT(ISERROR(SEARCH("SÁBADO",F481)))</formula>
    </cfRule>
  </conditionalFormatting>
  <conditionalFormatting sqref="F483">
    <cfRule type="containsText" dxfId="544" priority="1962" operator="containsText" text="FERIADO">
      <formula>NOT(ISERROR(SEARCH("FERIADO",F483)))</formula>
    </cfRule>
    <cfRule type="containsText" dxfId="543" priority="1963" operator="containsText" text="ATESTADO">
      <formula>NOT(ISERROR(SEARCH("ATESTADO",F483)))</formula>
    </cfRule>
    <cfRule type="containsText" dxfId="542" priority="1964" operator="containsText" text="DESCANSO">
      <formula>NOT(ISERROR(SEARCH("DESCANSO",F483)))</formula>
    </cfRule>
    <cfRule type="containsText" dxfId="541" priority="1965" operator="containsText" text="FALTOU">
      <formula>NOT(ISERROR(SEARCH("FALTOU",F483)))</formula>
    </cfRule>
  </conditionalFormatting>
  <conditionalFormatting sqref="F484">
    <cfRule type="containsText" dxfId="540" priority="1954" operator="containsText" text="FERIADO">
      <formula>NOT(ISERROR(SEARCH("FERIADO",F484)))</formula>
    </cfRule>
    <cfRule type="containsText" dxfId="539" priority="1955" operator="containsText" text="ATESTADO">
      <formula>NOT(ISERROR(SEARCH("ATESTADO",F484)))</formula>
    </cfRule>
    <cfRule type="containsText" dxfId="538" priority="1956" operator="containsText" text="DESCANSO">
      <formula>NOT(ISERROR(SEARCH("DESCANSO",F484)))</formula>
    </cfRule>
    <cfRule type="containsText" dxfId="537" priority="1957" operator="containsText" text="FALTOU">
      <formula>NOT(ISERROR(SEARCH("FALTOU",F484)))</formula>
    </cfRule>
  </conditionalFormatting>
  <conditionalFormatting sqref="F485">
    <cfRule type="containsText" dxfId="536" priority="1938" operator="containsText" text="FERIADO">
      <formula>NOT(ISERROR(SEARCH("FERIADO",F485)))</formula>
    </cfRule>
    <cfRule type="containsText" dxfId="535" priority="1939" operator="containsText" text="ATESTADO">
      <formula>NOT(ISERROR(SEARCH("ATESTADO",F485)))</formula>
    </cfRule>
    <cfRule type="containsText" dxfId="534" priority="1940" operator="containsText" text="DESCANSO">
      <formula>NOT(ISERROR(SEARCH("DESCANSO",F485)))</formula>
    </cfRule>
    <cfRule type="containsText" dxfId="533" priority="1941" operator="containsText" text="FALTOU">
      <formula>NOT(ISERROR(SEARCH("FALTOU",F485)))</formula>
    </cfRule>
  </conditionalFormatting>
  <conditionalFormatting sqref="F495:F499">
    <cfRule type="containsText" dxfId="532" priority="1871" operator="containsText" text="DOMINGO">
      <formula>NOT(ISERROR(SEARCH("DOMINGO",F495)))</formula>
    </cfRule>
    <cfRule type="containsText" dxfId="531" priority="1872" operator="containsText" text="SÁBADO">
      <formula>NOT(ISERROR(SEARCH("SÁBADO",F495)))</formula>
    </cfRule>
    <cfRule type="containsText" dxfId="530" priority="1873" operator="containsText" text="FERIADO">
      <formula>NOT(ISERROR(SEARCH("FERIADO",F495)))</formula>
    </cfRule>
    <cfRule type="containsText" dxfId="529" priority="1874" operator="containsText" text="DESCANSO">
      <formula>NOT(ISERROR(SEARCH("DESCANSO",F495)))</formula>
    </cfRule>
    <cfRule type="containsText" dxfId="528" priority="1875" operator="containsText" text="FALTOU">
      <formula>NOT(ISERROR(SEARCH("FALTOU",F495)))</formula>
    </cfRule>
    <cfRule type="containsText" dxfId="527" priority="1876" operator="containsText" text="ATESTADO">
      <formula>NOT(ISERROR(SEARCH("ATESTADO",F495)))</formula>
    </cfRule>
  </conditionalFormatting>
  <conditionalFormatting sqref="A486:F489 E490:F490 A490:B491 A492:F494 A495:B495 A496:E496 A497:B497 A498:D498 A499:B499 D499 A500:F501 A502:D506 F502:F506 A507:F544 A446:F478 A482:B485">
    <cfRule type="containsText" dxfId="526" priority="1991" operator="containsText" text="ATESTADO">
      <formula>NOT(ISERROR(SEARCH("ATESTADO",A446)))</formula>
    </cfRule>
  </conditionalFormatting>
  <conditionalFormatting sqref="A486:F489 E490:F490 A491:B491 A492:F494 A495:B495 A496:E496 A497:B497 A498:D498 A499:B499 D499 A500:F501 A502:D506 F502:F506 A507:F544">
    <cfRule type="containsText" dxfId="525" priority="1990" operator="containsText" text="FALTOU">
      <formula>NOT(ISERROR(SEARCH("FALTOU",A486)))</formula>
    </cfRule>
  </conditionalFormatting>
  <conditionalFormatting sqref="A479:B479 F479 A480:F480 A481:B481">
    <cfRule type="containsText" dxfId="524" priority="1980" operator="containsText" text="DOMINGO">
      <formula>NOT(ISERROR(SEARCH("DOMINGO",A479)))</formula>
    </cfRule>
    <cfRule type="containsText" dxfId="523" priority="1981" operator="containsText" text="SÁBADO">
      <formula>NOT(ISERROR(SEARCH("SÁBADO",A479)))</formula>
    </cfRule>
  </conditionalFormatting>
  <conditionalFormatting sqref="A479:B479 F479 A480:F480 A481:B481">
    <cfRule type="containsText" dxfId="522" priority="1982" operator="containsText" text="FERIADO">
      <formula>NOT(ISERROR(SEARCH("FERIADO",A479)))</formula>
    </cfRule>
    <cfRule type="containsText" dxfId="521" priority="1983" operator="containsText" text="ATESTADO">
      <formula>NOT(ISERROR(SEARCH("ATESTADO",A479)))</formula>
    </cfRule>
  </conditionalFormatting>
  <conditionalFormatting sqref="A546:F578 F582 E583:F584 A585:F645">
    <cfRule type="containsText" dxfId="520" priority="1861" operator="containsText" text="DOMINGO">
      <formula>NOT(ISERROR(SEARCH("DOMINGO",A546)))</formula>
    </cfRule>
  </conditionalFormatting>
  <conditionalFormatting sqref="A546:F578 F582 E583:F584 A585:F645">
    <cfRule type="containsText" dxfId="519" priority="1862" operator="containsText" text="SÁBADO">
      <formula>NOT(ISERROR(SEARCH("SÁBADO",A546)))</formula>
    </cfRule>
  </conditionalFormatting>
  <conditionalFormatting sqref="A546:F578 F582 E583:F584 A585:F645 A582:B584">
    <cfRule type="containsText" dxfId="518" priority="1863" operator="containsText" text="FERIADO">
      <formula>NOT(ISERROR(SEARCH("FERIADO",A546)))</formula>
    </cfRule>
  </conditionalFormatting>
  <conditionalFormatting sqref="A579:F580 F581 A581:B581">
    <cfRule type="containsText" dxfId="517" priority="1859" operator="containsText" text="DESCANSO">
      <formula>NOT(ISERROR(SEARCH("DESCANSO",A579)))</formula>
    </cfRule>
    <cfRule type="containsText" dxfId="516" priority="1860" operator="containsText" text="FALTOU">
      <formula>NOT(ISERROR(SEARCH("FALTOU",A579)))</formula>
    </cfRule>
  </conditionalFormatting>
  <conditionalFormatting sqref="A586:F645">
    <cfRule type="containsText" dxfId="515" priority="1866" operator="containsText" text="DESCANSO">
      <formula>NOT(ISERROR(SEARCH("DESCANSO",A586)))</formula>
    </cfRule>
  </conditionalFormatting>
  <conditionalFormatting sqref="A546:B546 A547:F578 F582 A582:B584 E583:F584 A585:F585">
    <cfRule type="containsText" dxfId="514" priority="1869" operator="containsText" text="DESCANSO">
      <formula>NOT(ISERROR(SEARCH("DESCANSO",A546)))</formula>
    </cfRule>
    <cfRule type="containsText" dxfId="513" priority="1870" operator="containsText" text="FALTOU">
      <formula>NOT(ISERROR(SEARCH("FALTOU",A546)))</formula>
    </cfRule>
  </conditionalFormatting>
  <conditionalFormatting sqref="C581:D582">
    <cfRule type="containsText" dxfId="512" priority="1845" operator="containsText" text="FERIADO">
      <formula>NOT(ISERROR(SEARCH("FERIADO",C581)))</formula>
    </cfRule>
    <cfRule type="containsText" dxfId="511" priority="1846" operator="containsText" text="ATESTADO">
      <formula>NOT(ISERROR(SEARCH("ATESTADO",C581)))</formula>
    </cfRule>
    <cfRule type="containsText" dxfId="510" priority="1847" operator="containsText" text="DESCANSO">
      <formula>NOT(ISERROR(SEARCH("DESCANSO",C581)))</formula>
    </cfRule>
    <cfRule type="containsText" dxfId="509" priority="1848" operator="containsText" text="FALTOU">
      <formula>NOT(ISERROR(SEARCH("FALTOU",C581)))</formula>
    </cfRule>
  </conditionalFormatting>
  <conditionalFormatting sqref="C581:D584">
    <cfRule type="containsText" dxfId="508" priority="1835" operator="containsText" text="DOMINGO">
      <formula>NOT(ISERROR(SEARCH("DOMINGO",C581)))</formula>
    </cfRule>
    <cfRule type="containsText" dxfId="507" priority="1836" operator="containsText" text="SÁBADO">
      <formula>NOT(ISERROR(SEARCH("SÁBADO",C581)))</formula>
    </cfRule>
  </conditionalFormatting>
  <conditionalFormatting sqref="C583:D583">
    <cfRule type="containsText" dxfId="506" priority="1841" operator="containsText" text="FERIADO">
      <formula>NOT(ISERROR(SEARCH("FERIADO",C583)))</formula>
    </cfRule>
    <cfRule type="containsText" dxfId="505" priority="1842" operator="containsText" text="ATESTADO">
      <formula>NOT(ISERROR(SEARCH("ATESTADO",C583)))</formula>
    </cfRule>
    <cfRule type="containsText" dxfId="504" priority="1843" operator="containsText" text="DESCANSO">
      <formula>NOT(ISERROR(SEARCH("DESCANSO",C583)))</formula>
    </cfRule>
    <cfRule type="containsText" dxfId="503" priority="1844" operator="containsText" text="FALTOU">
      <formula>NOT(ISERROR(SEARCH("FALTOU",C583)))</formula>
    </cfRule>
  </conditionalFormatting>
  <conditionalFormatting sqref="C584:D584">
    <cfRule type="containsText" dxfId="502" priority="1837" operator="containsText" text="FERIADO">
      <formula>NOT(ISERROR(SEARCH("FERIADO",C584)))</formula>
    </cfRule>
    <cfRule type="containsText" dxfId="501" priority="1838" operator="containsText" text="ATESTADO">
      <formula>NOT(ISERROR(SEARCH("ATESTADO",C584)))</formula>
    </cfRule>
    <cfRule type="containsText" dxfId="500" priority="1839" operator="containsText" text="DESCANSO">
      <formula>NOT(ISERROR(SEARCH("DESCANSO",C584)))</formula>
    </cfRule>
    <cfRule type="containsText" dxfId="499" priority="1840" operator="containsText" text="FALTOU">
      <formula>NOT(ISERROR(SEARCH("FALTOU",C584)))</formula>
    </cfRule>
  </conditionalFormatting>
  <conditionalFormatting sqref="C591:D593">
    <cfRule type="containsText" dxfId="498" priority="1833" operator="containsText" text="DESCANSO">
      <formula>NOT(ISERROR(SEARCH("DESCANSO",C591)))</formula>
    </cfRule>
    <cfRule type="containsText" dxfId="497" priority="1834" operator="containsText" text="FALTOU">
      <formula>NOT(ISERROR(SEARCH("FALTOU",C591)))</formula>
    </cfRule>
  </conditionalFormatting>
  <conditionalFormatting sqref="C599:D599">
    <cfRule type="containsText" dxfId="496" priority="1831" operator="containsText" text="DESCANSO">
      <formula>NOT(ISERROR(SEARCH("DESCANSO",C599)))</formula>
    </cfRule>
    <cfRule type="containsText" dxfId="495" priority="1832" operator="containsText" text="FALTOU">
      <formula>NOT(ISERROR(SEARCH("FALTOU",C599)))</formula>
    </cfRule>
  </conditionalFormatting>
  <conditionalFormatting sqref="C600:D600">
    <cfRule type="containsText" dxfId="494" priority="1829" operator="containsText" text="DESCANSO">
      <formula>NOT(ISERROR(SEARCH("DESCANSO",C600)))</formula>
    </cfRule>
    <cfRule type="containsText" dxfId="493" priority="1830" operator="containsText" text="FALTOU">
      <formula>NOT(ISERROR(SEARCH("FALTOU",C600)))</formula>
    </cfRule>
  </conditionalFormatting>
  <conditionalFormatting sqref="C546:F546">
    <cfRule type="containsText" dxfId="492" priority="1864" operator="containsText" text="DESCANSO">
      <formula>NOT(ISERROR(SEARCH("DESCANSO",C546)))</formula>
    </cfRule>
    <cfRule type="containsText" dxfId="491" priority="1865" operator="containsText" text="FALTOU">
      <formula>NOT(ISERROR(SEARCH("FALTOU",C546)))</formula>
    </cfRule>
  </conditionalFormatting>
  <conditionalFormatting sqref="E581:E582">
    <cfRule type="containsText" dxfId="490" priority="1849" operator="containsText" text="DOMINGO">
      <formula>NOT(ISERROR(SEARCH("DOMINGO",E581)))</formula>
    </cfRule>
    <cfRule type="containsText" dxfId="489" priority="1850" operator="containsText" text="SÁBADO">
      <formula>NOT(ISERROR(SEARCH("SÁBADO",E581)))</formula>
    </cfRule>
    <cfRule type="containsText" dxfId="488" priority="1851" operator="containsText" text="FERIADO">
      <formula>NOT(ISERROR(SEARCH("FERIADO",E581)))</formula>
    </cfRule>
    <cfRule type="containsText" dxfId="487" priority="1852" operator="containsText" text="ATESTADO">
      <formula>NOT(ISERROR(SEARCH("ATESTADO",E581)))</formula>
    </cfRule>
    <cfRule type="containsText" dxfId="486" priority="1853" operator="containsText" text="DESCANSO">
      <formula>NOT(ISERROR(SEARCH("DESCANSO",E581)))</formula>
    </cfRule>
    <cfRule type="containsText" dxfId="485" priority="1854" operator="containsText" text="FALTOU">
      <formula>NOT(ISERROR(SEARCH("FALTOU",E581)))</formula>
    </cfRule>
  </conditionalFormatting>
  <conditionalFormatting sqref="A546:B546 A547:F578 F582 A582:B584 E583:F584 A585:F645">
    <cfRule type="containsText" dxfId="484" priority="1868" operator="containsText" text="ATESTADO">
      <formula>NOT(ISERROR(SEARCH("ATESTADO",A546)))</formula>
    </cfRule>
  </conditionalFormatting>
  <conditionalFormatting sqref="A586:F645">
    <cfRule type="containsText" dxfId="483" priority="1867" operator="containsText" text="FALTOU">
      <formula>NOT(ISERROR(SEARCH("FALTOU",A586)))</formula>
    </cfRule>
  </conditionalFormatting>
  <conditionalFormatting sqref="A579:F580 F581 A581:B584">
    <cfRule type="containsText" dxfId="482" priority="1855" operator="containsText" text="DOMINGO">
      <formula>NOT(ISERROR(SEARCH("DOMINGO",A579)))</formula>
    </cfRule>
    <cfRule type="containsText" dxfId="481" priority="1856" operator="containsText" text="SÁBADO">
      <formula>NOT(ISERROR(SEARCH("SÁBADO",A579)))</formula>
    </cfRule>
  </conditionalFormatting>
  <conditionalFormatting sqref="A579:F580 F581 A581:B581">
    <cfRule type="containsText" dxfId="480" priority="1857" operator="containsText" text="FERIADO">
      <formula>NOT(ISERROR(SEARCH("FERIADO",A579)))</formula>
    </cfRule>
    <cfRule type="containsText" dxfId="479" priority="1858" operator="containsText" text="ATESTADO">
      <formula>NOT(ISERROR(SEARCH("ATESTADO",A579)))</formula>
    </cfRule>
  </conditionalFormatting>
  <conditionalFormatting sqref="A647:F679 A683:B685 A686:D686 A687:F745">
    <cfRule type="containsText" dxfId="478" priority="1818" operator="containsText" text="DOMINGO">
      <formula>NOT(ISERROR(SEARCH("DOMINGO",A647)))</formula>
    </cfRule>
  </conditionalFormatting>
  <conditionalFormatting sqref="A647:F679 A683:B685 A686:D686 A687:F745">
    <cfRule type="containsText" dxfId="477" priority="1819" operator="containsText" text="SÁBADO">
      <formula>NOT(ISERROR(SEARCH("SÁBADO",A647)))</formula>
    </cfRule>
  </conditionalFormatting>
  <conditionalFormatting sqref="A647:F679 A683:B685 A686:D686 A687:F745">
    <cfRule type="containsText" dxfId="476" priority="1820" operator="containsText" text="FERIADO">
      <formula>NOT(ISERROR(SEARCH("FERIADO",A647)))</formula>
    </cfRule>
  </conditionalFormatting>
  <conditionalFormatting sqref="F680 A680:B682">
    <cfRule type="containsText" dxfId="475" priority="1816" operator="containsText" text="DESCANSO">
      <formula>NOT(ISERROR(SEARCH("DESCANSO",A680)))</formula>
    </cfRule>
    <cfRule type="containsText" dxfId="474" priority="1817" operator="containsText" text="FALTOU">
      <formula>NOT(ISERROR(SEARCH("FALTOU",A680)))</formula>
    </cfRule>
  </conditionalFormatting>
  <conditionalFormatting sqref="A648:F679 A683:B685 A686:D686 A687:F745">
    <cfRule type="containsText" dxfId="473" priority="1827" operator="containsText" text="DESCANSO">
      <formula>NOT(ISERROR(SEARCH("DESCANSO",A648)))</formula>
    </cfRule>
    <cfRule type="containsText" dxfId="472" priority="1828" operator="containsText" text="FALTOU">
      <formula>NOT(ISERROR(SEARCH("FALTOU",A648)))</formula>
    </cfRule>
  </conditionalFormatting>
  <conditionalFormatting sqref="A647:B647">
    <cfRule type="containsText" dxfId="471" priority="1823" operator="containsText" text="ATESTADO">
      <formula>NOT(ISERROR(SEARCH("ATESTADO",A647)))</formula>
    </cfRule>
    <cfRule type="containsText" dxfId="470" priority="1824" operator="containsText" text="DESCANSO">
      <formula>NOT(ISERROR(SEARCH("DESCANSO",A647)))</formula>
    </cfRule>
    <cfRule type="containsText" dxfId="469" priority="1825" operator="containsText" text="FALTOU">
      <formula>NOT(ISERROR(SEARCH("FALTOU",A647)))</formula>
    </cfRule>
  </conditionalFormatting>
  <conditionalFormatting sqref="C720">
    <cfRule type="containsText" dxfId="468" priority="1774" operator="containsText" text="DESCANSO">
      <formula>NOT(ISERROR(SEARCH("DESCANSO",C720)))</formula>
    </cfRule>
    <cfRule type="containsText" dxfId="467" priority="1775" operator="containsText" text="FALTOU">
      <formula>NOT(ISERROR(SEARCH("FALTOU",C720)))</formula>
    </cfRule>
  </conditionalFormatting>
  <conditionalFormatting sqref="C732">
    <cfRule type="containsText" dxfId="466" priority="1772" operator="containsText" text="DESCANSO">
      <formula>NOT(ISERROR(SEARCH("DESCANSO",C732)))</formula>
    </cfRule>
    <cfRule type="containsText" dxfId="465" priority="1773" operator="containsText" text="FALTOU">
      <formula>NOT(ISERROR(SEARCH("FALTOU",C732)))</formula>
    </cfRule>
  </conditionalFormatting>
  <conditionalFormatting sqref="C680:E680">
    <cfRule type="containsText" dxfId="464" priority="1808" operator="containsText" text="FERIADO">
      <formula>NOT(ISERROR(SEARCH("FERIADO",C680)))</formula>
    </cfRule>
    <cfRule type="containsText" dxfId="463" priority="1809" operator="containsText" text="ATESTADO">
      <formula>NOT(ISERROR(SEARCH("ATESTADO",C680)))</formula>
    </cfRule>
    <cfRule type="containsText" dxfId="462" priority="1810" operator="containsText" text="DESCANSO">
      <formula>NOT(ISERROR(SEARCH("DESCANSO",C680)))</formula>
    </cfRule>
    <cfRule type="containsText" dxfId="461" priority="1811" operator="containsText" text="FALTOU">
      <formula>NOT(ISERROR(SEARCH("FALTOU",C680)))</formula>
    </cfRule>
  </conditionalFormatting>
  <conditionalFormatting sqref="C680:E681">
    <cfRule type="containsText" dxfId="460" priority="1796" operator="containsText" text="DOMINGO">
      <formula>NOT(ISERROR(SEARCH("DOMINGO",C680)))</formula>
    </cfRule>
    <cfRule type="containsText" dxfId="459" priority="1797" operator="containsText" text="SÁBADO">
      <formula>NOT(ISERROR(SEARCH("SÁBADO",C680)))</formula>
    </cfRule>
  </conditionalFormatting>
  <conditionalFormatting sqref="C681:E681">
    <cfRule type="containsText" dxfId="458" priority="1798" operator="containsText" text="FERIADO">
      <formula>NOT(ISERROR(SEARCH("FERIADO",C681)))</formula>
    </cfRule>
    <cfRule type="containsText" dxfId="457" priority="1799" operator="containsText" text="ATESTADO">
      <formula>NOT(ISERROR(SEARCH("ATESTADO",C681)))</formula>
    </cfRule>
    <cfRule type="containsText" dxfId="456" priority="1800" operator="containsText" text="DESCANSO">
      <formula>NOT(ISERROR(SEARCH("DESCANSO",C681)))</formula>
    </cfRule>
    <cfRule type="containsText" dxfId="455" priority="1801" operator="containsText" text="FALTOU">
      <formula>NOT(ISERROR(SEARCH("FALTOU",C681)))</formula>
    </cfRule>
  </conditionalFormatting>
  <conditionalFormatting sqref="C647:F647">
    <cfRule type="containsText" dxfId="454" priority="1821" operator="containsText" text="DESCANSO">
      <formula>NOT(ISERROR(SEARCH("DESCANSO",C647)))</formula>
    </cfRule>
    <cfRule type="containsText" dxfId="453" priority="1822" operator="containsText" text="FALTOU">
      <formula>NOT(ISERROR(SEARCH("FALTOU",C647)))</formula>
    </cfRule>
  </conditionalFormatting>
  <conditionalFormatting sqref="C682:F683">
    <cfRule type="containsText" dxfId="452" priority="1792" operator="containsText" text="FERIADO">
      <formula>NOT(ISERROR(SEARCH("FERIADO",C682)))</formula>
    </cfRule>
    <cfRule type="containsText" dxfId="451" priority="1793" operator="containsText" text="ATESTADO">
      <formula>NOT(ISERROR(SEARCH("ATESTADO",C682)))</formula>
    </cfRule>
    <cfRule type="containsText" dxfId="450" priority="1794" operator="containsText" text="DESCANSO">
      <formula>NOT(ISERROR(SEARCH("DESCANSO",C682)))</formula>
    </cfRule>
    <cfRule type="containsText" dxfId="449" priority="1795" operator="containsText" text="FALTOU">
      <formula>NOT(ISERROR(SEARCH("FALTOU",C682)))</formula>
    </cfRule>
  </conditionalFormatting>
  <conditionalFormatting sqref="C682:F685">
    <cfRule type="containsText" dxfId="448" priority="1782" operator="containsText" text="DOMINGO">
      <formula>NOT(ISERROR(SEARCH("DOMINGO",C682)))</formula>
    </cfRule>
    <cfRule type="containsText" dxfId="447" priority="1783" operator="containsText" text="SÁBADO">
      <formula>NOT(ISERROR(SEARCH("SÁBADO",C682)))</formula>
    </cfRule>
  </conditionalFormatting>
  <conditionalFormatting sqref="C684:F684">
    <cfRule type="containsText" dxfId="446" priority="1788" operator="containsText" text="FERIADO">
      <formula>NOT(ISERROR(SEARCH("FERIADO",C684)))</formula>
    </cfRule>
    <cfRule type="containsText" dxfId="445" priority="1789" operator="containsText" text="ATESTADO">
      <formula>NOT(ISERROR(SEARCH("ATESTADO",C684)))</formula>
    </cfRule>
    <cfRule type="containsText" dxfId="444" priority="1790" operator="containsText" text="DESCANSO">
      <formula>NOT(ISERROR(SEARCH("DESCANSO",C684)))</formula>
    </cfRule>
    <cfRule type="containsText" dxfId="443" priority="1791" operator="containsText" text="FALTOU">
      <formula>NOT(ISERROR(SEARCH("FALTOU",C684)))</formula>
    </cfRule>
  </conditionalFormatting>
  <conditionalFormatting sqref="C685:F685">
    <cfRule type="containsText" dxfId="442" priority="1784" operator="containsText" text="FERIADO">
      <formula>NOT(ISERROR(SEARCH("FERIADO",C685)))</formula>
    </cfRule>
    <cfRule type="containsText" dxfId="441" priority="1785" operator="containsText" text="ATESTADO">
      <formula>NOT(ISERROR(SEARCH("ATESTADO",C685)))</formula>
    </cfRule>
    <cfRule type="containsText" dxfId="440" priority="1786" operator="containsText" text="DESCANSO">
      <formula>NOT(ISERROR(SEARCH("DESCANSO",C685)))</formula>
    </cfRule>
    <cfRule type="containsText" dxfId="439" priority="1787" operator="containsText" text="FALTOU">
      <formula>NOT(ISERROR(SEARCH("FALTOU",C685)))</formula>
    </cfRule>
  </conditionalFormatting>
  <conditionalFormatting sqref="E686:F686">
    <cfRule type="containsText" dxfId="438" priority="1776" operator="containsText" text="DOMINGO">
      <formula>NOT(ISERROR(SEARCH("DOMINGO",E686)))</formula>
    </cfRule>
    <cfRule type="containsText" dxfId="437" priority="1777" operator="containsText" text="SÁBADO">
      <formula>NOT(ISERROR(SEARCH("SÁBADO",E686)))</formula>
    </cfRule>
    <cfRule type="containsText" dxfId="436" priority="1778" operator="containsText" text="FERIADO">
      <formula>NOT(ISERROR(SEARCH("FERIADO",E686)))</formula>
    </cfRule>
    <cfRule type="containsText" dxfId="435" priority="1779" operator="containsText" text="ATESTADO">
      <formula>NOT(ISERROR(SEARCH("ATESTADO",E686)))</formula>
    </cfRule>
    <cfRule type="containsText" dxfId="434" priority="1780" operator="containsText" text="DESCANSO">
      <formula>NOT(ISERROR(SEARCH("DESCANSO",E686)))</formula>
    </cfRule>
    <cfRule type="containsText" dxfId="433" priority="1781" operator="containsText" text="FALTOU">
      <formula>NOT(ISERROR(SEARCH("FALTOU",E686)))</formula>
    </cfRule>
  </conditionalFormatting>
  <conditionalFormatting sqref="F681">
    <cfRule type="containsText" dxfId="432" priority="1802" operator="containsText" text="DOMINGO">
      <formula>NOT(ISERROR(SEARCH("DOMINGO",F681)))</formula>
    </cfRule>
    <cfRule type="containsText" dxfId="431" priority="1803" operator="containsText" text="SÁBADO">
      <formula>NOT(ISERROR(SEARCH("SÁBADO",F681)))</formula>
    </cfRule>
    <cfRule type="containsText" dxfId="430" priority="1804" operator="containsText" text="FERIADO">
      <formula>NOT(ISERROR(SEARCH("FERIADO",F681)))</formula>
    </cfRule>
    <cfRule type="containsText" dxfId="429" priority="1805" operator="containsText" text="ATESTADO">
      <formula>NOT(ISERROR(SEARCH("ATESTADO",F681)))</formula>
    </cfRule>
    <cfRule type="containsText" dxfId="428" priority="1806" operator="containsText" text="DESCANSO">
      <formula>NOT(ISERROR(SEARCH("DESCANSO",F681)))</formula>
    </cfRule>
    <cfRule type="containsText" dxfId="427" priority="1807" operator="containsText" text="FALTOU">
      <formula>NOT(ISERROR(SEARCH("FALTOU",F681)))</formula>
    </cfRule>
  </conditionalFormatting>
  <conditionalFormatting sqref="A687:F745 A648:F679 A683:B685 A686:D686">
    <cfRule type="containsText" dxfId="426" priority="1826" operator="containsText" text="ATESTADO">
      <formula>NOT(ISERROR(SEARCH("ATESTADO",A648)))</formula>
    </cfRule>
  </conditionalFormatting>
  <conditionalFormatting sqref="F680 A680:B682">
    <cfRule type="containsText" dxfId="425" priority="1812" operator="containsText" text="DOMINGO">
      <formula>NOT(ISERROR(SEARCH("DOMINGO",A680)))</formula>
    </cfRule>
    <cfRule type="containsText" dxfId="424" priority="1813" operator="containsText" text="SÁBADO">
      <formula>NOT(ISERROR(SEARCH("SÁBADO",A680)))</formula>
    </cfRule>
  </conditionalFormatting>
  <conditionalFormatting sqref="F680 A680:B682">
    <cfRule type="containsText" dxfId="423" priority="1814" operator="containsText" text="FERIADO">
      <formula>NOT(ISERROR(SEARCH("FERIADO",A680)))</formula>
    </cfRule>
    <cfRule type="containsText" dxfId="422" priority="1815" operator="containsText" text="ATESTADO">
      <formula>NOT(ISERROR(SEARCH("ATESTADO",A680)))</formula>
    </cfRule>
  </conditionalFormatting>
  <conditionalFormatting sqref="A747:F749 F750:F755 A756:F766 E770:F772 A773:F827">
    <cfRule type="containsText" dxfId="421" priority="1766" operator="containsText" text="DOMINGO">
      <formula>NOT(ISERROR(SEARCH("DOMINGO",A747)))</formula>
    </cfRule>
  </conditionalFormatting>
  <conditionalFormatting sqref="A747:F749 F750:F755 A756:F766 E770:F772 A773:F827">
    <cfRule type="containsText" dxfId="420" priority="1767" operator="containsText" text="SÁBADO">
      <formula>NOT(ISERROR(SEARCH("SÁBADO",A747)))</formula>
    </cfRule>
  </conditionalFormatting>
  <conditionalFormatting sqref="A747:F749 F750:F755 A756:F766 E770:F772 A773:F827 A770:B772">
    <cfRule type="containsText" dxfId="419" priority="1768" operator="containsText" text="FERIADO">
      <formula>NOT(ISERROR(SEARCH("FERIADO",A747)))</formula>
    </cfRule>
  </conditionalFormatting>
  <conditionalFormatting sqref="A747:F749 F750:F755 A756:F766 E770:F772 A773:F827 A770:B772">
    <cfRule type="containsText" dxfId="418" priority="1769" operator="containsText" text="DESCANSO">
      <formula>NOT(ISERROR(SEARCH("DESCANSO",A747)))</formula>
    </cfRule>
  </conditionalFormatting>
  <conditionalFormatting sqref="A747:F749 F750:F755 A756:F766 A770:B772 E770:F772 A773:F827">
    <cfRule type="containsText" dxfId="417" priority="1771" operator="containsText" text="ATESTADO">
      <formula>NOT(ISERROR(SEARCH("ATESTADO",A747)))</formula>
    </cfRule>
  </conditionalFormatting>
  <conditionalFormatting sqref="A747:F749 F750:F755 A756:F766 A770:B772 E770:F772 A773:F827">
    <cfRule type="containsText" dxfId="416" priority="1770" operator="containsText" text="FALTOU">
      <formula>NOT(ISERROR(SEARCH("FALTOU",A747)))</formula>
    </cfRule>
  </conditionalFormatting>
  <conditionalFormatting sqref="A747:B747">
    <cfRule type="containsText" dxfId="415" priority="1763" operator="containsText" text="ATESTADO">
      <formula>NOT(ISERROR(SEARCH("ATESTADO",A747)))</formula>
    </cfRule>
    <cfRule type="containsText" dxfId="414" priority="1764" operator="containsText" text="DESCANSO">
      <formula>NOT(ISERROR(SEARCH("DESCANSO",A747)))</formula>
    </cfRule>
    <cfRule type="containsText" dxfId="413" priority="1765" operator="containsText" text="FALTOU">
      <formula>NOT(ISERROR(SEARCH("FALTOU",A747)))</formula>
    </cfRule>
  </conditionalFormatting>
  <conditionalFormatting sqref="C769:D770 B958:F958 B899:F900 B832 E832:E833">
    <cfRule type="containsText" dxfId="412" priority="1739" operator="containsText" text="FERIADO">
      <formula>NOT(ISERROR(SEARCH("FERIADO",B769)))</formula>
    </cfRule>
    <cfRule type="containsText" dxfId="411" priority="1740" operator="containsText" text="DESCANSO">
      <formula>NOT(ISERROR(SEARCH("DESCANSO",B769)))</formula>
    </cfRule>
    <cfRule type="containsText" dxfId="410" priority="1741" operator="containsText" text="FALTOU">
      <formula>NOT(ISERROR(SEARCH("FALTOU",B769)))</formula>
    </cfRule>
    <cfRule type="containsText" dxfId="409" priority="1742" operator="containsText" text="ATESTADO">
      <formula>NOT(ISERROR(SEARCH("ATESTADO",B769)))</formula>
    </cfRule>
  </conditionalFormatting>
  <conditionalFormatting sqref="C769:D772">
    <cfRule type="containsText" dxfId="408" priority="1729" operator="containsText" text="DOMINGO">
      <formula>NOT(ISERROR(SEARCH("DOMINGO",C769)))</formula>
    </cfRule>
    <cfRule type="containsText" dxfId="407" priority="1730" operator="containsText" text="SÁBADO">
      <formula>NOT(ISERROR(SEARCH("SÁBADO",C769)))</formula>
    </cfRule>
  </conditionalFormatting>
  <conditionalFormatting sqref="C771:D771">
    <cfRule type="containsText" dxfId="406" priority="1735" operator="containsText" text="FERIADO">
      <formula>NOT(ISERROR(SEARCH("FERIADO",C771)))</formula>
    </cfRule>
    <cfRule type="containsText" dxfId="405" priority="1736" operator="containsText" text="DESCANSO">
      <formula>NOT(ISERROR(SEARCH("DESCANSO",C771)))</formula>
    </cfRule>
    <cfRule type="containsText" dxfId="404" priority="1737" operator="containsText" text="FALTOU">
      <formula>NOT(ISERROR(SEARCH("FALTOU",C771)))</formula>
    </cfRule>
    <cfRule type="containsText" dxfId="403" priority="1738" operator="containsText" text="ATESTADO">
      <formula>NOT(ISERROR(SEARCH("ATESTADO",C771)))</formula>
    </cfRule>
  </conditionalFormatting>
  <conditionalFormatting sqref="C772:D772">
    <cfRule type="containsText" dxfId="402" priority="1731" operator="containsText" text="FERIADO">
      <formula>NOT(ISERROR(SEARCH("FERIADO",C772)))</formula>
    </cfRule>
    <cfRule type="containsText" dxfId="401" priority="1732" operator="containsText" text="DESCANSO">
      <formula>NOT(ISERROR(SEARCH("DESCANSO",C772)))</formula>
    </cfRule>
    <cfRule type="containsText" dxfId="400" priority="1733" operator="containsText" text="FALTOU">
      <formula>NOT(ISERROR(SEARCH("FALTOU",C772)))</formula>
    </cfRule>
    <cfRule type="containsText" dxfId="399" priority="1734" operator="containsText" text="ATESTADO">
      <formula>NOT(ISERROR(SEARCH("ATESTADO",C772)))</formula>
    </cfRule>
  </conditionalFormatting>
  <conditionalFormatting sqref="C747:F747">
    <cfRule type="containsText" dxfId="398" priority="1761" operator="containsText" text="DESCANSO">
      <formula>NOT(ISERROR(SEARCH("DESCANSO",C747)))</formula>
    </cfRule>
    <cfRule type="containsText" dxfId="397" priority="1762" operator="containsText" text="FALTOU">
      <formula>NOT(ISERROR(SEARCH("FALTOU",C747)))</formula>
    </cfRule>
  </conditionalFormatting>
  <conditionalFormatting sqref="C767:F768 E769:F769">
    <cfRule type="containsText" dxfId="396" priority="1743" operator="containsText" text="DOMINGO">
      <formula>NOT(ISERROR(SEARCH("DOMINGO",C767)))</formula>
    </cfRule>
    <cfRule type="containsText" dxfId="395" priority="1744" operator="containsText" text="SÁBADO">
      <formula>NOT(ISERROR(SEARCH("SÁBADO",C767)))</formula>
    </cfRule>
    <cfRule type="containsText" dxfId="394" priority="1745" operator="containsText" text="FERIADO">
      <formula>NOT(ISERROR(SEARCH("FERIADO",C767)))</formula>
    </cfRule>
    <cfRule type="containsText" dxfId="393" priority="1746" operator="containsText" text="DESCANSO">
      <formula>NOT(ISERROR(SEARCH("DESCANSO",C767)))</formula>
    </cfRule>
    <cfRule type="containsText" dxfId="392" priority="1747" operator="containsText" text="FALTOU">
      <formula>NOT(ISERROR(SEARCH("FALTOU",C767)))</formula>
    </cfRule>
    <cfRule type="containsText" dxfId="391" priority="1748" operator="containsText" text="ATESTADO">
      <formula>NOT(ISERROR(SEARCH("ATESTADO",C767)))</formula>
    </cfRule>
  </conditionalFormatting>
  <conditionalFormatting sqref="A767:B772">
    <cfRule type="containsText" dxfId="390" priority="1749" operator="containsText" text="DOMINGO">
      <formula>NOT(ISERROR(SEARCH("DOMINGO",A767)))</formula>
    </cfRule>
    <cfRule type="containsText" dxfId="389" priority="1750" operator="containsText" text="SÁBADO">
      <formula>NOT(ISERROR(SEARCH("SÁBADO",A767)))</formula>
    </cfRule>
  </conditionalFormatting>
  <conditionalFormatting sqref="A767:B769">
    <cfRule type="containsText" dxfId="388" priority="1752" operator="containsText" text="DESCANSO">
      <formula>NOT(ISERROR(SEARCH("DESCANSO",A767)))</formula>
    </cfRule>
    <cfRule type="containsText" dxfId="387" priority="1753" operator="containsText" text="FALTOU">
      <formula>NOT(ISERROR(SEARCH("FALTOU",A767)))</formula>
    </cfRule>
  </conditionalFormatting>
  <conditionalFormatting sqref="A767:B769">
    <cfRule type="containsText" dxfId="386" priority="1751" operator="containsText" text="FERIADO">
      <formula>NOT(ISERROR(SEARCH("FERIADO",A767)))</formula>
    </cfRule>
    <cfRule type="containsText" dxfId="385" priority="1754" operator="containsText" text="ATESTADO">
      <formula>NOT(ISERROR(SEARCH("ATESTADO",A767)))</formula>
    </cfRule>
  </conditionalFormatting>
  <conditionalFormatting sqref="A829:B829">
    <cfRule type="containsText" dxfId="384" priority="1720" operator="containsText" text="ATESTADO">
      <formula>NOT(ISERROR(SEARCH("ATESTADO",A829)))</formula>
    </cfRule>
    <cfRule type="containsText" dxfId="383" priority="1721" operator="containsText" text="DESCANSO">
      <formula>NOT(ISERROR(SEARCH("DESCANSO",A829)))</formula>
    </cfRule>
    <cfRule type="containsText" dxfId="382" priority="1722" operator="containsText" text="FALTOU">
      <formula>NOT(ISERROR(SEARCH("FALTOU",A829)))</formula>
    </cfRule>
  </conditionalFormatting>
  <conditionalFormatting sqref="A829:F831 A882:F894 B833:D833 B834 B835:D835 B836:F841 A842:F880 A881:B881 D881:F881">
    <cfRule type="containsText" dxfId="381" priority="1723" operator="containsText" text="DOMINGO">
      <formula>NOT(ISERROR(SEARCH("DOMINGO",A829)))</formula>
    </cfRule>
    <cfRule type="containsText" dxfId="380" priority="1724" operator="containsText" text="SÁBADO">
      <formula>NOT(ISERROR(SEARCH("SÁBADO",A829)))</formula>
    </cfRule>
  </conditionalFormatting>
  <conditionalFormatting sqref="A829:F831 B833:D833 B835:D835 B834 B836:F841 A842:F880 A881:B881 D881:F881 A882:F894">
    <cfRule type="containsText" dxfId="379" priority="1725" operator="containsText" text="FERIADO">
      <formula>NOT(ISERROR(SEARCH("FERIADO",A829)))</formula>
    </cfRule>
    <cfRule type="containsText" dxfId="378" priority="1726" operator="containsText" text="DESCANSO">
      <formula>NOT(ISERROR(SEARCH("DESCANSO",A829)))</formula>
    </cfRule>
    <cfRule type="containsText" dxfId="377" priority="1727" operator="containsText" text="FALTOU">
      <formula>NOT(ISERROR(SEARCH("FALTOU",A829)))</formula>
    </cfRule>
    <cfRule type="containsText" dxfId="376" priority="1728" operator="containsText" text="ATESTADO">
      <formula>NOT(ISERROR(SEARCH("ATESTADO",A829)))</formula>
    </cfRule>
  </conditionalFormatting>
  <conditionalFormatting sqref="C881">
    <cfRule type="containsText" dxfId="375" priority="1528" operator="containsText" text="DOMINGO">
      <formula>NOT(ISERROR(SEARCH("DOMINGO",C881)))</formula>
    </cfRule>
    <cfRule type="containsText" dxfId="374" priority="1529" operator="containsText" text="SÁBADO">
      <formula>NOT(ISERROR(SEARCH("SÁBADO",C881)))</formula>
    </cfRule>
    <cfRule type="containsText" dxfId="373" priority="1530" operator="containsText" text="FERIADO">
      <formula>NOT(ISERROR(SEARCH("FERIADO",C881)))</formula>
    </cfRule>
    <cfRule type="containsText" dxfId="372" priority="1531" operator="containsText" text="DESCANSO">
      <formula>NOT(ISERROR(SEARCH("DESCANSO",C881)))</formula>
    </cfRule>
    <cfRule type="containsText" dxfId="371" priority="1532" operator="containsText" text="FALTOU">
      <formula>NOT(ISERROR(SEARCH("FALTOU",C881)))</formula>
    </cfRule>
    <cfRule type="containsText" dxfId="370" priority="1533" operator="containsText" text="ATESTADO">
      <formula>NOT(ISERROR(SEARCH("ATESTADO",C881)))</formula>
    </cfRule>
  </conditionalFormatting>
  <conditionalFormatting sqref="C832:D832">
    <cfRule type="containsText" dxfId="369" priority="1576" operator="containsText" text="DOMINGO">
      <formula>NOT(ISERROR(SEARCH("DOMINGO",C832)))</formula>
    </cfRule>
    <cfRule type="containsText" dxfId="368" priority="1577" operator="containsText" text="SÁBADO">
      <formula>NOT(ISERROR(SEARCH("SÁBADO",C832)))</formula>
    </cfRule>
    <cfRule type="containsText" dxfId="367" priority="1578" operator="containsText" text="FERIADO">
      <formula>NOT(ISERROR(SEARCH("FERIADO",C832)))</formula>
    </cfRule>
    <cfRule type="containsText" dxfId="366" priority="1579" operator="containsText" text="ATESTADO">
      <formula>NOT(ISERROR(SEARCH("ATESTADO",C832)))</formula>
    </cfRule>
    <cfRule type="containsText" dxfId="365" priority="1580" operator="containsText" text="DESCANSO">
      <formula>NOT(ISERROR(SEARCH("DESCANSO",C832)))</formula>
    </cfRule>
    <cfRule type="containsText" dxfId="364" priority="1581" operator="containsText" text="FALTOU">
      <formula>NOT(ISERROR(SEARCH("FALTOU",C832)))</formula>
    </cfRule>
    <cfRule type="containsText" dxfId="363" priority="1582" operator="containsText" text="DOMINGO">
      <formula>NOT(ISERROR(SEARCH("DOMINGO",C832)))</formula>
    </cfRule>
    <cfRule type="containsText" dxfId="362" priority="1583" operator="containsText" text="SÁBADO">
      <formula>NOT(ISERROR(SEARCH("SÁBADO",C832)))</formula>
    </cfRule>
    <cfRule type="containsText" dxfId="361" priority="1584" operator="containsText" text="FERIADO">
      <formula>NOT(ISERROR(SEARCH("FERIADO",C832)))</formula>
    </cfRule>
    <cfRule type="containsText" dxfId="360" priority="1585" operator="containsText" text="DESCANSO">
      <formula>NOT(ISERROR(SEARCH("DESCANSO",C832)))</formula>
    </cfRule>
    <cfRule type="containsText" dxfId="359" priority="1586" operator="containsText" text="FALTOU">
      <formula>NOT(ISERROR(SEARCH("FALTOU",C832)))</formula>
    </cfRule>
    <cfRule type="containsText" dxfId="358" priority="1587" operator="containsText" text="ATESTADO">
      <formula>NOT(ISERROR(SEARCH("ATESTADO",C832)))</formula>
    </cfRule>
  </conditionalFormatting>
  <conditionalFormatting sqref="C834:D834">
    <cfRule type="containsText" dxfId="357" priority="1554" operator="containsText" text="DOMINGO">
      <formula>NOT(ISERROR(SEARCH("DOMINGO",C834)))</formula>
    </cfRule>
    <cfRule type="containsText" dxfId="356" priority="1555" operator="containsText" text="SÁBADO">
      <formula>NOT(ISERROR(SEARCH("SÁBADO",C834)))</formula>
    </cfRule>
    <cfRule type="containsText" dxfId="355" priority="1556" operator="containsText" text="FERIADO">
      <formula>NOT(ISERROR(SEARCH("FERIADO",C834)))</formula>
    </cfRule>
    <cfRule type="containsText" dxfId="354" priority="1557" operator="containsText" text="DESCANSO">
      <formula>NOT(ISERROR(SEARCH("DESCANSO",C834)))</formula>
    </cfRule>
    <cfRule type="containsText" dxfId="353" priority="1558" operator="containsText" text="FALTOU">
      <formula>NOT(ISERROR(SEARCH("FALTOU",C834)))</formula>
    </cfRule>
    <cfRule type="containsText" dxfId="352" priority="1559" operator="containsText" text="ATESTADO">
      <formula>NOT(ISERROR(SEARCH("ATESTADO",C834)))</formula>
    </cfRule>
  </conditionalFormatting>
  <conditionalFormatting sqref="C829:F829">
    <cfRule type="containsText" dxfId="351" priority="1718" operator="containsText" text="DESCANSO">
      <formula>NOT(ISERROR(SEARCH("DESCANSO",C829)))</formula>
    </cfRule>
    <cfRule type="containsText" dxfId="350" priority="1719" operator="containsText" text="FALTOU">
      <formula>NOT(ISERROR(SEARCH("FALTOU",C829)))</formula>
    </cfRule>
  </conditionalFormatting>
  <conditionalFormatting sqref="E834">
    <cfRule type="containsText" dxfId="349" priority="1550" operator="containsText" text="FERIADO">
      <formula>NOT(ISERROR(SEARCH("FERIADO",E834)))</formula>
    </cfRule>
    <cfRule type="containsText" dxfId="348" priority="1551" operator="containsText" text="DESCANSO">
      <formula>NOT(ISERROR(SEARCH("DESCANSO",E834)))</formula>
    </cfRule>
    <cfRule type="containsText" dxfId="347" priority="1552" operator="containsText" text="FALTOU">
      <formula>NOT(ISERROR(SEARCH("FALTOU",E834)))</formula>
    </cfRule>
    <cfRule type="containsText" dxfId="346" priority="1553" operator="containsText" text="ATESTADO">
      <formula>NOT(ISERROR(SEARCH("ATESTADO",E834)))</formula>
    </cfRule>
  </conditionalFormatting>
  <conditionalFormatting sqref="E835">
    <cfRule type="containsText" dxfId="345" priority="1542" operator="containsText" text="FERIADO">
      <formula>NOT(ISERROR(SEARCH("FERIADO",E835)))</formula>
    </cfRule>
    <cfRule type="containsText" dxfId="344" priority="1543" operator="containsText" text="DESCANSO">
      <formula>NOT(ISERROR(SEARCH("DESCANSO",E835)))</formula>
    </cfRule>
    <cfRule type="containsText" dxfId="343" priority="1544" operator="containsText" text="FALTOU">
      <formula>NOT(ISERROR(SEARCH("FALTOU",E835)))</formula>
    </cfRule>
    <cfRule type="containsText" dxfId="342" priority="1545" operator="containsText" text="ATESTADO">
      <formula>NOT(ISERROR(SEARCH("ATESTADO",E835)))</formula>
    </cfRule>
  </conditionalFormatting>
  <conditionalFormatting sqref="F834">
    <cfRule type="containsText" dxfId="341" priority="1546" operator="containsText" text="FERIADO">
      <formula>NOT(ISERROR(SEARCH("FERIADO",F834)))</formula>
    </cfRule>
    <cfRule type="containsText" dxfId="340" priority="1547" operator="containsText" text="ATESTADO">
      <formula>NOT(ISERROR(SEARCH("ATESTADO",F834)))</formula>
    </cfRule>
    <cfRule type="containsText" dxfId="339" priority="1548" operator="containsText" text="DESCANSO">
      <formula>NOT(ISERROR(SEARCH("DESCANSO",F834)))</formula>
    </cfRule>
    <cfRule type="containsText" dxfId="338" priority="1549" operator="containsText" text="FALTOU">
      <formula>NOT(ISERROR(SEARCH("FALTOU",F834)))</formula>
    </cfRule>
  </conditionalFormatting>
  <conditionalFormatting sqref="F835">
    <cfRule type="containsText" dxfId="337" priority="1536" operator="containsText" text="FERIADO">
      <formula>NOT(ISERROR(SEARCH("FERIADO",F835)))</formula>
    </cfRule>
    <cfRule type="containsText" dxfId="336" priority="1537" operator="containsText" text="ATESTADO">
      <formula>NOT(ISERROR(SEARCH("ATESTADO",F835)))</formula>
    </cfRule>
    <cfRule type="containsText" dxfId="335" priority="1538" operator="containsText" text="DESCANSO">
      <formula>NOT(ISERROR(SEARCH("DESCANSO",F835)))</formula>
    </cfRule>
    <cfRule type="containsText" dxfId="334" priority="1539" operator="containsText" text="FALTOU">
      <formula>NOT(ISERROR(SEARCH("FALTOU",F835)))</formula>
    </cfRule>
  </conditionalFormatting>
  <conditionalFormatting sqref="A896:B896">
    <cfRule type="containsText" dxfId="333" priority="1519" operator="containsText" text="ATESTADO">
      <formula>NOT(ISERROR(SEARCH("ATESTADO",A896)))</formula>
    </cfRule>
    <cfRule type="containsText" dxfId="332" priority="1520" operator="containsText" text="DESCANSO">
      <formula>NOT(ISERROR(SEARCH("DESCANSO",A896)))</formula>
    </cfRule>
    <cfRule type="containsText" dxfId="331" priority="1521" operator="containsText" text="FALTOU">
      <formula>NOT(ISERROR(SEARCH("FALTOU",A896)))</formula>
    </cfRule>
  </conditionalFormatting>
  <conditionalFormatting sqref="A896:F898 A901:F910 A911:D915 F911:F915 A916:F917 A918:D922 F918:F922 A923:F924 A925:D929 F925:F929 A930:F931 A932:D936 A937:F938 A939:D939 A940:B940 D940 A941:D943 A944:F945 A946:E953">
    <cfRule type="containsText" dxfId="330" priority="1522" operator="containsText" text="DOMINGO">
      <formula>NOT(ISERROR(SEARCH("DOMINGO",A896)))</formula>
    </cfRule>
    <cfRule type="containsText" dxfId="329" priority="1523" operator="containsText" text="SÁBADO">
      <formula>NOT(ISERROR(SEARCH("SÁBADO",A896)))</formula>
    </cfRule>
  </conditionalFormatting>
  <conditionalFormatting sqref="A896:F898 F911:F915 A901:F910 A911:D915 A916:F917 A918:D922 F918:F922 A923:F924 A925:D929 F925:F929 A930:F931 A937:F938 A932:D936 A939:D939 A940:B940 D940 A941:D943 A944:F945 A946:E953">
    <cfRule type="containsText" dxfId="328" priority="1524" operator="containsText" text="FERIADO">
      <formula>NOT(ISERROR(SEARCH("FERIADO",A896)))</formula>
    </cfRule>
    <cfRule type="containsText" dxfId="327" priority="1525" operator="containsText" text="DESCANSO">
      <formula>NOT(ISERROR(SEARCH("DESCANSO",A896)))</formula>
    </cfRule>
    <cfRule type="containsText" dxfId="326" priority="1526" operator="containsText" text="FALTOU">
      <formula>NOT(ISERROR(SEARCH("FALTOU",A896)))</formula>
    </cfRule>
    <cfRule type="containsText" dxfId="325" priority="1527" operator="containsText" text="ATESTADO">
      <formula>NOT(ISERROR(SEARCH("ATESTADO",A896)))</formula>
    </cfRule>
  </conditionalFormatting>
  <conditionalFormatting sqref="C940">
    <cfRule type="containsText" dxfId="324" priority="1275" operator="containsText" text="DOMINGO">
      <formula>NOT(ISERROR(SEARCH("DOMINGO",C940)))</formula>
    </cfRule>
    <cfRule type="containsText" dxfId="323" priority="1276" operator="containsText" text="SÁBADO">
      <formula>NOT(ISERROR(SEARCH("SÁBADO",C940)))</formula>
    </cfRule>
    <cfRule type="containsText" dxfId="322" priority="1277" operator="containsText" text="FERIADO">
      <formula>NOT(ISERROR(SEARCH("FERIADO",C940)))</formula>
    </cfRule>
    <cfRule type="containsText" dxfId="321" priority="1278" operator="containsText" text="DESCANSO">
      <formula>NOT(ISERROR(SEARCH("DESCANSO",C940)))</formula>
    </cfRule>
    <cfRule type="containsText" dxfId="320" priority="1279" operator="containsText" text="FALTOU">
      <formula>NOT(ISERROR(SEARCH("FALTOU",C940)))</formula>
    </cfRule>
    <cfRule type="containsText" dxfId="319" priority="1280" operator="containsText" text="ATESTADO">
      <formula>NOT(ISERROR(SEARCH("ATESTADO",C940)))</formula>
    </cfRule>
  </conditionalFormatting>
  <conditionalFormatting sqref="C896:F896">
    <cfRule type="containsText" dxfId="318" priority="1517" operator="containsText" text="DESCANSO">
      <formula>NOT(ISERROR(SEARCH("DESCANSO",C896)))</formula>
    </cfRule>
    <cfRule type="containsText" dxfId="317" priority="1518" operator="containsText" text="FALTOU">
      <formula>NOT(ISERROR(SEARCH("FALTOU",C896)))</formula>
    </cfRule>
  </conditionalFormatting>
  <conditionalFormatting sqref="E911:E915">
    <cfRule type="containsText" dxfId="316" priority="1327" operator="containsText" text="DOMINGO">
      <formula>NOT(ISERROR(SEARCH("DOMINGO",E911)))</formula>
    </cfRule>
    <cfRule type="containsText" dxfId="315" priority="1328" operator="containsText" text="SÁBADO">
      <formula>NOT(ISERROR(SEARCH("SÁBADO",E911)))</formula>
    </cfRule>
    <cfRule type="containsText" dxfId="314" priority="1329" operator="containsText" text="FERIADO">
      <formula>NOT(ISERROR(SEARCH("FERIADO",E911)))</formula>
    </cfRule>
    <cfRule type="containsText" dxfId="313" priority="1330" operator="containsText" text="DESCANSO">
      <formula>NOT(ISERROR(SEARCH("DESCANSO",E911)))</formula>
    </cfRule>
    <cfRule type="containsText" dxfId="312" priority="1331" operator="containsText" text="FALTOU">
      <formula>NOT(ISERROR(SEARCH("FALTOU",E911)))</formula>
    </cfRule>
    <cfRule type="containsText" dxfId="311" priority="1332" operator="containsText" text="ATESTADO">
      <formula>NOT(ISERROR(SEARCH("ATESTADO",E911)))</formula>
    </cfRule>
  </conditionalFormatting>
  <conditionalFormatting sqref="E918:E922">
    <cfRule type="containsText" dxfId="310" priority="1321" operator="containsText" text="DOMINGO">
      <formula>NOT(ISERROR(SEARCH("DOMINGO",E918)))</formula>
    </cfRule>
    <cfRule type="containsText" dxfId="309" priority="1322" operator="containsText" text="SÁBADO">
      <formula>NOT(ISERROR(SEARCH("SÁBADO",E918)))</formula>
    </cfRule>
    <cfRule type="containsText" dxfId="308" priority="1323" operator="containsText" text="FERIADO">
      <formula>NOT(ISERROR(SEARCH("FERIADO",E918)))</formula>
    </cfRule>
    <cfRule type="containsText" dxfId="307" priority="1324" operator="containsText" text="DESCANSO">
      <formula>NOT(ISERROR(SEARCH("DESCANSO",E918)))</formula>
    </cfRule>
    <cfRule type="containsText" dxfId="306" priority="1325" operator="containsText" text="FALTOU">
      <formula>NOT(ISERROR(SEARCH("FALTOU",E918)))</formula>
    </cfRule>
    <cfRule type="containsText" dxfId="305" priority="1326" operator="containsText" text="ATESTADO">
      <formula>NOT(ISERROR(SEARCH("ATESTADO",E918)))</formula>
    </cfRule>
  </conditionalFormatting>
  <conditionalFormatting sqref="E925:E929">
    <cfRule type="containsText" dxfId="304" priority="1315" operator="containsText" text="DOMINGO">
      <formula>NOT(ISERROR(SEARCH("DOMINGO",E925)))</formula>
    </cfRule>
    <cfRule type="containsText" dxfId="303" priority="1316" operator="containsText" text="SÁBADO">
      <formula>NOT(ISERROR(SEARCH("SÁBADO",E925)))</formula>
    </cfRule>
    <cfRule type="containsText" dxfId="302" priority="1317" operator="containsText" text="FERIADO">
      <formula>NOT(ISERROR(SEARCH("FERIADO",E925)))</formula>
    </cfRule>
    <cfRule type="containsText" dxfId="301" priority="1318" operator="containsText" text="DESCANSO">
      <formula>NOT(ISERROR(SEARCH("DESCANSO",E925)))</formula>
    </cfRule>
    <cfRule type="containsText" dxfId="300" priority="1319" operator="containsText" text="FALTOU">
      <formula>NOT(ISERROR(SEARCH("FALTOU",E925)))</formula>
    </cfRule>
    <cfRule type="containsText" dxfId="299" priority="1320" operator="containsText" text="ATESTADO">
      <formula>NOT(ISERROR(SEARCH("ATESTADO",E925)))</formula>
    </cfRule>
  </conditionalFormatting>
  <conditionalFormatting sqref="E932:E936">
    <cfRule type="containsText" dxfId="298" priority="1303" operator="containsText" text="DOMINGO">
      <formula>NOT(ISERROR(SEARCH("DOMINGO",E932)))</formula>
    </cfRule>
    <cfRule type="containsText" dxfId="297" priority="1304" operator="containsText" text="SÁBADO">
      <formula>NOT(ISERROR(SEARCH("SÁBADO",E932)))</formula>
    </cfRule>
    <cfRule type="containsText" dxfId="296" priority="1305" operator="containsText" text="FERIADO">
      <formula>NOT(ISERROR(SEARCH("FERIADO",E932)))</formula>
    </cfRule>
    <cfRule type="containsText" dxfId="295" priority="1306" operator="containsText" text="DESCANSO">
      <formula>NOT(ISERROR(SEARCH("DESCANSO",E932)))</formula>
    </cfRule>
    <cfRule type="containsText" dxfId="294" priority="1307" operator="containsText" text="FALTOU">
      <formula>NOT(ISERROR(SEARCH("FALTOU",E932)))</formula>
    </cfRule>
    <cfRule type="containsText" dxfId="293" priority="1308" operator="containsText" text="ATESTADO">
      <formula>NOT(ISERROR(SEARCH("ATESTADO",E932)))</formula>
    </cfRule>
  </conditionalFormatting>
  <conditionalFormatting sqref="E939 A1124:F1127 A1083:F1105 A1035:E1038 B1021:F1022">
    <cfRule type="containsText" dxfId="292" priority="1293" operator="containsText" text="DOMINGO">
      <formula>NOT(ISERROR(SEARCH("DOMINGO",A939)))</formula>
    </cfRule>
    <cfRule type="containsText" dxfId="291" priority="1294" operator="containsText" text="FERIADO">
      <formula>NOT(ISERROR(SEARCH("FERIADO",A939)))</formula>
    </cfRule>
    <cfRule type="containsText" dxfId="290" priority="1295" operator="containsText" text="DESCANSO">
      <formula>NOT(ISERROR(SEARCH("DESCANSO",A939)))</formula>
    </cfRule>
    <cfRule type="containsText" dxfId="289" priority="1296" operator="containsText" text="FALTOU">
      <formula>NOT(ISERROR(SEARCH("FALTOU",A939)))</formula>
    </cfRule>
    <cfRule type="containsText" dxfId="288" priority="1297" operator="containsText" text="ATESTADO">
      <formula>NOT(ISERROR(SEARCH("ATESTADO",A939)))</formula>
    </cfRule>
  </conditionalFormatting>
  <conditionalFormatting sqref="E939:E943">
    <cfRule type="containsText" dxfId="287" priority="1282" operator="containsText" text="SÁBADO">
      <formula>NOT(ISERROR(SEARCH("SÁBADO",E939)))</formula>
    </cfRule>
  </conditionalFormatting>
  <conditionalFormatting sqref="E940:E943">
    <cfRule type="containsText" dxfId="286" priority="1281" operator="containsText" text="DOMINGO">
      <formula>NOT(ISERROR(SEARCH("DOMINGO",E940)))</formula>
    </cfRule>
    <cfRule type="containsText" dxfId="285" priority="1283" operator="containsText" text="FERIADO">
      <formula>NOT(ISERROR(SEARCH("FERIADO",E940)))</formula>
    </cfRule>
    <cfRule type="containsText" dxfId="284" priority="1284" operator="containsText" text="DESCANSO">
      <formula>NOT(ISERROR(SEARCH("DESCANSO",E940)))</formula>
    </cfRule>
    <cfRule type="containsText" dxfId="283" priority="1285" operator="containsText" text="FALTOU">
      <formula>NOT(ISERROR(SEARCH("FALTOU",E940)))</formula>
    </cfRule>
    <cfRule type="containsText" dxfId="282" priority="1286" operator="containsText" text="ATESTADO">
      <formula>NOT(ISERROR(SEARCH("ATESTADO",E940)))</formula>
    </cfRule>
  </conditionalFormatting>
  <conditionalFormatting sqref="F932:F936">
    <cfRule type="containsText" dxfId="281" priority="1309" operator="containsText" text="DOMINGO">
      <formula>NOT(ISERROR(SEARCH("DOMINGO",F932)))</formula>
    </cfRule>
    <cfRule type="containsText" dxfId="280" priority="1310" operator="containsText" text="SÁBADO">
      <formula>NOT(ISERROR(SEARCH("SÁBADO",F932)))</formula>
    </cfRule>
    <cfRule type="containsText" dxfId="279" priority="1311" operator="containsText" text="FERIADO">
      <formula>NOT(ISERROR(SEARCH("FERIADO",F932)))</formula>
    </cfRule>
    <cfRule type="containsText" dxfId="278" priority="1312" operator="containsText" text="DESCANSO">
      <formula>NOT(ISERROR(SEARCH("DESCANSO",F932)))</formula>
    </cfRule>
    <cfRule type="containsText" dxfId="277" priority="1313" operator="containsText" text="FALTOU">
      <formula>NOT(ISERROR(SEARCH("FALTOU",F932)))</formula>
    </cfRule>
    <cfRule type="containsText" dxfId="276" priority="1314" operator="containsText" text="ATESTADO">
      <formula>NOT(ISERROR(SEARCH("ATESTADO",F932)))</formula>
    </cfRule>
  </conditionalFormatting>
  <conditionalFormatting sqref="F939">
    <cfRule type="containsText" dxfId="275" priority="1298" operator="containsText" text="DOMINGO">
      <formula>NOT(ISERROR(SEARCH("DOMINGO",F939)))</formula>
    </cfRule>
    <cfRule type="containsText" dxfId="274" priority="1299" operator="containsText" text="FERIADO">
      <formula>NOT(ISERROR(SEARCH("FERIADO",F939)))</formula>
    </cfRule>
    <cfRule type="containsText" dxfId="273" priority="1300" operator="containsText" text="DESCANSO">
      <formula>NOT(ISERROR(SEARCH("DESCANSO",F939)))</formula>
    </cfRule>
    <cfRule type="containsText" dxfId="272" priority="1301" operator="containsText" text="FALTOU">
      <formula>NOT(ISERROR(SEARCH("FALTOU",F939)))</formula>
    </cfRule>
    <cfRule type="containsText" dxfId="271" priority="1302" operator="containsText" text="ATESTADO">
      <formula>NOT(ISERROR(SEARCH("ATESTADO",F939)))</formula>
    </cfRule>
  </conditionalFormatting>
  <conditionalFormatting sqref="F939:F943">
    <cfRule type="containsText" dxfId="270" priority="1288" operator="containsText" text="SÁBADO">
      <formula>NOT(ISERROR(SEARCH("SÁBADO",F939)))</formula>
    </cfRule>
  </conditionalFormatting>
  <conditionalFormatting sqref="F940:F943">
    <cfRule type="containsText" dxfId="269" priority="1287" operator="containsText" text="DOMINGO">
      <formula>NOT(ISERROR(SEARCH("DOMINGO",F940)))</formula>
    </cfRule>
    <cfRule type="containsText" dxfId="268" priority="1289" operator="containsText" text="FERIADO">
      <formula>NOT(ISERROR(SEARCH("FERIADO",F940)))</formula>
    </cfRule>
    <cfRule type="containsText" dxfId="267" priority="1290" operator="containsText" text="DESCANSO">
      <formula>NOT(ISERROR(SEARCH("DESCANSO",F940)))</formula>
    </cfRule>
    <cfRule type="containsText" dxfId="266" priority="1291" operator="containsText" text="FALTOU">
      <formula>NOT(ISERROR(SEARCH("FALTOU",F940)))</formula>
    </cfRule>
    <cfRule type="containsText" dxfId="265" priority="1292" operator="containsText" text="ATESTADO">
      <formula>NOT(ISERROR(SEARCH("ATESTADO",F940)))</formula>
    </cfRule>
  </conditionalFormatting>
  <conditionalFormatting sqref="F946:F953">
    <cfRule type="containsText" dxfId="264" priority="1269" operator="containsText" text="DOMINGO">
      <formula>NOT(ISERROR(SEARCH("DOMINGO",F946)))</formula>
    </cfRule>
    <cfRule type="containsText" dxfId="263" priority="1270" operator="containsText" text="SÁBADO">
      <formula>NOT(ISERROR(SEARCH("SÁBADO",F946)))</formula>
    </cfRule>
    <cfRule type="containsText" dxfId="262" priority="1271" operator="containsText" text="FERIADO">
      <formula>NOT(ISERROR(SEARCH("FERIADO",F946)))</formula>
    </cfRule>
    <cfRule type="containsText" dxfId="261" priority="1272" operator="containsText" text="DESCANSO">
      <formula>NOT(ISERROR(SEARCH("DESCANSO",F946)))</formula>
    </cfRule>
    <cfRule type="containsText" dxfId="260" priority="1273" operator="containsText" text="FALTOU">
      <formula>NOT(ISERROR(SEARCH("FALTOU",F946)))</formula>
    </cfRule>
    <cfRule type="containsText" dxfId="259" priority="1274" operator="containsText" text="ATESTADO">
      <formula>NOT(ISERROR(SEARCH("ATESTADO",F946)))</formula>
    </cfRule>
  </conditionalFormatting>
  <conditionalFormatting sqref="A962:F982 A983:B983 A984:F985 A986:C986 E986:F986 E989:F992 A990:C992 A993:F1002 A1003:B1003 D1003:F1003 A1004:F1008 A1009:B1012 D1009:F1012 A1013:F1015 A1016:B1016 D1016:F1016">
    <cfRule type="containsText" dxfId="258" priority="1263" operator="containsText" text="DOMINGO">
      <formula>NOT(ISERROR(SEARCH("DOMINGO",A962)))</formula>
    </cfRule>
  </conditionalFormatting>
  <conditionalFormatting sqref="A962:F982 A983:B983 A984:F985 A986:C986 A990:C992 A993:F1002 A1003:B1003 D1003:F1003 A1004:F1008 A1009:B1012 D1009:F1012 A1013:F1015 A1016:B1016 D1016:F1016">
    <cfRule type="containsText" dxfId="257" priority="1264" operator="containsText" text="SÁBADO">
      <formula>NOT(ISERROR(SEARCH("SÁBADO",A962)))</formula>
    </cfRule>
  </conditionalFormatting>
  <conditionalFormatting sqref="A962:F982 A983:B983 A984:F985 A986:C986 A990:C992 A993:F1002 A1003:B1003 D1003:F1003 A1004:F1008 A1009:B1012 D1009:F1012 A1013:F1015 A1016:B1016 D1016:F1016 E986:F986 E989:F992">
    <cfRule type="containsText" dxfId="256" priority="1265" operator="containsText" text="FERIADO">
      <formula>NOT(ISERROR(SEARCH("FERIADO",A962)))</formula>
    </cfRule>
  </conditionalFormatting>
  <conditionalFormatting sqref="A962:F982 A983:B983 A984:F985 A986:C986 A990:C992 A993:F1002 A1003:B1003 D1003:F1003 A1004:F1008 A1009:B1012 D1009:F1012 A1013:F1015 A1016:B1016 D1016:F1016 E986:F986 E989:F992">
    <cfRule type="containsText" dxfId="255" priority="1266" operator="containsText" text="DESCANSO">
      <formula>NOT(ISERROR(SEARCH("DESCANSO",A962)))</formula>
    </cfRule>
  </conditionalFormatting>
  <conditionalFormatting sqref="A962:F982 A983:B983 A984:F985 A986:C986 E986:F986 E989:F992 A990:C992 A993:F1002 A1003:B1003 D1003:F1003 A1004:F1008 A1009:B1012 D1009:F1012 A1013:F1015 A1016:B1016 D1016:F1016">
    <cfRule type="containsText" dxfId="254" priority="1268" operator="containsText" text="ATESTADO">
      <formula>NOT(ISERROR(SEARCH("ATESTADO",A962)))</formula>
    </cfRule>
  </conditionalFormatting>
  <conditionalFormatting sqref="A962:F982 A983:B983 A984:F985 A986:C986 E986:F986 E989:F992 A990:C992 A993:F1002 A1003:B1003 D1003:F1003 A1004:F1008 A1009:B1012 D1009:F1012 A1013:F1015 A1016:B1016 D1016:F1016">
    <cfRule type="containsText" dxfId="253" priority="1267" operator="containsText" text="FALTOU">
      <formula>NOT(ISERROR(SEARCH("FALTOU",A962)))</formula>
    </cfRule>
  </conditionalFormatting>
  <conditionalFormatting sqref="A987">
    <cfRule type="containsText" dxfId="252" priority="1026" operator="containsText" text="DOMINGO">
      <formula>NOT(ISERROR(SEARCH("DOMINGO",A987)))</formula>
    </cfRule>
    <cfRule type="containsText" dxfId="251" priority="1028" operator="containsText" text="FERIADO">
      <formula>NOT(ISERROR(SEARCH("FERIADO",A987)))</formula>
    </cfRule>
    <cfRule type="containsText" dxfId="250" priority="1029" operator="containsText" text="DESCANSO">
      <formula>NOT(ISERROR(SEARCH("DESCANSO",A987)))</formula>
    </cfRule>
    <cfRule type="containsText" dxfId="249" priority="1030" operator="containsText" text="FALTOU">
      <formula>NOT(ISERROR(SEARCH("FALTOU",A987)))</formula>
    </cfRule>
    <cfRule type="containsText" dxfId="248" priority="1031" operator="containsText" text="ATESTADO">
      <formula>NOT(ISERROR(SEARCH("ATESTADO",A987)))</formula>
    </cfRule>
  </conditionalFormatting>
  <conditionalFormatting sqref="A987:A988">
    <cfRule type="containsText" dxfId="247" priority="1027" operator="containsText" text="SÁBADO">
      <formula>NOT(ISERROR(SEARCH("SÁBADO",A987)))</formula>
    </cfRule>
  </conditionalFormatting>
  <conditionalFormatting sqref="A988 E987:F988 C988">
    <cfRule type="containsText" dxfId="246" priority="1032" operator="containsText" text="DOMINGO">
      <formula>NOT(ISERROR(SEARCH("DOMINGO",A987)))</formula>
    </cfRule>
    <cfRule type="containsText" dxfId="245" priority="1034" operator="containsText" text="FERIADO">
      <formula>NOT(ISERROR(SEARCH("FERIADO",A987)))</formula>
    </cfRule>
    <cfRule type="containsText" dxfId="244" priority="1035" operator="containsText" text="DESCANSO">
      <formula>NOT(ISERROR(SEARCH("DESCANSO",A987)))</formula>
    </cfRule>
    <cfRule type="containsText" dxfId="243" priority="1036" operator="containsText" text="FALTOU">
      <formula>NOT(ISERROR(SEARCH("FALTOU",A987)))</formula>
    </cfRule>
    <cfRule type="containsText" dxfId="242" priority="1037" operator="containsText" text="ATESTADO">
      <formula>NOT(ISERROR(SEARCH("ATESTADO",A987)))</formula>
    </cfRule>
  </conditionalFormatting>
  <conditionalFormatting sqref="A955:B955">
    <cfRule type="containsText" dxfId="241" priority="1254" operator="containsText" text="ATESTADO">
      <formula>NOT(ISERROR(SEARCH("ATESTADO",A955)))</formula>
    </cfRule>
    <cfRule type="containsText" dxfId="240" priority="1255" operator="containsText" text="DESCANSO">
      <formula>NOT(ISERROR(SEARCH("DESCANSO",A955)))</formula>
    </cfRule>
    <cfRule type="containsText" dxfId="239" priority="1256" operator="containsText" text="FALTOU">
      <formula>NOT(ISERROR(SEARCH("FALTOU",A955)))</formula>
    </cfRule>
  </conditionalFormatting>
  <conditionalFormatting sqref="A989:B989">
    <cfRule type="containsText" dxfId="238" priority="1043" operator="containsText" text="DOMINGO">
      <formula>NOT(ISERROR(SEARCH("DOMINGO",A989)))</formula>
    </cfRule>
    <cfRule type="containsText" dxfId="237" priority="1044" operator="containsText" text="SÁBADO">
      <formula>NOT(ISERROR(SEARCH("SÁBADO",A989)))</formula>
    </cfRule>
    <cfRule type="containsText" dxfId="236" priority="1045" operator="containsText" text="FERIADO">
      <formula>NOT(ISERROR(SEARCH("FERIADO",A989)))</formula>
    </cfRule>
    <cfRule type="containsText" dxfId="235" priority="1046" operator="containsText" text="DESCANSO">
      <formula>NOT(ISERROR(SEARCH("DESCANSO",A989)))</formula>
    </cfRule>
    <cfRule type="containsText" dxfId="234" priority="1047" operator="containsText" text="FALTOU">
      <formula>NOT(ISERROR(SEARCH("FALTOU",A989)))</formula>
    </cfRule>
    <cfRule type="containsText" dxfId="233" priority="1048" operator="containsText" text="ATESTADO">
      <formula>NOT(ISERROR(SEARCH("ATESTADO",A989)))</formula>
    </cfRule>
  </conditionalFormatting>
  <conditionalFormatting sqref="A955:F957 B959:C960 E959:F961 A961:C961">
    <cfRule type="containsText" dxfId="232" priority="1257" operator="containsText" text="DOMINGO">
      <formula>NOT(ISERROR(SEARCH("DOMINGO",A955)))</formula>
    </cfRule>
  </conditionalFormatting>
  <conditionalFormatting sqref="A955:F957 B959:C960 E959:F961 A961:C961">
    <cfRule type="containsText" dxfId="231" priority="1258" operator="containsText" text="SÁBADO">
      <formula>NOT(ISERROR(SEARCH("SÁBADO",A955)))</formula>
    </cfRule>
  </conditionalFormatting>
  <conditionalFormatting sqref="A955:F957 A961:C961 B959:C960 E959:F961">
    <cfRule type="containsText" dxfId="230" priority="1259" operator="containsText" text="FERIADO">
      <formula>NOT(ISERROR(SEARCH("FERIADO",A955)))</formula>
    </cfRule>
    <cfRule type="containsText" dxfId="229" priority="1260" operator="containsText" text="DESCANSO">
      <formula>NOT(ISERROR(SEARCH("DESCANSO",A955)))</formula>
    </cfRule>
    <cfRule type="containsText" dxfId="228" priority="1261" operator="containsText" text="FALTOU">
      <formula>NOT(ISERROR(SEARCH("FALTOU",A955)))</formula>
    </cfRule>
    <cfRule type="containsText" dxfId="227" priority="1262" operator="containsText" text="ATESTADO">
      <formula>NOT(ISERROR(SEARCH("ATESTADO",A955)))</formula>
    </cfRule>
  </conditionalFormatting>
  <conditionalFormatting sqref="B987:B988">
    <cfRule type="containsText" dxfId="226" priority="1008" operator="containsText" text="DOMINGO">
      <formula>NOT(ISERROR(SEARCH("DOMINGO",B987)))</formula>
    </cfRule>
    <cfRule type="containsText" dxfId="225" priority="1009" operator="containsText" text="SÁBADO">
      <formula>NOT(ISERROR(SEARCH("SÁBADO",B987)))</formula>
    </cfRule>
    <cfRule type="containsText" dxfId="224" priority="1010" operator="containsText" text="FERIADO">
      <formula>NOT(ISERROR(SEARCH("FERIADO",B987)))</formula>
    </cfRule>
    <cfRule type="containsText" dxfId="223" priority="1011" operator="containsText" text="DESCANSO">
      <formula>NOT(ISERROR(SEARCH("DESCANSO",B987)))</formula>
    </cfRule>
    <cfRule type="containsText" dxfId="222" priority="1012" operator="containsText" text="FALTOU">
      <formula>NOT(ISERROR(SEARCH("FALTOU",B987)))</formula>
    </cfRule>
    <cfRule type="containsText" dxfId="221" priority="1013" operator="containsText" text="ATESTADO">
      <formula>NOT(ISERROR(SEARCH("ATESTADO",B987)))</formula>
    </cfRule>
  </conditionalFormatting>
  <conditionalFormatting sqref="C983 E983:F983">
    <cfRule type="containsText" dxfId="220" priority="1002" operator="containsText" text="DOMINGO">
      <formula>NOT(ISERROR(SEARCH("DOMINGO",C983)))</formula>
    </cfRule>
    <cfRule type="containsText" dxfId="219" priority="1003" operator="containsText" text="SÁBADO">
      <formula>NOT(ISERROR(SEARCH("SÁBADO",C983)))</formula>
    </cfRule>
    <cfRule type="containsText" dxfId="218" priority="1004" operator="containsText" text="FERIADO">
      <formula>NOT(ISERROR(SEARCH("FERIADO",C983)))</formula>
    </cfRule>
    <cfRule type="containsText" dxfId="217" priority="1005" operator="containsText" text="DESCANSO">
      <formula>NOT(ISERROR(SEARCH("DESCANSO",C983)))</formula>
    </cfRule>
    <cfRule type="containsText" dxfId="216" priority="1006" operator="containsText" text="FALTOU">
      <formula>NOT(ISERROR(SEARCH("FALTOU",C983)))</formula>
    </cfRule>
    <cfRule type="containsText" dxfId="215" priority="1007" operator="containsText" text="ATESTADO">
      <formula>NOT(ISERROR(SEARCH("ATESTADO",C983)))</formula>
    </cfRule>
  </conditionalFormatting>
  <conditionalFormatting sqref="C987">
    <cfRule type="containsText" dxfId="214" priority="1020" operator="containsText" text="DOMINGO">
      <formula>NOT(ISERROR(SEARCH("DOMINGO",C987)))</formula>
    </cfRule>
    <cfRule type="containsText" dxfId="213" priority="1022" operator="containsText" text="FERIADO">
      <formula>NOT(ISERROR(SEARCH("FERIADO",C987)))</formula>
    </cfRule>
    <cfRule type="containsText" dxfId="212" priority="1023" operator="containsText" text="DESCANSO">
      <formula>NOT(ISERROR(SEARCH("DESCANSO",C987)))</formula>
    </cfRule>
    <cfRule type="containsText" dxfId="211" priority="1024" operator="containsText" text="FALTOU">
      <formula>NOT(ISERROR(SEARCH("FALTOU",C987)))</formula>
    </cfRule>
    <cfRule type="containsText" dxfId="210" priority="1025" operator="containsText" text="ATESTADO">
      <formula>NOT(ISERROR(SEARCH("ATESTADO",C987)))</formula>
    </cfRule>
  </conditionalFormatting>
  <conditionalFormatting sqref="C987:C989">
    <cfRule type="containsText" dxfId="209" priority="1021" operator="containsText" text="SÁBADO">
      <formula>NOT(ISERROR(SEARCH("SÁBADO",C987)))</formula>
    </cfRule>
  </conditionalFormatting>
  <conditionalFormatting sqref="C989">
    <cfRule type="containsText" dxfId="208" priority="1038" operator="containsText" text="DOMINGO">
      <formula>NOT(ISERROR(SEARCH("DOMINGO",C989)))</formula>
    </cfRule>
    <cfRule type="containsText" dxfId="207" priority="1039" operator="containsText" text="FERIADO">
      <formula>NOT(ISERROR(SEARCH("FERIADO",C989)))</formula>
    </cfRule>
    <cfRule type="containsText" dxfId="206" priority="1040" operator="containsText" text="DESCANSO">
      <formula>NOT(ISERROR(SEARCH("DESCANSO",C989)))</formula>
    </cfRule>
    <cfRule type="containsText" dxfId="205" priority="1041" operator="containsText" text="FALTOU">
      <formula>NOT(ISERROR(SEARCH("FALTOU",C989)))</formula>
    </cfRule>
    <cfRule type="containsText" dxfId="204" priority="1042" operator="containsText" text="ATESTADO">
      <formula>NOT(ISERROR(SEARCH("ATESTADO",C989)))</formula>
    </cfRule>
  </conditionalFormatting>
  <conditionalFormatting sqref="C1003">
    <cfRule type="containsText" dxfId="203" priority="990" operator="containsText" text="DOMINGO">
      <formula>NOT(ISERROR(SEARCH("DOMINGO",C1003)))</formula>
    </cfRule>
    <cfRule type="containsText" dxfId="202" priority="991" operator="containsText" text="SÁBADO">
      <formula>NOT(ISERROR(SEARCH("SÁBADO",C1003)))</formula>
    </cfRule>
    <cfRule type="containsText" dxfId="201" priority="992" operator="containsText" text="FERIADO">
      <formula>NOT(ISERROR(SEARCH("FERIADO",C1003)))</formula>
    </cfRule>
    <cfRule type="containsText" dxfId="200" priority="993" operator="containsText" text="DESCANSO">
      <formula>NOT(ISERROR(SEARCH("DESCANSO",C1003)))</formula>
    </cfRule>
    <cfRule type="containsText" dxfId="199" priority="994" operator="containsText" text="FALTOU">
      <formula>NOT(ISERROR(SEARCH("FALTOU",C1003)))</formula>
    </cfRule>
    <cfRule type="containsText" dxfId="198" priority="995" operator="containsText" text="ATESTADO">
      <formula>NOT(ISERROR(SEARCH("ATESTADO",C1003)))</formula>
    </cfRule>
  </conditionalFormatting>
  <conditionalFormatting sqref="C1009:C1012">
    <cfRule type="containsText" dxfId="197" priority="984" operator="containsText" text="DOMINGO">
      <formula>NOT(ISERROR(SEARCH("DOMINGO",C1009)))</formula>
    </cfRule>
    <cfRule type="containsText" dxfId="196" priority="985" operator="containsText" text="SÁBADO">
      <formula>NOT(ISERROR(SEARCH("SÁBADO",C1009)))</formula>
    </cfRule>
    <cfRule type="containsText" dxfId="195" priority="986" operator="containsText" text="FERIADO">
      <formula>NOT(ISERROR(SEARCH("FERIADO",C1009)))</formula>
    </cfRule>
    <cfRule type="containsText" dxfId="194" priority="987" operator="containsText" text="DESCANSO">
      <formula>NOT(ISERROR(SEARCH("DESCANSO",C1009)))</formula>
    </cfRule>
    <cfRule type="containsText" dxfId="193" priority="988" operator="containsText" text="FALTOU">
      <formula>NOT(ISERROR(SEARCH("FALTOU",C1009)))</formula>
    </cfRule>
    <cfRule type="containsText" dxfId="192" priority="989" operator="containsText" text="ATESTADO">
      <formula>NOT(ISERROR(SEARCH("ATESTADO",C1009)))</formula>
    </cfRule>
  </conditionalFormatting>
  <conditionalFormatting sqref="C1016">
    <cfRule type="containsText" dxfId="191" priority="978" operator="containsText" text="DOMINGO">
      <formula>NOT(ISERROR(SEARCH("DOMINGO",C1016)))</formula>
    </cfRule>
    <cfRule type="containsText" dxfId="190" priority="979" operator="containsText" text="SÁBADO">
      <formula>NOT(ISERROR(SEARCH("SÁBADO",C1016)))</formula>
    </cfRule>
    <cfRule type="containsText" dxfId="189" priority="980" operator="containsText" text="FERIADO">
      <formula>NOT(ISERROR(SEARCH("FERIADO",C1016)))</formula>
    </cfRule>
    <cfRule type="containsText" dxfId="188" priority="981" operator="containsText" text="DESCANSO">
      <formula>NOT(ISERROR(SEARCH("DESCANSO",C1016)))</formula>
    </cfRule>
    <cfRule type="containsText" dxfId="187" priority="982" operator="containsText" text="FALTOU">
      <formula>NOT(ISERROR(SEARCH("FALTOU",C1016)))</formula>
    </cfRule>
    <cfRule type="containsText" dxfId="186" priority="983" operator="containsText" text="ATESTADO">
      <formula>NOT(ISERROR(SEARCH("ATESTADO",C1016)))</formula>
    </cfRule>
  </conditionalFormatting>
  <conditionalFormatting sqref="C955:F955">
    <cfRule type="containsText" dxfId="185" priority="1252" operator="containsText" text="DESCANSO">
      <formula>NOT(ISERROR(SEARCH("DESCANSO",C955)))</formula>
    </cfRule>
    <cfRule type="containsText" dxfId="184" priority="1253" operator="containsText" text="FALTOU">
      <formula>NOT(ISERROR(SEARCH("FALTOU",C955)))</formula>
    </cfRule>
  </conditionalFormatting>
  <conditionalFormatting sqref="D959:D961">
    <cfRule type="containsText" dxfId="183" priority="1049" operator="containsText" text="DOMINGO">
      <formula>NOT(ISERROR(SEARCH("DOMINGO",D959)))</formula>
    </cfRule>
    <cfRule type="containsText" dxfId="182" priority="1050" operator="containsText" text="SÁBADO">
      <formula>NOT(ISERROR(SEARCH("SÁBADO",D959)))</formula>
    </cfRule>
    <cfRule type="containsText" dxfId="181" priority="1051" operator="containsText" text="FERIADO">
      <formula>NOT(ISERROR(SEARCH("FERIADO",D959)))</formula>
    </cfRule>
    <cfRule type="containsText" dxfId="180" priority="1052" operator="containsText" text="DESCANSO">
      <formula>NOT(ISERROR(SEARCH("DESCANSO",D959)))</formula>
    </cfRule>
    <cfRule type="containsText" dxfId="179" priority="1053" operator="containsText" text="FALTOU">
      <formula>NOT(ISERROR(SEARCH("FALTOU",D959)))</formula>
    </cfRule>
    <cfRule type="containsText" dxfId="178" priority="1054" operator="containsText" text="ATESTADO">
      <formula>NOT(ISERROR(SEARCH("ATESTADO",D959)))</formula>
    </cfRule>
  </conditionalFormatting>
  <conditionalFormatting sqref="D983">
    <cfRule type="containsText" dxfId="177" priority="996" operator="containsText" text="DOMINGO">
      <formula>NOT(ISERROR(SEARCH("DOMINGO",D983)))</formula>
    </cfRule>
    <cfRule type="containsText" dxfId="176" priority="997" operator="containsText" text="SÁBADO">
      <formula>NOT(ISERROR(SEARCH("SÁBADO",D983)))</formula>
    </cfRule>
    <cfRule type="containsText" dxfId="175" priority="998" operator="containsText" text="FERIADO">
      <formula>NOT(ISERROR(SEARCH("FERIADO",D983)))</formula>
    </cfRule>
    <cfRule type="containsText" dxfId="174" priority="999" operator="containsText" text="DESCANSO">
      <formula>NOT(ISERROR(SEARCH("DESCANSO",D983)))</formula>
    </cfRule>
    <cfRule type="containsText" dxfId="173" priority="1000" operator="containsText" text="FALTOU">
      <formula>NOT(ISERROR(SEARCH("FALTOU",D983)))</formula>
    </cfRule>
    <cfRule type="containsText" dxfId="172" priority="1001" operator="containsText" text="ATESTADO">
      <formula>NOT(ISERROR(SEARCH("ATESTADO",D983)))</formula>
    </cfRule>
  </conditionalFormatting>
  <conditionalFormatting sqref="D986:D992">
    <cfRule type="containsText" dxfId="171" priority="1014" operator="containsText" text="DOMINGO">
      <formula>NOT(ISERROR(SEARCH("DOMINGO",D986)))</formula>
    </cfRule>
    <cfRule type="containsText" dxfId="170" priority="1015" operator="containsText" text="SÁBADO">
      <formula>NOT(ISERROR(SEARCH("SÁBADO",D986)))</formula>
    </cfRule>
    <cfRule type="containsText" dxfId="169" priority="1016" operator="containsText" text="FERIADO">
      <formula>NOT(ISERROR(SEARCH("FERIADO",D986)))</formula>
    </cfRule>
    <cfRule type="containsText" dxfId="168" priority="1017" operator="containsText" text="DESCANSO">
      <formula>NOT(ISERROR(SEARCH("DESCANSO",D986)))</formula>
    </cfRule>
    <cfRule type="containsText" dxfId="167" priority="1018" operator="containsText" text="FALTOU">
      <formula>NOT(ISERROR(SEARCH("FALTOU",D986)))</formula>
    </cfRule>
    <cfRule type="containsText" dxfId="166" priority="1019" operator="containsText" text="ATESTADO">
      <formula>NOT(ISERROR(SEARCH("ATESTADO",D986)))</formula>
    </cfRule>
  </conditionalFormatting>
  <conditionalFormatting sqref="E986:F992">
    <cfRule type="containsText" dxfId="165" priority="1033" operator="containsText" text="SÁBADO">
      <formula>NOT(ISERROR(SEARCH("SÁBADO",E986)))</formula>
    </cfRule>
  </conditionalFormatting>
  <conditionalFormatting sqref="A1018:B1018">
    <cfRule type="containsText" dxfId="164" priority="969" operator="containsText" text="ATESTADO">
      <formula>NOT(ISERROR(SEARCH("ATESTADO",A1018)))</formula>
    </cfRule>
    <cfRule type="containsText" dxfId="163" priority="970" operator="containsText" text="DESCANSO">
      <formula>NOT(ISERROR(SEARCH("DESCANSO",A1018)))</formula>
    </cfRule>
    <cfRule type="containsText" dxfId="162" priority="971" operator="containsText" text="FALTOU">
      <formula>NOT(ISERROR(SEARCH("FALTOU",A1018)))</formula>
    </cfRule>
  </conditionalFormatting>
  <conditionalFormatting sqref="A1018:F1020 A1023:F1030">
    <cfRule type="containsText" dxfId="161" priority="973" operator="containsText" text="SÁBADO">
      <formula>NOT(ISERROR(SEARCH("SÁBADO",A1018)))</formula>
    </cfRule>
  </conditionalFormatting>
  <conditionalFormatting sqref="A1018:F1020 A1023:F1030">
    <cfRule type="containsText" dxfId="160" priority="972" operator="containsText" text="DOMINGO">
      <formula>NOT(ISERROR(SEARCH("DOMINGO",A1018)))</formula>
    </cfRule>
    <cfRule type="containsText" dxfId="159" priority="974" operator="containsText" text="FERIADO">
      <formula>NOT(ISERROR(SEARCH("FERIADO",A1018)))</formula>
    </cfRule>
    <cfRule type="containsText" dxfId="158" priority="975" operator="containsText" text="DESCANSO">
      <formula>NOT(ISERROR(SEARCH("DESCANSO",A1018)))</formula>
    </cfRule>
    <cfRule type="containsText" dxfId="157" priority="976" operator="containsText" text="FALTOU">
      <formula>NOT(ISERROR(SEARCH("FALTOU",A1018)))</formula>
    </cfRule>
    <cfRule type="containsText" dxfId="156" priority="977" operator="containsText" text="ATESTADO">
      <formula>NOT(ISERROR(SEARCH("ATESTADO",A1018)))</formula>
    </cfRule>
  </conditionalFormatting>
  <conditionalFormatting sqref="C1018:F1018">
    <cfRule type="containsText" dxfId="155" priority="967" operator="containsText" text="DESCANSO">
      <formula>NOT(ISERROR(SEARCH("DESCANSO",C1018)))</formula>
    </cfRule>
    <cfRule type="containsText" dxfId="154" priority="968" operator="containsText" text="FALTOU">
      <formula>NOT(ISERROR(SEARCH("FALTOU",C1018)))</formula>
    </cfRule>
  </conditionalFormatting>
  <conditionalFormatting sqref="E1048:F1053 A1048:C1054">
    <cfRule type="containsText" dxfId="153" priority="764" operator="containsText" text="DOMINGO">
      <formula>NOT(ISERROR(SEARCH("DOMINGO",A1048)))</formula>
    </cfRule>
  </conditionalFormatting>
  <conditionalFormatting sqref="E1048:F1053">
    <cfRule type="containsText" dxfId="152" priority="765" operator="containsText" text="SÁBADO">
      <formula>NOT(ISERROR(SEARCH("SÁBADO",E1048)))</formula>
    </cfRule>
  </conditionalFormatting>
  <conditionalFormatting sqref="E1048:F1053 A1048:C1054">
    <cfRule type="containsText" dxfId="151" priority="766" operator="containsText" text="FERIADO">
      <formula>NOT(ISERROR(SEARCH("FERIADO",A1048)))</formula>
    </cfRule>
  </conditionalFormatting>
  <conditionalFormatting sqref="E1048:F1053 A1048:C1054">
    <cfRule type="containsText" dxfId="150" priority="767" operator="containsText" text="DESCANSO">
      <formula>NOT(ISERROR(SEARCH("DESCANSO",A1048)))</formula>
    </cfRule>
  </conditionalFormatting>
  <conditionalFormatting sqref="E1048:F1053 A1048:C1054">
    <cfRule type="containsText" dxfId="149" priority="769" operator="containsText" text="ATESTADO">
      <formula>NOT(ISERROR(SEARCH("ATESTADO",A1048)))</formula>
    </cfRule>
  </conditionalFormatting>
  <conditionalFormatting sqref="E1048:F1053 A1048:C1054">
    <cfRule type="containsText" dxfId="148" priority="768" operator="containsText" text="FALTOU">
      <formula>NOT(ISERROR(SEARCH("FALTOU",A1048)))</formula>
    </cfRule>
  </conditionalFormatting>
  <conditionalFormatting sqref="A1032:B1032 A1069:F1078 A1033:F1034 A1039:F1040 A1041:B1044 A1045:D1045 A1046:F1047 A1048:C1055 A1056:F1056 A1057:D1061 A1062:F1063 A1064:D1064 A1065:B1065 D1065 A1066:D1068">
    <cfRule type="containsText" dxfId="147" priority="759" operator="containsText" text="SÁBADO">
      <formula>NOT(ISERROR(SEARCH("SÁBADO",A1032)))</formula>
    </cfRule>
  </conditionalFormatting>
  <conditionalFormatting sqref="A1032:B1032">
    <cfRule type="containsText" dxfId="146" priority="755" operator="containsText" text="ATESTADO">
      <formula>NOT(ISERROR(SEARCH("ATESTADO",A1032)))</formula>
    </cfRule>
    <cfRule type="containsText" dxfId="145" priority="756" operator="containsText" text="DESCANSO">
      <formula>NOT(ISERROR(SEARCH("DESCANSO",A1032)))</formula>
    </cfRule>
    <cfRule type="containsText" dxfId="144" priority="757" operator="containsText" text="FALTOU">
      <formula>NOT(ISERROR(SEARCH("FALTOU",A1032)))</formula>
    </cfRule>
  </conditionalFormatting>
  <conditionalFormatting sqref="A1033:F1034 A1039:F1040 A1046:F1047 A1041:B1044 A1045:D1045 A1056:F1056 A1032:B1032 A1062:F1063 A1064:D1064 A1055:C1055 A1057:D1061 A1066:D1068 A1065:B1065 D1065 A1069:F1078">
    <cfRule type="containsText" dxfId="143" priority="758" operator="containsText" text="DOMINGO">
      <formula>NOT(ISERROR(SEARCH("DOMINGO",A1032)))</formula>
    </cfRule>
    <cfRule type="containsText" dxfId="142" priority="760" operator="containsText" text="FERIADO">
      <formula>NOT(ISERROR(SEARCH("FERIADO",A1032)))</formula>
    </cfRule>
    <cfRule type="containsText" dxfId="141" priority="761" operator="containsText" text="DESCANSO">
      <formula>NOT(ISERROR(SEARCH("DESCANSO",A1032)))</formula>
    </cfRule>
    <cfRule type="containsText" dxfId="140" priority="762" operator="containsText" text="FALTOU">
      <formula>NOT(ISERROR(SEARCH("FALTOU",A1032)))</formula>
    </cfRule>
    <cfRule type="containsText" dxfId="139" priority="763" operator="containsText" text="ATESTADO">
      <formula>NOT(ISERROR(SEARCH("ATESTADO",A1032)))</formula>
    </cfRule>
  </conditionalFormatting>
  <conditionalFormatting sqref="C1065">
    <cfRule type="containsText" dxfId="138" priority="453" operator="containsText" text="DOMINGO">
      <formula>NOT(ISERROR(SEARCH("DOMINGO",C1065)))</formula>
    </cfRule>
    <cfRule type="containsText" dxfId="137" priority="454" operator="containsText" text="SÁBADO">
      <formula>NOT(ISERROR(SEARCH("SÁBADO",C1065)))</formula>
    </cfRule>
    <cfRule type="containsText" dxfId="136" priority="455" operator="containsText" text="FERIADO">
      <formula>NOT(ISERROR(SEARCH("FERIADO",C1065)))</formula>
    </cfRule>
    <cfRule type="containsText" dxfId="135" priority="456" operator="containsText" text="DESCANSO">
      <formula>NOT(ISERROR(SEARCH("DESCANSO",C1065)))</formula>
    </cfRule>
    <cfRule type="containsText" dxfId="134" priority="457" operator="containsText" text="FALTOU">
      <formula>NOT(ISERROR(SEARCH("FALTOU",C1065)))</formula>
    </cfRule>
    <cfRule type="containsText" dxfId="133" priority="458" operator="containsText" text="ATESTADO">
      <formula>NOT(ISERROR(SEARCH("ATESTADO",C1065)))</formula>
    </cfRule>
  </conditionalFormatting>
  <conditionalFormatting sqref="C1041:E1044">
    <cfRule type="containsText" dxfId="132" priority="546" operator="containsText" text="DOMINGO">
      <formula>NOT(ISERROR(SEARCH("DOMINGO",C1041)))</formula>
    </cfRule>
    <cfRule type="containsText" dxfId="131" priority="547" operator="containsText" text="SÁBADO">
      <formula>NOT(ISERROR(SEARCH("SÁBADO",C1041)))</formula>
    </cfRule>
    <cfRule type="containsText" dxfId="130" priority="548" operator="containsText" text="FERIADO">
      <formula>NOT(ISERROR(SEARCH("FERIADO",C1041)))</formula>
    </cfRule>
    <cfRule type="containsText" dxfId="129" priority="549" operator="containsText" text="DESCANSO">
      <formula>NOT(ISERROR(SEARCH("DESCANSO",C1041)))</formula>
    </cfRule>
    <cfRule type="containsText" dxfId="128" priority="550" operator="containsText" text="FALTOU">
      <formula>NOT(ISERROR(SEARCH("FALTOU",C1041)))</formula>
    </cfRule>
    <cfRule type="containsText" dxfId="127" priority="551" operator="containsText" text="ATESTADO">
      <formula>NOT(ISERROR(SEARCH("ATESTADO",C1041)))</formula>
    </cfRule>
  </conditionalFormatting>
  <conditionalFormatting sqref="C1032:F1032">
    <cfRule type="containsText" dxfId="126" priority="511" operator="containsText" text="DESCANSO">
      <formula>NOT(ISERROR(SEARCH("DESCANSO",C1032)))</formula>
    </cfRule>
    <cfRule type="containsText" dxfId="125" priority="512" operator="containsText" text="FALTOU">
      <formula>NOT(ISERROR(SEARCH("FALTOU",C1032)))</formula>
    </cfRule>
    <cfRule type="containsText" dxfId="124" priority="513" operator="containsText" text="DOMINGO">
      <formula>NOT(ISERROR(SEARCH("DOMINGO",C1032)))</formula>
    </cfRule>
    <cfRule type="containsText" dxfId="123" priority="514" operator="containsText" text="SÁBADO">
      <formula>NOT(ISERROR(SEARCH("SÁBADO",C1032)))</formula>
    </cfRule>
    <cfRule type="containsText" dxfId="122" priority="515" operator="containsText" text="FERIADO">
      <formula>NOT(ISERROR(SEARCH("FERIADO",C1032)))</formula>
    </cfRule>
    <cfRule type="containsText" dxfId="121" priority="516" operator="containsText" text="DESCANSO">
      <formula>NOT(ISERROR(SEARCH("DESCANSO",C1032)))</formula>
    </cfRule>
    <cfRule type="containsText" dxfId="120" priority="517" operator="containsText" text="FALTOU">
      <formula>NOT(ISERROR(SEARCH("FALTOU",C1032)))</formula>
    </cfRule>
    <cfRule type="containsText" dxfId="119" priority="518" operator="containsText" text="ATESTADO">
      <formula>NOT(ISERROR(SEARCH("ATESTADO",C1032)))</formula>
    </cfRule>
  </conditionalFormatting>
  <conditionalFormatting sqref="D1048:D1055">
    <cfRule type="containsText" dxfId="118" priority="471" operator="containsText" text="DOMINGO">
      <formula>NOT(ISERROR(SEARCH("DOMINGO",D1048)))</formula>
    </cfRule>
    <cfRule type="containsText" dxfId="117" priority="472" operator="containsText" text="SÁBADO">
      <formula>NOT(ISERROR(SEARCH("SÁBADO",D1048)))</formula>
    </cfRule>
    <cfRule type="containsText" dxfId="116" priority="473" operator="containsText" text="FERIADO">
      <formula>NOT(ISERROR(SEARCH("FERIADO",D1048)))</formula>
    </cfRule>
    <cfRule type="containsText" dxfId="115" priority="474" operator="containsText" text="DESCANSO">
      <formula>NOT(ISERROR(SEARCH("DESCANSO",D1048)))</formula>
    </cfRule>
    <cfRule type="containsText" dxfId="114" priority="475" operator="containsText" text="FALTOU">
      <formula>NOT(ISERROR(SEARCH("FALTOU",D1048)))</formula>
    </cfRule>
    <cfRule type="containsText" dxfId="113" priority="476" operator="containsText" text="ATESTADO">
      <formula>NOT(ISERROR(SEARCH("ATESTADO",D1048)))</formula>
    </cfRule>
  </conditionalFormatting>
  <conditionalFormatting sqref="E1045">
    <cfRule type="containsText" dxfId="112" priority="535" operator="containsText" text="DOMINGO">
      <formula>NOT(ISERROR(SEARCH("DOMINGO",E1045)))</formula>
    </cfRule>
    <cfRule type="containsText" dxfId="111" priority="536" operator="containsText" text="SÁBADO">
      <formula>NOT(ISERROR(SEARCH("SÁBADO",E1045)))</formula>
    </cfRule>
    <cfRule type="containsText" dxfId="110" priority="537" operator="containsText" text="FERIADO">
      <formula>NOT(ISERROR(SEARCH("FERIADO",E1045)))</formula>
    </cfRule>
    <cfRule type="containsText" dxfId="109" priority="538" operator="containsText" text="DESCANSO">
      <formula>NOT(ISERROR(SEARCH("DESCANSO",E1045)))</formula>
    </cfRule>
    <cfRule type="containsText" dxfId="108" priority="539" operator="containsText" text="FALTOU">
      <formula>NOT(ISERROR(SEARCH("FALTOU",E1045)))</formula>
    </cfRule>
    <cfRule type="containsText" dxfId="107" priority="540" operator="containsText" text="ATESTADO">
      <formula>NOT(ISERROR(SEARCH("ATESTADO",E1045)))</formula>
    </cfRule>
  </conditionalFormatting>
  <conditionalFormatting sqref="E1054">
    <cfRule type="containsText" dxfId="106" priority="524" operator="containsText" text="DOMINGO">
      <formula>NOT(ISERROR(SEARCH("DOMINGO",E1054)))</formula>
    </cfRule>
    <cfRule type="containsText" dxfId="105" priority="525" operator="containsText" text="FERIADO">
      <formula>NOT(ISERROR(SEARCH("FERIADO",E1054)))</formula>
    </cfRule>
    <cfRule type="containsText" dxfId="104" priority="526" operator="containsText" text="DESCANSO">
      <formula>NOT(ISERROR(SEARCH("DESCANSO",E1054)))</formula>
    </cfRule>
    <cfRule type="containsText" dxfId="103" priority="527" operator="containsText" text="FALTOU">
      <formula>NOT(ISERROR(SEARCH("FALTOU",E1054)))</formula>
    </cfRule>
    <cfRule type="containsText" dxfId="102" priority="528" operator="containsText" text="ATESTADO">
      <formula>NOT(ISERROR(SEARCH("ATESTADO",E1054)))</formula>
    </cfRule>
  </conditionalFormatting>
  <conditionalFormatting sqref="E1054:E1055">
    <cfRule type="containsText" dxfId="101" priority="466" operator="containsText" text="SÁBADO">
      <formula>NOT(ISERROR(SEARCH("SÁBADO",E1054)))</formula>
    </cfRule>
  </conditionalFormatting>
  <conditionalFormatting sqref="E1055">
    <cfRule type="containsText" dxfId="100" priority="465" operator="containsText" text="DOMINGO">
      <formula>NOT(ISERROR(SEARCH("DOMINGO",E1055)))</formula>
    </cfRule>
    <cfRule type="containsText" dxfId="99" priority="467" operator="containsText" text="FERIADO">
      <formula>NOT(ISERROR(SEARCH("FERIADO",E1055)))</formula>
    </cfRule>
    <cfRule type="containsText" dxfId="98" priority="468" operator="containsText" text="DESCANSO">
      <formula>NOT(ISERROR(SEARCH("DESCANSO",E1055)))</formula>
    </cfRule>
    <cfRule type="containsText" dxfId="97" priority="469" operator="containsText" text="FALTOU">
      <formula>NOT(ISERROR(SEARCH("FALTOU",E1055)))</formula>
    </cfRule>
    <cfRule type="containsText" dxfId="96" priority="470" operator="containsText" text="ATESTADO">
      <formula>NOT(ISERROR(SEARCH("ATESTADO",E1055)))</formula>
    </cfRule>
  </conditionalFormatting>
  <conditionalFormatting sqref="E1057:E1061">
    <cfRule type="containsText" dxfId="95" priority="505" operator="containsText" text="DOMINGO">
      <formula>NOT(ISERROR(SEARCH("DOMINGO",E1057)))</formula>
    </cfRule>
    <cfRule type="containsText" dxfId="94" priority="506" operator="containsText" text="SÁBADO">
      <formula>NOT(ISERROR(SEARCH("SÁBADO",E1057)))</formula>
    </cfRule>
    <cfRule type="containsText" dxfId="93" priority="507" operator="containsText" text="FERIADO">
      <formula>NOT(ISERROR(SEARCH("FERIADO",E1057)))</formula>
    </cfRule>
    <cfRule type="containsText" dxfId="92" priority="508" operator="containsText" text="DESCANSO">
      <formula>NOT(ISERROR(SEARCH("DESCANSO",E1057)))</formula>
    </cfRule>
    <cfRule type="containsText" dxfId="91" priority="509" operator="containsText" text="FALTOU">
      <formula>NOT(ISERROR(SEARCH("FALTOU",E1057)))</formula>
    </cfRule>
    <cfRule type="containsText" dxfId="90" priority="510" operator="containsText" text="ATESTADO">
      <formula>NOT(ISERROR(SEARCH("ATESTADO",E1057)))</formula>
    </cfRule>
  </conditionalFormatting>
  <conditionalFormatting sqref="E1064:E1068">
    <cfRule type="containsText" dxfId="89" priority="488" operator="containsText" text="DOMINGO">
      <formula>NOT(ISERROR(SEARCH("DOMINGO",E1064)))</formula>
    </cfRule>
    <cfRule type="containsText" dxfId="88" priority="489" operator="containsText" text="SÁBADO">
      <formula>NOT(ISERROR(SEARCH("SÁBADO",E1064)))</formula>
    </cfRule>
    <cfRule type="containsText" dxfId="87" priority="490" operator="containsText" text="FERIADO">
      <formula>NOT(ISERROR(SEARCH("FERIADO",E1064)))</formula>
    </cfRule>
    <cfRule type="containsText" dxfId="86" priority="491" operator="containsText" text="DESCANSO">
      <formula>NOT(ISERROR(SEARCH("DESCANSO",E1064)))</formula>
    </cfRule>
    <cfRule type="containsText" dxfId="85" priority="492" operator="containsText" text="FALTOU">
      <formula>NOT(ISERROR(SEARCH("FALTOU",E1064)))</formula>
    </cfRule>
    <cfRule type="containsText" dxfId="84" priority="493" operator="containsText" text="ATESTADO">
      <formula>NOT(ISERROR(SEARCH("ATESTADO",E1064)))</formula>
    </cfRule>
  </conditionalFormatting>
  <conditionalFormatting sqref="F1041:F1044">
    <cfRule type="containsText" dxfId="83" priority="541" operator="containsText" text="DOMINGO">
      <formula>NOT(ISERROR(SEARCH("DOMINGO",F1041)))</formula>
    </cfRule>
    <cfRule type="containsText" dxfId="82" priority="542" operator="containsText" text="FERIADO">
      <formula>NOT(ISERROR(SEARCH("FERIADO",F1041)))</formula>
    </cfRule>
    <cfRule type="containsText" dxfId="81" priority="543" operator="containsText" text="DESCANSO">
      <formula>NOT(ISERROR(SEARCH("DESCANSO",F1041)))</formula>
    </cfRule>
    <cfRule type="containsText" dxfId="80" priority="544" operator="containsText" text="FALTOU">
      <formula>NOT(ISERROR(SEARCH("FALTOU",F1041)))</formula>
    </cfRule>
    <cfRule type="containsText" dxfId="79" priority="545" operator="containsText" text="ATESTADO">
      <formula>NOT(ISERROR(SEARCH("ATESTADO",F1041)))</formula>
    </cfRule>
  </conditionalFormatting>
  <conditionalFormatting sqref="F1041:F1045">
    <cfRule type="containsText" dxfId="78" priority="530" operator="containsText" text="SÁBADO">
      <formula>NOT(ISERROR(SEARCH("SÁBADO",F1041)))</formula>
    </cfRule>
  </conditionalFormatting>
  <conditionalFormatting sqref="F1045">
    <cfRule type="containsText" dxfId="77" priority="529" operator="containsText" text="DOMINGO">
      <formula>NOT(ISERROR(SEARCH("DOMINGO",F1045)))</formula>
    </cfRule>
    <cfRule type="containsText" dxfId="76" priority="531" operator="containsText" text="FERIADO">
      <formula>NOT(ISERROR(SEARCH("FERIADO",F1045)))</formula>
    </cfRule>
    <cfRule type="containsText" dxfId="75" priority="532" operator="containsText" text="DESCANSO">
      <formula>NOT(ISERROR(SEARCH("DESCANSO",F1045)))</formula>
    </cfRule>
    <cfRule type="containsText" dxfId="74" priority="533" operator="containsText" text="FALTOU">
      <formula>NOT(ISERROR(SEARCH("FALTOU",F1045)))</formula>
    </cfRule>
    <cfRule type="containsText" dxfId="73" priority="534" operator="containsText" text="ATESTADO">
      <formula>NOT(ISERROR(SEARCH("ATESTADO",F1045)))</formula>
    </cfRule>
  </conditionalFormatting>
  <conditionalFormatting sqref="F1054">
    <cfRule type="containsText" dxfId="72" priority="519" operator="containsText" text="DOMINGO">
      <formula>NOT(ISERROR(SEARCH("DOMINGO",F1054)))</formula>
    </cfRule>
    <cfRule type="containsText" dxfId="71" priority="520" operator="containsText" text="FERIADO">
      <formula>NOT(ISERROR(SEARCH("FERIADO",F1054)))</formula>
    </cfRule>
    <cfRule type="containsText" dxfId="70" priority="521" operator="containsText" text="DESCANSO">
      <formula>NOT(ISERROR(SEARCH("DESCANSO",F1054)))</formula>
    </cfRule>
    <cfRule type="containsText" dxfId="69" priority="522" operator="containsText" text="FALTOU">
      <formula>NOT(ISERROR(SEARCH("FALTOU",F1054)))</formula>
    </cfRule>
    <cfRule type="containsText" dxfId="68" priority="523" operator="containsText" text="ATESTADO">
      <formula>NOT(ISERROR(SEARCH("ATESTADO",F1054)))</formula>
    </cfRule>
  </conditionalFormatting>
  <conditionalFormatting sqref="F1054:F1055">
    <cfRule type="containsText" dxfId="67" priority="460" operator="containsText" text="SÁBADO">
      <formula>NOT(ISERROR(SEARCH("SÁBADO",F1054)))</formula>
    </cfRule>
  </conditionalFormatting>
  <conditionalFormatting sqref="F1055">
    <cfRule type="containsText" dxfId="66" priority="459" operator="containsText" text="DOMINGO">
      <formula>NOT(ISERROR(SEARCH("DOMINGO",F1055)))</formula>
    </cfRule>
    <cfRule type="containsText" dxfId="65" priority="461" operator="containsText" text="FERIADO">
      <formula>NOT(ISERROR(SEARCH("FERIADO",F1055)))</formula>
    </cfRule>
    <cfRule type="containsText" dxfId="64" priority="462" operator="containsText" text="DESCANSO">
      <formula>NOT(ISERROR(SEARCH("DESCANSO",F1055)))</formula>
    </cfRule>
    <cfRule type="containsText" dxfId="63" priority="463" operator="containsText" text="FALTOU">
      <formula>NOT(ISERROR(SEARCH("FALTOU",F1055)))</formula>
    </cfRule>
    <cfRule type="containsText" dxfId="62" priority="464" operator="containsText" text="ATESTADO">
      <formula>NOT(ISERROR(SEARCH("ATESTADO",F1055)))</formula>
    </cfRule>
  </conditionalFormatting>
  <conditionalFormatting sqref="F1057">
    <cfRule type="containsText" dxfId="61" priority="500" operator="containsText" text="DOMINGO">
      <formula>NOT(ISERROR(SEARCH("DOMINGO",F1057)))</formula>
    </cfRule>
    <cfRule type="containsText" dxfId="60" priority="501" operator="containsText" text="FERIADO">
      <formula>NOT(ISERROR(SEARCH("FERIADO",F1057)))</formula>
    </cfRule>
    <cfRule type="containsText" dxfId="59" priority="502" operator="containsText" text="DESCANSO">
      <formula>NOT(ISERROR(SEARCH("DESCANSO",F1057)))</formula>
    </cfRule>
    <cfRule type="containsText" dxfId="58" priority="503" operator="containsText" text="FALTOU">
      <formula>NOT(ISERROR(SEARCH("FALTOU",F1057)))</formula>
    </cfRule>
    <cfRule type="containsText" dxfId="57" priority="504" operator="containsText" text="ATESTADO">
      <formula>NOT(ISERROR(SEARCH("ATESTADO",F1057)))</formula>
    </cfRule>
  </conditionalFormatting>
  <conditionalFormatting sqref="F1057:F1061">
    <cfRule type="containsText" dxfId="56" priority="495" operator="containsText" text="SÁBADO">
      <formula>NOT(ISERROR(SEARCH("SÁBADO",F1057)))</formula>
    </cfRule>
  </conditionalFormatting>
  <conditionalFormatting sqref="F1058:F1061">
    <cfRule type="containsText" dxfId="55" priority="494" operator="containsText" text="DOMINGO">
      <formula>NOT(ISERROR(SEARCH("DOMINGO",F1058)))</formula>
    </cfRule>
    <cfRule type="containsText" dxfId="54" priority="496" operator="containsText" text="FERIADO">
      <formula>NOT(ISERROR(SEARCH("FERIADO",F1058)))</formula>
    </cfRule>
    <cfRule type="containsText" dxfId="53" priority="497" operator="containsText" text="DESCANSO">
      <formula>NOT(ISERROR(SEARCH("DESCANSO",F1058)))</formula>
    </cfRule>
    <cfRule type="containsText" dxfId="52" priority="498" operator="containsText" text="FALTOU">
      <formula>NOT(ISERROR(SEARCH("FALTOU",F1058)))</formula>
    </cfRule>
    <cfRule type="containsText" dxfId="51" priority="499" operator="containsText" text="ATESTADO">
      <formula>NOT(ISERROR(SEARCH("ATESTADO",F1058)))</formula>
    </cfRule>
  </conditionalFormatting>
  <conditionalFormatting sqref="F1064">
    <cfRule type="containsText" dxfId="50" priority="483" operator="containsText" text="DOMINGO">
      <formula>NOT(ISERROR(SEARCH("DOMINGO",F1064)))</formula>
    </cfRule>
    <cfRule type="containsText" dxfId="49" priority="484" operator="containsText" text="FERIADO">
      <formula>NOT(ISERROR(SEARCH("FERIADO",F1064)))</formula>
    </cfRule>
    <cfRule type="containsText" dxfId="48" priority="485" operator="containsText" text="DESCANSO">
      <formula>NOT(ISERROR(SEARCH("DESCANSO",F1064)))</formula>
    </cfRule>
    <cfRule type="containsText" dxfId="47" priority="486" operator="containsText" text="FALTOU">
      <formula>NOT(ISERROR(SEARCH("FALTOU",F1064)))</formula>
    </cfRule>
    <cfRule type="containsText" dxfId="46" priority="487" operator="containsText" text="ATESTADO">
      <formula>NOT(ISERROR(SEARCH("ATESTADO",F1064)))</formula>
    </cfRule>
  </conditionalFormatting>
  <conditionalFormatting sqref="F1064:F1068">
    <cfRule type="containsText" dxfId="45" priority="478" operator="containsText" text="SÁBADO">
      <formula>NOT(ISERROR(SEARCH("SÁBADO",F1064)))</formula>
    </cfRule>
  </conditionalFormatting>
  <conditionalFormatting sqref="F1065:F1068">
    <cfRule type="containsText" dxfId="44" priority="477" operator="containsText" text="DOMINGO">
      <formula>NOT(ISERROR(SEARCH("DOMINGO",F1065)))</formula>
    </cfRule>
    <cfRule type="containsText" dxfId="43" priority="479" operator="containsText" text="FERIADO">
      <formula>NOT(ISERROR(SEARCH("FERIADO",F1065)))</formula>
    </cfRule>
    <cfRule type="containsText" dxfId="42" priority="480" operator="containsText" text="DESCANSO">
      <formula>NOT(ISERROR(SEARCH("DESCANSO",F1065)))</formula>
    </cfRule>
    <cfRule type="containsText" dxfId="41" priority="481" operator="containsText" text="FALTOU">
      <formula>NOT(ISERROR(SEARCH("FALTOU",F1065)))</formula>
    </cfRule>
    <cfRule type="containsText" dxfId="40" priority="482" operator="containsText" text="ATESTADO">
      <formula>NOT(ISERROR(SEARCH("ATESTADO",F1065)))</formula>
    </cfRule>
  </conditionalFormatting>
  <conditionalFormatting sqref="A1080:B1080">
    <cfRule type="containsText" dxfId="39" priority="444" operator="containsText" text="ATESTADO">
      <formula>NOT(ISERROR(SEARCH("ATESTADO",A1080)))</formula>
    </cfRule>
    <cfRule type="containsText" dxfId="38" priority="445" operator="containsText" text="DESCANSO">
      <formula>NOT(ISERROR(SEARCH("DESCANSO",A1080)))</formula>
    </cfRule>
    <cfRule type="containsText" dxfId="37" priority="446" operator="containsText" text="FALTOU">
      <formula>NOT(ISERROR(SEARCH("FALTOU",A1080)))</formula>
    </cfRule>
  </conditionalFormatting>
  <conditionalFormatting sqref="A1080:F1082 A1107:F1119 A1106:B1106 D1106:F1106">
    <cfRule type="containsText" dxfId="36" priority="448" operator="containsText" text="SÁBADO">
      <formula>NOT(ISERROR(SEARCH("SÁBADO",A1080)))</formula>
    </cfRule>
  </conditionalFormatting>
  <conditionalFormatting sqref="A1080:F1082 A1106:B1106 D1106:F1106 A1107:F1119">
    <cfRule type="containsText" dxfId="35" priority="447" operator="containsText" text="DOMINGO">
      <formula>NOT(ISERROR(SEARCH("DOMINGO",A1080)))</formula>
    </cfRule>
    <cfRule type="containsText" dxfId="34" priority="449" operator="containsText" text="FERIADO">
      <formula>NOT(ISERROR(SEARCH("FERIADO",A1080)))</formula>
    </cfRule>
    <cfRule type="containsText" dxfId="33" priority="450" operator="containsText" text="DESCANSO">
      <formula>NOT(ISERROR(SEARCH("DESCANSO",A1080)))</formula>
    </cfRule>
    <cfRule type="containsText" dxfId="32" priority="451" operator="containsText" text="FALTOU">
      <formula>NOT(ISERROR(SEARCH("FALTOU",A1080)))</formula>
    </cfRule>
    <cfRule type="containsText" dxfId="31" priority="452" operator="containsText" text="ATESTADO">
      <formula>NOT(ISERROR(SEARCH("ATESTADO",A1080)))</formula>
    </cfRule>
  </conditionalFormatting>
  <conditionalFormatting sqref="C1106">
    <cfRule type="containsText" dxfId="30" priority="233" operator="containsText" text="DOMINGO">
      <formula>NOT(ISERROR(SEARCH("DOMINGO",C1106)))</formula>
    </cfRule>
    <cfRule type="containsText" dxfId="29" priority="234" operator="containsText" text="SÁBADO">
      <formula>NOT(ISERROR(SEARCH("SÁBADO",C1106)))</formula>
    </cfRule>
    <cfRule type="containsText" dxfId="28" priority="235" operator="containsText" text="FERIADO">
      <formula>NOT(ISERROR(SEARCH("FERIADO",C1106)))</formula>
    </cfRule>
    <cfRule type="containsText" dxfId="27" priority="236" operator="containsText" text="DESCANSO">
      <formula>NOT(ISERROR(SEARCH("DESCANSO",C1106)))</formula>
    </cfRule>
    <cfRule type="containsText" dxfId="26" priority="237" operator="containsText" text="FALTOU">
      <formula>NOT(ISERROR(SEARCH("FALTOU",C1106)))</formula>
    </cfRule>
    <cfRule type="containsText" dxfId="25" priority="238" operator="containsText" text="ATESTADO">
      <formula>NOT(ISERROR(SEARCH("ATESTADO",C1106)))</formula>
    </cfRule>
  </conditionalFormatting>
  <conditionalFormatting sqref="C1080:F1080">
    <cfRule type="containsText" dxfId="24" priority="442" operator="containsText" text="DESCANSO">
      <formula>NOT(ISERROR(SEARCH("DESCANSO",C1080)))</formula>
    </cfRule>
    <cfRule type="containsText" dxfId="23" priority="443" operator="containsText" text="FALTOU">
      <formula>NOT(ISERROR(SEARCH("FALTOU",C1080)))</formula>
    </cfRule>
  </conditionalFormatting>
  <conditionalFormatting sqref="A1121:B1121">
    <cfRule type="containsText" dxfId="22" priority="224" operator="containsText" text="ATESTADO">
      <formula>NOT(ISERROR(SEARCH("ATESTADO",A1121)))</formula>
    </cfRule>
    <cfRule type="containsText" dxfId="21" priority="225" operator="containsText" text="DESCANSO">
      <formula>NOT(ISERROR(SEARCH("DESCANSO",A1121)))</formula>
    </cfRule>
    <cfRule type="containsText" dxfId="20" priority="226" operator="containsText" text="FALTOU">
      <formula>NOT(ISERROR(SEARCH("FALTOU",A1121)))</formula>
    </cfRule>
  </conditionalFormatting>
  <conditionalFormatting sqref="A1121:F1123">
    <cfRule type="containsText" dxfId="19" priority="228" operator="containsText" text="SÁBADO">
      <formula>NOT(ISERROR(SEARCH("SÁBADO",A1121)))</formula>
    </cfRule>
  </conditionalFormatting>
  <conditionalFormatting sqref="A1121:F1123">
    <cfRule type="containsText" dxfId="18" priority="227" operator="containsText" text="DOMINGO">
      <formula>NOT(ISERROR(SEARCH("DOMINGO",A1121)))</formula>
    </cfRule>
    <cfRule type="containsText" dxfId="17" priority="229" operator="containsText" text="FERIADO">
      <formula>NOT(ISERROR(SEARCH("FERIADO",A1121)))</formula>
    </cfRule>
    <cfRule type="containsText" dxfId="16" priority="230" operator="containsText" text="DESCANSO">
      <formula>NOT(ISERROR(SEARCH("DESCANSO",A1121)))</formula>
    </cfRule>
    <cfRule type="containsText" dxfId="15" priority="231" operator="containsText" text="FALTOU">
      <formula>NOT(ISERROR(SEARCH("FALTOU",A1121)))</formula>
    </cfRule>
    <cfRule type="containsText" dxfId="14" priority="232" operator="containsText" text="ATESTADO">
      <formula>NOT(ISERROR(SEARCH("ATESTADO",A1121)))</formula>
    </cfRule>
  </conditionalFormatting>
  <conditionalFormatting sqref="C1121:F1121">
    <cfRule type="containsText" dxfId="13" priority="222" operator="containsText" text="DESCANSO">
      <formula>NOT(ISERROR(SEARCH("DESCANSO",C1121)))</formula>
    </cfRule>
    <cfRule type="containsText" dxfId="12" priority="223" operator="containsText" text="FALTOU">
      <formula>NOT(ISERROR(SEARCH("FALTOU",C1121)))</formula>
    </cfRule>
  </conditionalFormatting>
  <conditionalFormatting sqref="A1131:F1131 A1128:B1130 D1128:F1130">
    <cfRule type="containsText" dxfId="11" priority="8" operator="containsText" text="SÁBADO">
      <formula>NOT(ISERROR(SEARCH("SÁBADO",A1128)))</formula>
    </cfRule>
  </conditionalFormatting>
  <conditionalFormatting sqref="A1128:B1130 D1128:F1130 A1131:F1131">
    <cfRule type="containsText" dxfId="10" priority="7" operator="containsText" text="DOMINGO">
      <formula>NOT(ISERROR(SEARCH("DOMINGO",A1128)))</formula>
    </cfRule>
    <cfRule type="containsText" dxfId="9" priority="9" operator="containsText" text="FERIADO">
      <formula>NOT(ISERROR(SEARCH("FERIADO",A1128)))</formula>
    </cfRule>
    <cfRule type="containsText" dxfId="8" priority="10" operator="containsText" text="DESCANSO">
      <formula>NOT(ISERROR(SEARCH("DESCANSO",A1128)))</formula>
    </cfRule>
    <cfRule type="containsText" dxfId="7" priority="11" operator="containsText" text="FALTOU">
      <formula>NOT(ISERROR(SEARCH("FALTOU",A1128)))</formula>
    </cfRule>
    <cfRule type="containsText" dxfId="6" priority="12" operator="containsText" text="ATESTADO">
      <formula>NOT(ISERROR(SEARCH("ATESTADO",A1128)))</formula>
    </cfRule>
  </conditionalFormatting>
  <conditionalFormatting sqref="C1128:C1130">
    <cfRule type="containsText" dxfId="5" priority="1" operator="containsText" text="DOMINGO">
      <formula>NOT(ISERROR(SEARCH("DOMINGO",C1128)))</formula>
    </cfRule>
    <cfRule type="containsText" dxfId="4" priority="2" operator="containsText" text="SÁBADO">
      <formula>NOT(ISERROR(SEARCH("SÁBADO",C1128)))</formula>
    </cfRule>
    <cfRule type="containsText" dxfId="3" priority="3" operator="containsText" text="FERIADO">
      <formula>NOT(ISERROR(SEARCH("FERIADO",C1128)))</formula>
    </cfRule>
    <cfRule type="containsText" dxfId="2" priority="4" operator="containsText" text="DESCANSO">
      <formula>NOT(ISERROR(SEARCH("DESCANSO",C1128)))</formula>
    </cfRule>
    <cfRule type="containsText" dxfId="1" priority="5" operator="containsText" text="FALTOU">
      <formula>NOT(ISERROR(SEARCH("FALTOU",C1128)))</formula>
    </cfRule>
    <cfRule type="containsText" dxfId="0" priority="6" operator="containsText" text="ATESTADO">
      <formula>NOT(ISERROR(SEARCH("ATESTADO",C1128)))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Boshi</dc:creator>
  <cp:lastModifiedBy>Boshi</cp:lastModifiedBy>
  <dcterms:created xsi:type="dcterms:W3CDTF">2026-04-13T17:59:21Z</dcterms:created>
  <dcterms:modified xsi:type="dcterms:W3CDTF">2026-04-13T18:06:43Z</dcterms:modified>
</cp:coreProperties>
</file>